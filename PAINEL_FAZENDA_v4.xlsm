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7.xml" ContentType="application/vnd.openxmlformats-officedocument.drawing+xml"/>
  <Override PartName="/xl/charts/chart24.xml" ContentType="application/vnd.openxmlformats-officedocument.drawingml.chart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Meu Drive\FAZENDA\Fazenda\CLAUDE - RELATÓRIOS\"/>
    </mc:Choice>
  </mc:AlternateContent>
  <xr:revisionPtr revIDLastSave="0" documentId="13_ncr:1_{5DEAB37F-F1C2-409B-B39B-17E7441443E0}" xr6:coauthVersionLast="47" xr6:coauthVersionMax="47" xr10:uidLastSave="{00000000-0000-0000-0000-000000000000}"/>
  <bookViews>
    <workbookView xWindow="-108" yWindow="-108" windowWidth="23256" windowHeight="12456" tabRatio="724" firstSheet="4" activeTab="10" xr2:uid="{00000000-000D-0000-FFFF-FFFF00000000}"/>
  </bookViews>
  <sheets>
    <sheet name="CAPA" sheetId="1" r:id="rId1"/>
    <sheet name="1·PRODUÇÃO" sheetId="2" r:id="rId2"/>
    <sheet name="2·DIETA" sheetId="3" r:id="rId3"/>
    <sheet name="3·REPRODUÇÃO" sheetId="4" r:id="rId4"/>
    <sheet name="3.1·REP-RESUMO" sheetId="5" r:id="rId5"/>
    <sheet name="4·REBANHO" sheetId="6" r:id="rId6"/>
    <sheet name="5·ESTOQUE" sheetId="7" r:id="rId7"/>
    <sheet name="6·FINANCEIRO" sheetId="8" r:id="rId8"/>
    <sheet name="6.1·LIVRO CAIXA" sheetId="9" r:id="rId9"/>
    <sheet name="7·RESULTADOS" sheetId="10" r:id="rId10"/>
    <sheet name="8·AGENDA" sheetId="20" r:id="rId11"/>
    <sheet name="REPRODUTIVO" sheetId="11" r:id="rId12"/>
    <sheet name="LEITE" sheetId="12" r:id="rId13"/>
    <sheet name="GERAL" sheetId="13" r:id="rId14"/>
    <sheet name="DIETA" sheetId="14" r:id="rId15"/>
    <sheet name="ESTOQUE" sheetId="15" r:id="rId16"/>
    <sheet name="CURVA_ABC" sheetId="16" r:id="rId17"/>
    <sheet name="FLUXO" sheetId="17" r:id="rId18"/>
    <sheet name="DRE" sheetId="18" r:id="rId19"/>
    <sheet name="CONTA_GER" sheetId="19" r:id="rId20"/>
    <sheet name="AGENDA_MANUAL" sheetId="21" state="hidden" r:id="rId21"/>
  </sheets>
  <definedNames>
    <definedName name="_xlnm._FilterDatabase" localSheetId="10" hidden="1">'8·AGENDA'!$A$20:$F$150</definedName>
    <definedName name="_xlnm._FilterDatabase" localSheetId="16" hidden="1">CURVA_ABC!$A$1:$J$308</definedName>
    <definedName name="_xlnm._FilterDatabase" localSheetId="18" hidden="1">DRE!$A$1:$H$104</definedName>
    <definedName name="_xlnm._FilterDatabase" localSheetId="15" hidden="1">ESTOQUE!$A$1:$I$83</definedName>
    <definedName name="_xlnm._FilterDatabase" localSheetId="17" hidden="1">FLUXO!$A$1:$F$124</definedName>
    <definedName name="_xlnm._FilterDatabase" localSheetId="12" hidden="1">LEITE!$A$1:$L$872</definedName>
    <definedName name="_xlnm._FilterDatabase" localSheetId="11" hidden="1">REPRODUTIVO!$A$1:$AQ$374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68" i="7" l="1" a="1"/>
  <c r="C68" i="7" s="1"/>
  <c r="B68" i="7" a="1"/>
  <c r="B68" i="7" s="1"/>
  <c r="A68" i="7" a="1"/>
  <c r="A68" i="7" s="1"/>
  <c r="C67" i="7" a="1"/>
  <c r="C67" i="7" s="1"/>
  <c r="B67" i="7" a="1"/>
  <c r="B67" i="7" s="1"/>
  <c r="A67" i="7" a="1"/>
  <c r="A67" i="7" s="1"/>
  <c r="C66" i="7" a="1"/>
  <c r="C66" i="7" s="1"/>
  <c r="B66" i="7" a="1"/>
  <c r="B66" i="7" s="1"/>
  <c r="A66" i="7" a="1"/>
  <c r="A66" i="7" s="1"/>
  <c r="C65" i="7" a="1"/>
  <c r="C65" i="7" s="1"/>
  <c r="B65" i="7" a="1"/>
  <c r="B65" i="7" s="1"/>
  <c r="A65" i="7" a="1"/>
  <c r="A65" i="7" s="1"/>
  <c r="C64" i="7" a="1"/>
  <c r="C64" i="7" s="1"/>
  <c r="B64" i="7" a="1"/>
  <c r="B64" i="7" s="1"/>
  <c r="A64" i="7" a="1"/>
  <c r="A64" i="7" s="1"/>
  <c r="C63" i="7" a="1"/>
  <c r="C63" i="7" s="1"/>
  <c r="B63" i="7" a="1"/>
  <c r="B63" i="7" s="1"/>
  <c r="A63" i="7" a="1"/>
  <c r="A63" i="7" s="1"/>
  <c r="C62" i="7" a="1"/>
  <c r="C62" i="7" s="1"/>
  <c r="B62" i="7" a="1"/>
  <c r="B62" i="7" s="1"/>
  <c r="A62" i="7" a="1"/>
  <c r="A62" i="7" s="1"/>
  <c r="C61" i="7" a="1"/>
  <c r="C61" i="7" s="1"/>
  <c r="B61" i="7" a="1"/>
  <c r="B61" i="7" s="1"/>
  <c r="A61" i="7" a="1"/>
  <c r="A61" i="7" s="1"/>
  <c r="C60" i="7" a="1"/>
  <c r="C60" i="7" s="1"/>
  <c r="B60" i="7" a="1"/>
  <c r="B60" i="7" s="1"/>
  <c r="A60" i="7" a="1"/>
  <c r="A60" i="7" s="1"/>
  <c r="C59" i="7" a="1"/>
  <c r="C59" i="7" s="1"/>
  <c r="B59" i="7" a="1"/>
  <c r="B59" i="7" s="1"/>
  <c r="A59" i="7" a="1"/>
  <c r="A59" i="7" s="1"/>
  <c r="C58" i="7" a="1"/>
  <c r="C58" i="7" s="1"/>
  <c r="B58" i="7" a="1"/>
  <c r="B58" i="7" s="1"/>
  <c r="A58" i="7" a="1"/>
  <c r="A58" i="7" s="1"/>
  <c r="C57" i="7" a="1"/>
  <c r="C57" i="7" s="1"/>
  <c r="B57" i="7" a="1"/>
  <c r="B57" i="7" s="1"/>
  <c r="A57" i="7" a="1"/>
  <c r="A57" i="7" s="1"/>
  <c r="D55" i="10"/>
  <c r="D38" i="10"/>
  <c r="C38" i="10"/>
  <c r="C37" i="10"/>
  <c r="D36" i="10"/>
  <c r="D35" i="10"/>
  <c r="D27" i="10"/>
  <c r="D28" i="10" s="1"/>
  <c r="E14" i="10"/>
  <c r="G14" i="10" s="1"/>
  <c r="D10" i="10"/>
  <c r="H9" i="10"/>
  <c r="H8" i="10"/>
  <c r="H7" i="10"/>
  <c r="D7" i="10"/>
  <c r="H6" i="10"/>
  <c r="C17" i="9"/>
  <c r="B17" i="9"/>
  <c r="C16" i="9"/>
  <c r="B16" i="9"/>
  <c r="C15" i="9"/>
  <c r="B15" i="9"/>
  <c r="C14" i="9"/>
  <c r="B14" i="9"/>
  <c r="C13" i="9"/>
  <c r="B13" i="9"/>
  <c r="C12" i="9"/>
  <c r="B12" i="9"/>
  <c r="C7" i="9"/>
  <c r="B7" i="9"/>
  <c r="E112" i="8"/>
  <c r="F112" i="8" s="1"/>
  <c r="E111" i="8"/>
  <c r="F111" i="8" s="1"/>
  <c r="E110" i="8"/>
  <c r="F110" i="8" s="1"/>
  <c r="E109" i="8"/>
  <c r="F109" i="8" s="1"/>
  <c r="E108" i="8"/>
  <c r="F108" i="8" s="1"/>
  <c r="E107" i="8"/>
  <c r="F107" i="8" s="1"/>
  <c r="E106" i="8"/>
  <c r="F106" i="8" s="1"/>
  <c r="E105" i="8"/>
  <c r="F105" i="8" s="1"/>
  <c r="E104" i="8"/>
  <c r="F104" i="8" s="1"/>
  <c r="E103" i="8"/>
  <c r="F103" i="8" s="1"/>
  <c r="E102" i="8"/>
  <c r="F102" i="8" s="1"/>
  <c r="E101" i="8"/>
  <c r="F101" i="8" s="1"/>
  <c r="E100" i="8"/>
  <c r="F100" i="8" s="1"/>
  <c r="E99" i="8"/>
  <c r="F99" i="8" s="1"/>
  <c r="E98" i="8"/>
  <c r="F98" i="8" s="1"/>
  <c r="E97" i="8"/>
  <c r="F97" i="8" s="1"/>
  <c r="E96" i="8"/>
  <c r="F96" i="8" s="1"/>
  <c r="E95" i="8"/>
  <c r="F95" i="8" s="1"/>
  <c r="E94" i="8"/>
  <c r="F94" i="8" s="1"/>
  <c r="E93" i="8"/>
  <c r="F93" i="8" s="1"/>
  <c r="E92" i="8"/>
  <c r="F92" i="8" s="1"/>
  <c r="E91" i="8"/>
  <c r="F91" i="8" s="1"/>
  <c r="E90" i="8"/>
  <c r="F90" i="8" s="1"/>
  <c r="E89" i="8"/>
  <c r="F89" i="8" s="1"/>
  <c r="E88" i="8"/>
  <c r="F88" i="8" s="1"/>
  <c r="E87" i="8"/>
  <c r="F87" i="8" s="1"/>
  <c r="E86" i="8"/>
  <c r="F86" i="8" s="1"/>
  <c r="E85" i="8"/>
  <c r="F85" i="8" s="1"/>
  <c r="E84" i="8"/>
  <c r="F84" i="8" s="1"/>
  <c r="E83" i="8"/>
  <c r="F83" i="8" s="1"/>
  <c r="E82" i="8"/>
  <c r="F82" i="8" s="1"/>
  <c r="E81" i="8"/>
  <c r="F81" i="8" s="1"/>
  <c r="E80" i="8"/>
  <c r="F80" i="8" s="1"/>
  <c r="E79" i="8"/>
  <c r="F79" i="8" s="1"/>
  <c r="E78" i="8"/>
  <c r="F78" i="8" s="1"/>
  <c r="E77" i="8"/>
  <c r="F77" i="8" s="1"/>
  <c r="E76" i="8"/>
  <c r="F76" i="8" s="1"/>
  <c r="E75" i="8"/>
  <c r="F75" i="8" s="1"/>
  <c r="E74" i="8"/>
  <c r="F74" i="8" s="1"/>
  <c r="E73" i="8"/>
  <c r="F73" i="8" s="1"/>
  <c r="E72" i="8"/>
  <c r="F72" i="8" s="1"/>
  <c r="E71" i="8"/>
  <c r="F71" i="8" s="1"/>
  <c r="E70" i="8"/>
  <c r="F70" i="8" s="1"/>
  <c r="E69" i="8"/>
  <c r="F69" i="8" s="1"/>
  <c r="E68" i="8"/>
  <c r="F68" i="8" s="1"/>
  <c r="E67" i="8"/>
  <c r="F67" i="8" s="1"/>
  <c r="E66" i="8"/>
  <c r="F66" i="8" s="1"/>
  <c r="E65" i="8"/>
  <c r="F65" i="8" s="1"/>
  <c r="E64" i="8"/>
  <c r="F64" i="8" s="1"/>
  <c r="E63" i="8"/>
  <c r="F63" i="8" s="1"/>
  <c r="E62" i="8"/>
  <c r="F62" i="8" s="1"/>
  <c r="E61" i="8"/>
  <c r="F61" i="8" s="1"/>
  <c r="E60" i="8"/>
  <c r="F60" i="8" s="1"/>
  <c r="E59" i="8"/>
  <c r="F59" i="8" s="1"/>
  <c r="E58" i="8"/>
  <c r="F58" i="8" s="1"/>
  <c r="E57" i="8"/>
  <c r="F57" i="8" s="1"/>
  <c r="E56" i="8"/>
  <c r="F56" i="8" s="1"/>
  <c r="E55" i="8"/>
  <c r="F55" i="8" s="1"/>
  <c r="E54" i="8"/>
  <c r="F54" i="8" s="1"/>
  <c r="E53" i="8"/>
  <c r="F53" i="8" s="1"/>
  <c r="E52" i="8"/>
  <c r="F52" i="8" s="1"/>
  <c r="E51" i="8"/>
  <c r="F51" i="8" s="1"/>
  <c r="E50" i="8"/>
  <c r="F50" i="8" s="1"/>
  <c r="E49" i="8"/>
  <c r="F49" i="8" s="1"/>
  <c r="E48" i="8"/>
  <c r="F48" i="8" s="1"/>
  <c r="E47" i="8"/>
  <c r="F47" i="8" s="1"/>
  <c r="E46" i="8"/>
  <c r="F46" i="8" s="1"/>
  <c r="E45" i="8"/>
  <c r="F45" i="8" s="1"/>
  <c r="E44" i="8"/>
  <c r="F44" i="8" s="1"/>
  <c r="E43" i="8"/>
  <c r="F43" i="8" s="1"/>
  <c r="E42" i="8"/>
  <c r="F42" i="8" s="1"/>
  <c r="E41" i="8"/>
  <c r="F41" i="8" s="1"/>
  <c r="E40" i="8"/>
  <c r="F40" i="8" s="1"/>
  <c r="E39" i="8"/>
  <c r="F39" i="8" s="1"/>
  <c r="E38" i="8"/>
  <c r="F38" i="8" s="1"/>
  <c r="E37" i="8"/>
  <c r="F37" i="8" s="1"/>
  <c r="E36" i="8"/>
  <c r="F36" i="8" s="1"/>
  <c r="E35" i="8"/>
  <c r="F35" i="8" s="1"/>
  <c r="E34" i="8"/>
  <c r="F34" i="8" s="1"/>
  <c r="E33" i="8"/>
  <c r="F33" i="8" s="1"/>
  <c r="E32" i="8"/>
  <c r="F32" i="8" s="1"/>
  <c r="E31" i="8"/>
  <c r="F31" i="8" s="1"/>
  <c r="E30" i="8"/>
  <c r="F30" i="8" s="1"/>
  <c r="E29" i="8"/>
  <c r="F29" i="8" s="1"/>
  <c r="E28" i="8"/>
  <c r="F28" i="8" s="1"/>
  <c r="E27" i="8"/>
  <c r="F27" i="8" s="1"/>
  <c r="E26" i="8"/>
  <c r="F26" i="8" s="1"/>
  <c r="E25" i="8"/>
  <c r="F25" i="8" s="1"/>
  <c r="E24" i="8"/>
  <c r="F24" i="8" s="1"/>
  <c r="E23" i="8"/>
  <c r="F23" i="8" s="1"/>
  <c r="E22" i="8"/>
  <c r="F22" i="8" s="1"/>
  <c r="E21" i="8"/>
  <c r="F21" i="8" s="1"/>
  <c r="E20" i="8"/>
  <c r="F20" i="8" s="1"/>
  <c r="J19" i="8"/>
  <c r="I19" i="8"/>
  <c r="E19" i="8"/>
  <c r="F19" i="8" s="1"/>
  <c r="J18" i="8"/>
  <c r="I18" i="8"/>
  <c r="E18" i="8"/>
  <c r="F18" i="8" s="1"/>
  <c r="J17" i="8"/>
  <c r="I17" i="8"/>
  <c r="E17" i="8"/>
  <c r="F17" i="8" s="1"/>
  <c r="J16" i="8"/>
  <c r="I16" i="8"/>
  <c r="E16" i="8"/>
  <c r="F16" i="8" s="1"/>
  <c r="J15" i="8"/>
  <c r="I15" i="8"/>
  <c r="E15" i="8"/>
  <c r="F15" i="8" s="1"/>
  <c r="J14" i="8"/>
  <c r="I14" i="8"/>
  <c r="E14" i="8"/>
  <c r="F14" i="8" s="1"/>
  <c r="J13" i="8"/>
  <c r="I13" i="8"/>
  <c r="E13" i="8"/>
  <c r="F13" i="8" s="1"/>
  <c r="J12" i="8"/>
  <c r="I12" i="8"/>
  <c r="E12" i="8"/>
  <c r="F12" i="8" s="1"/>
  <c r="C7" i="8"/>
  <c r="A7" i="8"/>
  <c r="D50" i="7"/>
  <c r="D49" i="7"/>
  <c r="C36" i="7"/>
  <c r="C35" i="7"/>
  <c r="C34" i="7"/>
  <c r="C33" i="7"/>
  <c r="D29" i="7"/>
  <c r="E29" i="7" s="1"/>
  <c r="C29" i="7"/>
  <c r="B29" i="7"/>
  <c r="D28" i="7"/>
  <c r="E28" i="7" s="1"/>
  <c r="C28" i="7"/>
  <c r="B28" i="7"/>
  <c r="D27" i="7"/>
  <c r="E27" i="7" s="1"/>
  <c r="C27" i="7"/>
  <c r="B27" i="7"/>
  <c r="D26" i="7"/>
  <c r="E26" i="7" s="1"/>
  <c r="C26" i="7"/>
  <c r="B26" i="7"/>
  <c r="D25" i="7"/>
  <c r="E25" i="7" s="1"/>
  <c r="C25" i="7"/>
  <c r="B25" i="7"/>
  <c r="D24" i="7"/>
  <c r="E24" i="7" s="1"/>
  <c r="C24" i="7"/>
  <c r="B24" i="7"/>
  <c r="D23" i="7"/>
  <c r="E23" i="7" s="1"/>
  <c r="C23" i="7"/>
  <c r="B23" i="7"/>
  <c r="D22" i="7"/>
  <c r="E22" i="7" s="1"/>
  <c r="C22" i="7"/>
  <c r="B22" i="7"/>
  <c r="D21" i="7"/>
  <c r="E21" i="7" s="1"/>
  <c r="C21" i="7"/>
  <c r="B21" i="7"/>
  <c r="D20" i="7"/>
  <c r="E20" i="7" s="1"/>
  <c r="C20" i="7"/>
  <c r="B20" i="7"/>
  <c r="D19" i="7"/>
  <c r="E19" i="7" s="1"/>
  <c r="C19" i="7"/>
  <c r="B19" i="7"/>
  <c r="D18" i="7"/>
  <c r="E18" i="7" s="1"/>
  <c r="C18" i="7"/>
  <c r="B18" i="7"/>
  <c r="D17" i="7"/>
  <c r="E17" i="7" s="1"/>
  <c r="C17" i="7"/>
  <c r="B17" i="7"/>
  <c r="D16" i="7"/>
  <c r="E16" i="7" s="1"/>
  <c r="C16" i="7"/>
  <c r="B16" i="7"/>
  <c r="D15" i="7"/>
  <c r="E15" i="7" s="1"/>
  <c r="C15" i="7"/>
  <c r="B15" i="7"/>
  <c r="D14" i="7"/>
  <c r="E14" i="7" s="1"/>
  <c r="C14" i="7"/>
  <c r="B14" i="7"/>
  <c r="D13" i="7"/>
  <c r="E13" i="7" s="1"/>
  <c r="C13" i="7"/>
  <c r="B13" i="7"/>
  <c r="D12" i="7"/>
  <c r="E12" i="7" s="1"/>
  <c r="C12" i="7"/>
  <c r="B12" i="7"/>
  <c r="I11" i="7"/>
  <c r="D11" i="7"/>
  <c r="E11" i="7" s="1"/>
  <c r="C11" i="7"/>
  <c r="B11" i="7"/>
  <c r="I10" i="7"/>
  <c r="D10" i="7"/>
  <c r="E10" i="7" s="1"/>
  <c r="C10" i="7"/>
  <c r="B10" i="7"/>
  <c r="I9" i="7"/>
  <c r="I5" i="7"/>
  <c r="G5" i="7"/>
  <c r="E5" i="7"/>
  <c r="C5" i="7"/>
  <c r="A5" i="7"/>
  <c r="B75" i="6"/>
  <c r="B74" i="6"/>
  <c r="B73" i="6"/>
  <c r="B66" i="6"/>
  <c r="B65" i="6"/>
  <c r="B64" i="6"/>
  <c r="B63" i="6"/>
  <c r="B62" i="6"/>
  <c r="B61" i="6"/>
  <c r="B60" i="6"/>
  <c r="B59" i="6"/>
  <c r="B58" i="6"/>
  <c r="B57" i="6"/>
  <c r="B44" i="6"/>
  <c r="B43" i="6"/>
  <c r="B42" i="6"/>
  <c r="B41" i="6"/>
  <c r="B26" i="6"/>
  <c r="B25" i="6"/>
  <c r="B12" i="6"/>
  <c r="B11" i="6"/>
  <c r="B10" i="6"/>
  <c r="L5" i="6"/>
  <c r="J5" i="6"/>
  <c r="H5" i="6"/>
  <c r="F5" i="6"/>
  <c r="H52" i="5"/>
  <c r="G52" i="5"/>
  <c r="F52" i="5"/>
  <c r="E52" i="5"/>
  <c r="D52" i="5"/>
  <c r="C52" i="5"/>
  <c r="B52" i="5"/>
  <c r="H51" i="5"/>
  <c r="G51" i="5"/>
  <c r="F51" i="5"/>
  <c r="E51" i="5"/>
  <c r="D51" i="5"/>
  <c r="C51" i="5"/>
  <c r="B51" i="5"/>
  <c r="H50" i="5"/>
  <c r="G50" i="5"/>
  <c r="F50" i="5"/>
  <c r="E50" i="5"/>
  <c r="D50" i="5"/>
  <c r="C50" i="5"/>
  <c r="B50" i="5"/>
  <c r="H49" i="5"/>
  <c r="G49" i="5"/>
  <c r="F49" i="5"/>
  <c r="E49" i="5"/>
  <c r="D49" i="5"/>
  <c r="C49" i="5"/>
  <c r="B49" i="5"/>
  <c r="H48" i="5"/>
  <c r="G48" i="5"/>
  <c r="F48" i="5"/>
  <c r="E48" i="5"/>
  <c r="D48" i="5"/>
  <c r="C48" i="5"/>
  <c r="B48" i="5"/>
  <c r="H47" i="5"/>
  <c r="G47" i="5"/>
  <c r="F47" i="5"/>
  <c r="E47" i="5"/>
  <c r="D47" i="5"/>
  <c r="C47" i="5"/>
  <c r="B47" i="5"/>
  <c r="H46" i="5"/>
  <c r="G46" i="5"/>
  <c r="F46" i="5"/>
  <c r="E46" i="5"/>
  <c r="D46" i="5"/>
  <c r="C46" i="5"/>
  <c r="B46" i="5"/>
  <c r="H45" i="5"/>
  <c r="G45" i="5"/>
  <c r="F45" i="5"/>
  <c r="E45" i="5"/>
  <c r="D45" i="5"/>
  <c r="C45" i="5"/>
  <c r="B45" i="5"/>
  <c r="H44" i="5"/>
  <c r="G44" i="5"/>
  <c r="F44" i="5"/>
  <c r="E44" i="5"/>
  <c r="D44" i="5"/>
  <c r="C44" i="5"/>
  <c r="B44" i="5"/>
  <c r="H43" i="5"/>
  <c r="G43" i="5"/>
  <c r="F43" i="5"/>
  <c r="E43" i="5"/>
  <c r="D43" i="5"/>
  <c r="C43" i="5"/>
  <c r="B43" i="5"/>
  <c r="H42" i="5"/>
  <c r="G42" i="5"/>
  <c r="F42" i="5"/>
  <c r="E42" i="5"/>
  <c r="D42" i="5"/>
  <c r="C42" i="5"/>
  <c r="B42" i="5"/>
  <c r="H41" i="5"/>
  <c r="G41" i="5"/>
  <c r="F41" i="5"/>
  <c r="E41" i="5"/>
  <c r="D41" i="5"/>
  <c r="C41" i="5"/>
  <c r="B41" i="5"/>
  <c r="H40" i="5"/>
  <c r="G40" i="5"/>
  <c r="F40" i="5"/>
  <c r="E40" i="5"/>
  <c r="D40" i="5"/>
  <c r="C40" i="5"/>
  <c r="B40" i="5"/>
  <c r="H39" i="5"/>
  <c r="G39" i="5"/>
  <c r="F39" i="5"/>
  <c r="E39" i="5"/>
  <c r="D39" i="5"/>
  <c r="C39" i="5"/>
  <c r="B39" i="5"/>
  <c r="H38" i="5"/>
  <c r="G38" i="5"/>
  <c r="F38" i="5"/>
  <c r="E38" i="5"/>
  <c r="D38" i="5"/>
  <c r="C38" i="5"/>
  <c r="B38" i="5"/>
  <c r="H37" i="5"/>
  <c r="G37" i="5"/>
  <c r="F37" i="5"/>
  <c r="E37" i="5"/>
  <c r="D37" i="5"/>
  <c r="C37" i="5"/>
  <c r="B37" i="5"/>
  <c r="H36" i="5"/>
  <c r="G36" i="5"/>
  <c r="F36" i="5"/>
  <c r="E36" i="5"/>
  <c r="D36" i="5"/>
  <c r="C36" i="5"/>
  <c r="B36" i="5"/>
  <c r="H35" i="5"/>
  <c r="G35" i="5"/>
  <c r="F35" i="5"/>
  <c r="E35" i="5"/>
  <c r="D35" i="5"/>
  <c r="C35" i="5"/>
  <c r="B35" i="5"/>
  <c r="H34" i="5"/>
  <c r="G34" i="5"/>
  <c r="F34" i="5"/>
  <c r="E34" i="5"/>
  <c r="D34" i="5"/>
  <c r="C34" i="5"/>
  <c r="B34" i="5"/>
  <c r="H33" i="5"/>
  <c r="G33" i="5"/>
  <c r="F33" i="5"/>
  <c r="E33" i="5"/>
  <c r="D33" i="5"/>
  <c r="C33" i="5"/>
  <c r="B33" i="5"/>
  <c r="H32" i="5"/>
  <c r="G32" i="5"/>
  <c r="F32" i="5"/>
  <c r="E32" i="5"/>
  <c r="D32" i="5"/>
  <c r="C32" i="5"/>
  <c r="B32" i="5"/>
  <c r="H31" i="5"/>
  <c r="G31" i="5"/>
  <c r="F31" i="5"/>
  <c r="E31" i="5"/>
  <c r="D31" i="5"/>
  <c r="C31" i="5"/>
  <c r="B31" i="5"/>
  <c r="H30" i="5"/>
  <c r="G30" i="5"/>
  <c r="F30" i="5"/>
  <c r="E30" i="5"/>
  <c r="D30" i="5"/>
  <c r="C30" i="5"/>
  <c r="B30" i="5"/>
  <c r="H29" i="5"/>
  <c r="G29" i="5"/>
  <c r="F29" i="5"/>
  <c r="E29" i="5"/>
  <c r="D29" i="5"/>
  <c r="C29" i="5"/>
  <c r="B29" i="5"/>
  <c r="H28" i="5"/>
  <c r="G28" i="5"/>
  <c r="F28" i="5"/>
  <c r="E28" i="5"/>
  <c r="D28" i="5"/>
  <c r="C28" i="5"/>
  <c r="B28" i="5"/>
  <c r="H27" i="5"/>
  <c r="G27" i="5"/>
  <c r="F27" i="5"/>
  <c r="E27" i="5"/>
  <c r="D27" i="5"/>
  <c r="C27" i="5"/>
  <c r="B27" i="5"/>
  <c r="H26" i="5"/>
  <c r="G26" i="5"/>
  <c r="F26" i="5"/>
  <c r="E26" i="5"/>
  <c r="D26" i="5"/>
  <c r="C26" i="5"/>
  <c r="B26" i="5"/>
  <c r="H25" i="5"/>
  <c r="G25" i="5"/>
  <c r="F25" i="5"/>
  <c r="E25" i="5"/>
  <c r="D25" i="5"/>
  <c r="C25" i="5"/>
  <c r="B25" i="5"/>
  <c r="H24" i="5"/>
  <c r="G24" i="5"/>
  <c r="F24" i="5"/>
  <c r="E24" i="5"/>
  <c r="D24" i="5"/>
  <c r="C24" i="5"/>
  <c r="B24" i="5"/>
  <c r="H23" i="5"/>
  <c r="G23" i="5"/>
  <c r="F23" i="5"/>
  <c r="E23" i="5"/>
  <c r="D23" i="5"/>
  <c r="C23" i="5"/>
  <c r="B23" i="5"/>
  <c r="H22" i="5"/>
  <c r="G22" i="5"/>
  <c r="F22" i="5"/>
  <c r="E22" i="5"/>
  <c r="D22" i="5"/>
  <c r="C22" i="5"/>
  <c r="B22" i="5"/>
  <c r="H21" i="5"/>
  <c r="G21" i="5"/>
  <c r="F21" i="5"/>
  <c r="E21" i="5"/>
  <c r="D21" i="5"/>
  <c r="C21" i="5"/>
  <c r="B21" i="5"/>
  <c r="H20" i="5"/>
  <c r="G20" i="5"/>
  <c r="F20" i="5"/>
  <c r="E20" i="5"/>
  <c r="D20" i="5"/>
  <c r="C20" i="5"/>
  <c r="B20" i="5"/>
  <c r="H19" i="5"/>
  <c r="G19" i="5"/>
  <c r="F19" i="5"/>
  <c r="E19" i="5"/>
  <c r="D19" i="5"/>
  <c r="C19" i="5"/>
  <c r="B19" i="5"/>
  <c r="H18" i="5"/>
  <c r="G18" i="5"/>
  <c r="F18" i="5"/>
  <c r="E18" i="5"/>
  <c r="D18" i="5"/>
  <c r="C18" i="5"/>
  <c r="B18" i="5"/>
  <c r="H17" i="5"/>
  <c r="G17" i="5"/>
  <c r="F17" i="5"/>
  <c r="E17" i="5"/>
  <c r="D17" i="5"/>
  <c r="C17" i="5"/>
  <c r="B17" i="5"/>
  <c r="H16" i="5"/>
  <c r="G16" i="5"/>
  <c r="F16" i="5"/>
  <c r="E16" i="5"/>
  <c r="D16" i="5"/>
  <c r="C16" i="5"/>
  <c r="B16" i="5"/>
  <c r="H15" i="5"/>
  <c r="G15" i="5"/>
  <c r="F15" i="5"/>
  <c r="E15" i="5"/>
  <c r="D15" i="5"/>
  <c r="C15" i="5"/>
  <c r="B15" i="5"/>
  <c r="H14" i="5"/>
  <c r="G14" i="5"/>
  <c r="F14" i="5"/>
  <c r="E14" i="5"/>
  <c r="D14" i="5"/>
  <c r="C14" i="5"/>
  <c r="B14" i="5"/>
  <c r="H13" i="5"/>
  <c r="G13" i="5"/>
  <c r="F13" i="5"/>
  <c r="E13" i="5"/>
  <c r="D13" i="5"/>
  <c r="C13" i="5"/>
  <c r="B13" i="5"/>
  <c r="H12" i="5"/>
  <c r="G12" i="5"/>
  <c r="F12" i="5"/>
  <c r="E12" i="5"/>
  <c r="D12" i="5"/>
  <c r="C12" i="5"/>
  <c r="B12" i="5"/>
  <c r="H11" i="5"/>
  <c r="G11" i="5"/>
  <c r="F11" i="5"/>
  <c r="E11" i="5"/>
  <c r="D11" i="5"/>
  <c r="C11" i="5"/>
  <c r="B11" i="5"/>
  <c r="H10" i="5"/>
  <c r="G10" i="5"/>
  <c r="F10" i="5"/>
  <c r="E10" i="5"/>
  <c r="D10" i="5"/>
  <c r="C10" i="5"/>
  <c r="B10" i="5"/>
  <c r="H9" i="5"/>
  <c r="G9" i="5"/>
  <c r="F9" i="5"/>
  <c r="E9" i="5"/>
  <c r="D9" i="5"/>
  <c r="C9" i="5"/>
  <c r="B9" i="5"/>
  <c r="G5" i="5"/>
  <c r="C240" i="4"/>
  <c r="B240" i="4"/>
  <c r="C236" i="4"/>
  <c r="B236" i="4"/>
  <c r="C235" i="4"/>
  <c r="E235" i="4" s="1"/>
  <c r="B235" i="4"/>
  <c r="C234" i="4"/>
  <c r="B234" i="4"/>
  <c r="C233" i="4"/>
  <c r="B233" i="4"/>
  <c r="C232" i="4"/>
  <c r="B232" i="4"/>
  <c r="C231" i="4"/>
  <c r="E231" i="4" s="1"/>
  <c r="B231" i="4"/>
  <c r="C230" i="4"/>
  <c r="B230" i="4"/>
  <c r="C229" i="4"/>
  <c r="E229" i="4" s="1"/>
  <c r="B229" i="4"/>
  <c r="C228" i="4"/>
  <c r="B228" i="4"/>
  <c r="C227" i="4"/>
  <c r="B227" i="4"/>
  <c r="C226" i="4"/>
  <c r="B226" i="4"/>
  <c r="C225" i="4"/>
  <c r="B225" i="4"/>
  <c r="C224" i="4"/>
  <c r="B224" i="4"/>
  <c r="C223" i="4"/>
  <c r="E223" i="4" s="1"/>
  <c r="B223" i="4"/>
  <c r="C222" i="4"/>
  <c r="B222" i="4"/>
  <c r="C221" i="4"/>
  <c r="E221" i="4" s="1"/>
  <c r="B221" i="4"/>
  <c r="C220" i="4"/>
  <c r="B220" i="4"/>
  <c r="C219" i="4"/>
  <c r="E219" i="4" s="1"/>
  <c r="B219" i="4"/>
  <c r="C218" i="4"/>
  <c r="B218" i="4"/>
  <c r="C217" i="4"/>
  <c r="E217" i="4" s="1"/>
  <c r="B217" i="4"/>
  <c r="C216" i="4"/>
  <c r="B216" i="4"/>
  <c r="C211" i="4"/>
  <c r="E211" i="4" s="1"/>
  <c r="B211" i="4"/>
  <c r="C210" i="4"/>
  <c r="B210" i="4"/>
  <c r="C209" i="4"/>
  <c r="E209" i="4" s="1"/>
  <c r="B209" i="4"/>
  <c r="C208" i="4"/>
  <c r="B208" i="4"/>
  <c r="C207" i="4"/>
  <c r="E207" i="4" s="1"/>
  <c r="B207" i="4"/>
  <c r="C206" i="4"/>
  <c r="B206" i="4"/>
  <c r="C205" i="4"/>
  <c r="B205" i="4"/>
  <c r="C204" i="4"/>
  <c r="B204" i="4"/>
  <c r="C203" i="4"/>
  <c r="E203" i="4" s="1"/>
  <c r="B203" i="4"/>
  <c r="C202" i="4"/>
  <c r="B202" i="4"/>
  <c r="C201" i="4"/>
  <c r="E201" i="4" s="1"/>
  <c r="B201" i="4"/>
  <c r="C200" i="4"/>
  <c r="B200" i="4"/>
  <c r="C199" i="4"/>
  <c r="B199" i="4"/>
  <c r="C198" i="4"/>
  <c r="B198" i="4"/>
  <c r="C197" i="4"/>
  <c r="E197" i="4" s="1"/>
  <c r="B197" i="4"/>
  <c r="C180" i="4"/>
  <c r="B180" i="4"/>
  <c r="C179" i="4"/>
  <c r="E179" i="4" s="1"/>
  <c r="B179" i="4"/>
  <c r="C178" i="4"/>
  <c r="B178" i="4"/>
  <c r="C161" i="4"/>
  <c r="B161" i="4"/>
  <c r="C160" i="4"/>
  <c r="B160" i="4"/>
  <c r="C159" i="4"/>
  <c r="E159" i="4" s="1"/>
  <c r="B159" i="4"/>
  <c r="C143" i="4"/>
  <c r="B143" i="4"/>
  <c r="C142" i="4"/>
  <c r="E142" i="4" s="1"/>
  <c r="B142" i="4"/>
  <c r="C141" i="4"/>
  <c r="B141" i="4"/>
  <c r="C140" i="4"/>
  <c r="E140" i="4" s="1"/>
  <c r="B140" i="4"/>
  <c r="C124" i="4"/>
  <c r="B124" i="4"/>
  <c r="C123" i="4"/>
  <c r="E123" i="4" s="1"/>
  <c r="B123" i="4"/>
  <c r="C122" i="4"/>
  <c r="B122" i="4"/>
  <c r="C121" i="4"/>
  <c r="E121" i="4" s="1"/>
  <c r="B121" i="4"/>
  <c r="C111" i="4"/>
  <c r="B111" i="4"/>
  <c r="C110" i="4"/>
  <c r="E110" i="4" s="1"/>
  <c r="B110" i="4"/>
  <c r="C109" i="4"/>
  <c r="B109" i="4"/>
  <c r="C108" i="4"/>
  <c r="E108" i="4" s="1"/>
  <c r="B108" i="4"/>
  <c r="C107" i="4"/>
  <c r="B107" i="4"/>
  <c r="C106" i="4"/>
  <c r="E106" i="4" s="1"/>
  <c r="B106" i="4"/>
  <c r="C105" i="4"/>
  <c r="B105" i="4"/>
  <c r="C104" i="4"/>
  <c r="E104" i="4" s="1"/>
  <c r="B104" i="4"/>
  <c r="C103" i="4"/>
  <c r="B103" i="4"/>
  <c r="C102" i="4"/>
  <c r="E102" i="4" s="1"/>
  <c r="B102" i="4"/>
  <c r="C84" i="4"/>
  <c r="B84" i="4"/>
  <c r="C83" i="4"/>
  <c r="E83" i="4" s="1"/>
  <c r="B83" i="4"/>
  <c r="C65" i="4"/>
  <c r="B65" i="4"/>
  <c r="C64" i="4"/>
  <c r="E64" i="4" s="1"/>
  <c r="B64" i="4"/>
  <c r="C60" i="4"/>
  <c r="B60" i="4"/>
  <c r="C59" i="4"/>
  <c r="E59" i="4" s="1"/>
  <c r="B59" i="4"/>
  <c r="C58" i="4"/>
  <c r="B58" i="4"/>
  <c r="C57" i="4"/>
  <c r="E57" i="4" s="1"/>
  <c r="B57" i="4"/>
  <c r="C56" i="4"/>
  <c r="B56" i="4"/>
  <c r="C55" i="4"/>
  <c r="E55" i="4" s="1"/>
  <c r="B55" i="4"/>
  <c r="C54" i="4"/>
  <c r="B54" i="4"/>
  <c r="C53" i="4"/>
  <c r="E53" i="4" s="1"/>
  <c r="B53" i="4"/>
  <c r="C52" i="4"/>
  <c r="B52" i="4"/>
  <c r="C51" i="4"/>
  <c r="E51" i="4" s="1"/>
  <c r="B51" i="4"/>
  <c r="C50" i="4"/>
  <c r="B50" i="4"/>
  <c r="C49" i="4"/>
  <c r="E49" i="4" s="1"/>
  <c r="B49" i="4"/>
  <c r="C48" i="4"/>
  <c r="B48" i="4"/>
  <c r="C47" i="4"/>
  <c r="E47" i="4" s="1"/>
  <c r="B47" i="4"/>
  <c r="C46" i="4"/>
  <c r="B46" i="4"/>
  <c r="C45" i="4"/>
  <c r="E45" i="4" s="1"/>
  <c r="B45" i="4"/>
  <c r="C44" i="4"/>
  <c r="B44" i="4"/>
  <c r="C43" i="4"/>
  <c r="E43" i="4" s="1"/>
  <c r="B43" i="4"/>
  <c r="C42" i="4"/>
  <c r="B42" i="4"/>
  <c r="C41" i="4"/>
  <c r="E41" i="4" s="1"/>
  <c r="B41" i="4"/>
  <c r="C40" i="4"/>
  <c r="B40" i="4"/>
  <c r="C39" i="4"/>
  <c r="E39" i="4" s="1"/>
  <c r="B39" i="4"/>
  <c r="C38" i="4"/>
  <c r="B38" i="4"/>
  <c r="C37" i="4"/>
  <c r="E37" i="4" s="1"/>
  <c r="B37" i="4"/>
  <c r="C36" i="4"/>
  <c r="B36" i="4"/>
  <c r="C35" i="4"/>
  <c r="E35" i="4" s="1"/>
  <c r="B35" i="4"/>
  <c r="C34" i="4"/>
  <c r="B34" i="4"/>
  <c r="C33" i="4"/>
  <c r="E33" i="4" s="1"/>
  <c r="B33" i="4"/>
  <c r="C32" i="4"/>
  <c r="B32" i="4"/>
  <c r="C31" i="4"/>
  <c r="E31" i="4" s="1"/>
  <c r="B31" i="4"/>
  <c r="C30" i="4"/>
  <c r="B30" i="4"/>
  <c r="C29" i="4"/>
  <c r="E29" i="4" s="1"/>
  <c r="B29" i="4"/>
  <c r="C28" i="4"/>
  <c r="B28" i="4"/>
  <c r="C27" i="4"/>
  <c r="E27" i="4" s="1"/>
  <c r="B27" i="4"/>
  <c r="C26" i="4"/>
  <c r="B26" i="4"/>
  <c r="C25" i="4"/>
  <c r="B25" i="4"/>
  <c r="C24" i="4"/>
  <c r="B24" i="4"/>
  <c r="C23" i="4"/>
  <c r="E23" i="4" s="1"/>
  <c r="B23" i="4"/>
  <c r="C22" i="4"/>
  <c r="B22" i="4"/>
  <c r="C21" i="4"/>
  <c r="B21" i="4"/>
  <c r="C20" i="4"/>
  <c r="B20" i="4"/>
  <c r="C19" i="4"/>
  <c r="E19" i="4" s="1"/>
  <c r="B19" i="4"/>
  <c r="C18" i="4"/>
  <c r="B18" i="4"/>
  <c r="C17" i="4"/>
  <c r="B17" i="4"/>
  <c r="M12" i="4"/>
  <c r="K12" i="4"/>
  <c r="I12" i="4"/>
  <c r="G12" i="4"/>
  <c r="E12" i="4"/>
  <c r="C12" i="4"/>
  <c r="A12" i="4"/>
  <c r="C51" i="3"/>
  <c r="G51" i="3" s="1"/>
  <c r="B51" i="3"/>
  <c r="A51" i="3"/>
  <c r="C50" i="3"/>
  <c r="E50" i="3" s="1"/>
  <c r="B50" i="3"/>
  <c r="A50" i="3"/>
  <c r="C49" i="3"/>
  <c r="G49" i="3" s="1"/>
  <c r="B49" i="3"/>
  <c r="A49" i="3"/>
  <c r="C48" i="3"/>
  <c r="G48" i="3" s="1"/>
  <c r="B48" i="3"/>
  <c r="A48" i="3"/>
  <c r="C47" i="3"/>
  <c r="E47" i="3" s="1"/>
  <c r="B47" i="3"/>
  <c r="A47" i="3"/>
  <c r="C46" i="3"/>
  <c r="E46" i="3" s="1"/>
  <c r="B46" i="3"/>
  <c r="A46" i="3"/>
  <c r="C45" i="3"/>
  <c r="I45" i="3" s="1"/>
  <c r="B45" i="3"/>
  <c r="A45" i="3"/>
  <c r="C44" i="3"/>
  <c r="E44" i="3" s="1"/>
  <c r="B44" i="3"/>
  <c r="A44" i="3"/>
  <c r="C43" i="3"/>
  <c r="I43" i="3" s="1"/>
  <c r="B43" i="3"/>
  <c r="A43" i="3"/>
  <c r="C42" i="3"/>
  <c r="E42" i="3" s="1"/>
  <c r="B42" i="3"/>
  <c r="A42" i="3"/>
  <c r="C41" i="3"/>
  <c r="E41" i="3" s="1"/>
  <c r="B41" i="3"/>
  <c r="A41" i="3"/>
  <c r="C40" i="3"/>
  <c r="G40" i="3" s="1"/>
  <c r="B40" i="3"/>
  <c r="A40" i="3"/>
  <c r="C39" i="3"/>
  <c r="E39" i="3" s="1"/>
  <c r="B39" i="3"/>
  <c r="A39" i="3"/>
  <c r="C38" i="3"/>
  <c r="E38" i="3" s="1"/>
  <c r="B38" i="3"/>
  <c r="A38" i="3"/>
  <c r="C32" i="3"/>
  <c r="H32" i="3" s="1"/>
  <c r="B32" i="3"/>
  <c r="A32" i="3"/>
  <c r="C31" i="3"/>
  <c r="H31" i="3" s="1"/>
  <c r="B31" i="3"/>
  <c r="A31" i="3"/>
  <c r="C30" i="3"/>
  <c r="H30" i="3" s="1"/>
  <c r="B30" i="3"/>
  <c r="A30" i="3"/>
  <c r="C29" i="3"/>
  <c r="H29" i="3" s="1"/>
  <c r="B29" i="3"/>
  <c r="A29" i="3"/>
  <c r="C28" i="3"/>
  <c r="H28" i="3" s="1"/>
  <c r="B28" i="3"/>
  <c r="A28" i="3"/>
  <c r="C27" i="3"/>
  <c r="H27" i="3" s="1"/>
  <c r="B27" i="3"/>
  <c r="A27" i="3"/>
  <c r="C26" i="3"/>
  <c r="H26" i="3" s="1"/>
  <c r="B26" i="3"/>
  <c r="A26" i="3"/>
  <c r="C25" i="3"/>
  <c r="H25" i="3" s="1"/>
  <c r="B25" i="3"/>
  <c r="A25" i="3"/>
  <c r="C24" i="3"/>
  <c r="H24" i="3" s="1"/>
  <c r="B24" i="3"/>
  <c r="A24" i="3"/>
  <c r="C23" i="3"/>
  <c r="H23" i="3" s="1"/>
  <c r="B23" i="3"/>
  <c r="A23" i="3"/>
  <c r="C22" i="3"/>
  <c r="H22" i="3" s="1"/>
  <c r="B22" i="3"/>
  <c r="A22" i="3"/>
  <c r="C21" i="3"/>
  <c r="H21" i="3" s="1"/>
  <c r="B21" i="3"/>
  <c r="A21" i="3"/>
  <c r="C20" i="3"/>
  <c r="H20" i="3" s="1"/>
  <c r="B20" i="3"/>
  <c r="A20" i="3"/>
  <c r="C19" i="3"/>
  <c r="H19" i="3" s="1"/>
  <c r="B19" i="3"/>
  <c r="A19" i="3"/>
  <c r="J14" i="3"/>
  <c r="B14" i="3"/>
  <c r="L14" i="3" s="1"/>
  <c r="J13" i="3"/>
  <c r="B13" i="3"/>
  <c r="K13" i="3" s="1"/>
  <c r="J12" i="3"/>
  <c r="B12" i="3"/>
  <c r="L12" i="3" s="1"/>
  <c r="J11" i="3"/>
  <c r="B11" i="3"/>
  <c r="L11" i="3" s="1"/>
  <c r="M11" i="3" s="1"/>
  <c r="J10" i="3"/>
  <c r="B10" i="3"/>
  <c r="L10" i="3" s="1"/>
  <c r="J9" i="3"/>
  <c r="B9" i="3"/>
  <c r="C9" i="3" s="1"/>
  <c r="J8" i="3"/>
  <c r="B8" i="3"/>
  <c r="L8" i="3" s="1"/>
  <c r="J7" i="3"/>
  <c r="B7" i="3"/>
  <c r="C7" i="3" s="1"/>
  <c r="D5" i="3"/>
  <c r="D52" i="2"/>
  <c r="C52" i="2"/>
  <c r="B52" i="2"/>
  <c r="D51" i="2"/>
  <c r="C51" i="2"/>
  <c r="B51" i="2"/>
  <c r="D35" i="2"/>
  <c r="C35" i="2"/>
  <c r="B35" i="2"/>
  <c r="D34" i="2"/>
  <c r="C34" i="2"/>
  <c r="B34" i="2"/>
  <c r="D33" i="2"/>
  <c r="C33" i="2"/>
  <c r="B33" i="2"/>
  <c r="D32" i="2"/>
  <c r="C32" i="2"/>
  <c r="B32" i="2"/>
  <c r="C18" i="2"/>
  <c r="B18" i="2"/>
  <c r="C17" i="2"/>
  <c r="B17" i="2"/>
  <c r="C16" i="2"/>
  <c r="B16" i="2"/>
  <c r="C15" i="2"/>
  <c r="B15" i="2"/>
  <c r="C14" i="2"/>
  <c r="B14" i="2"/>
  <c r="C13" i="2"/>
  <c r="B13" i="2"/>
  <c r="L8" i="2"/>
  <c r="J8" i="2"/>
  <c r="H8" i="2"/>
  <c r="L5" i="2"/>
  <c r="C57" i="2" s="1"/>
  <c r="J5" i="2"/>
  <c r="H5" i="2"/>
  <c r="C58" i="2" s="1"/>
  <c r="M12" i="3" l="1"/>
  <c r="D51" i="7"/>
  <c r="M14" i="3"/>
  <c r="I31" i="3"/>
  <c r="K31" i="3"/>
  <c r="D14" i="9"/>
  <c r="H10" i="10"/>
  <c r="D15" i="9"/>
  <c r="D16" i="9"/>
  <c r="G19" i="3"/>
  <c r="G26" i="3"/>
  <c r="I26" i="3"/>
  <c r="D31" i="3"/>
  <c r="E31" i="3"/>
  <c r="K19" i="3"/>
  <c r="K26" i="3"/>
  <c r="D206" i="4"/>
  <c r="D234" i="4"/>
  <c r="C26" i="6"/>
  <c r="H33" i="3"/>
  <c r="D19" i="3"/>
  <c r="K28" i="3"/>
  <c r="F31" i="3"/>
  <c r="E19" i="3"/>
  <c r="G31" i="3"/>
  <c r="G45" i="3"/>
  <c r="F19" i="3"/>
  <c r="C11" i="6"/>
  <c r="I19" i="3"/>
  <c r="F29" i="3"/>
  <c r="G46" i="3"/>
  <c r="F22" i="3"/>
  <c r="J27" i="3"/>
  <c r="E22" i="3"/>
  <c r="I27" i="3"/>
  <c r="G22" i="3"/>
  <c r="K27" i="3"/>
  <c r="I20" i="3"/>
  <c r="I22" i="3"/>
  <c r="I32" i="3"/>
  <c r="J20" i="3"/>
  <c r="J22" i="3"/>
  <c r="J32" i="3"/>
  <c r="D22" i="3"/>
  <c r="G29" i="3"/>
  <c r="K22" i="3"/>
  <c r="D12" i="9"/>
  <c r="G42" i="3"/>
  <c r="C8" i="3"/>
  <c r="L13" i="3"/>
  <c r="M13" i="3" s="1"/>
  <c r="L9" i="3"/>
  <c r="M9" i="3" s="1"/>
  <c r="M10" i="3"/>
  <c r="K10" i="3"/>
  <c r="K9" i="3"/>
  <c r="K7" i="3"/>
  <c r="L7" i="3"/>
  <c r="K19" i="8"/>
  <c r="F26" i="3"/>
  <c r="C61" i="6"/>
  <c r="C12" i="6"/>
  <c r="C62" i="6"/>
  <c r="C18" i="9"/>
  <c r="I21" i="3"/>
  <c r="D25" i="3"/>
  <c r="D28" i="3"/>
  <c r="G38" i="3"/>
  <c r="C11" i="3"/>
  <c r="J21" i="3"/>
  <c r="E25" i="3"/>
  <c r="J26" i="3"/>
  <c r="E28" i="3"/>
  <c r="I38" i="3"/>
  <c r="G41" i="3"/>
  <c r="G44" i="3"/>
  <c r="D13" i="9"/>
  <c r="H12" i="10"/>
  <c r="H13" i="10" s="1"/>
  <c r="H5" i="10" s="1"/>
  <c r="K21" i="3"/>
  <c r="F25" i="3"/>
  <c r="F28" i="3"/>
  <c r="I44" i="3"/>
  <c r="M8" i="3"/>
  <c r="K11" i="3"/>
  <c r="D20" i="3"/>
  <c r="C66" i="6"/>
  <c r="K8" i="3"/>
  <c r="F20" i="3"/>
  <c r="F23" i="3"/>
  <c r="I25" i="3"/>
  <c r="I28" i="3"/>
  <c r="F32" i="3"/>
  <c r="E51" i="3"/>
  <c r="C43" i="6"/>
  <c r="C73" i="6"/>
  <c r="G25" i="3"/>
  <c r="G28" i="3"/>
  <c r="D32" i="3"/>
  <c r="G20" i="3"/>
  <c r="G23" i="3"/>
  <c r="K25" i="3"/>
  <c r="J28" i="3"/>
  <c r="G32" i="3"/>
  <c r="I39" i="3"/>
  <c r="D109" i="4"/>
  <c r="D160" i="4"/>
  <c r="C44" i="6"/>
  <c r="C74" i="6"/>
  <c r="K14" i="8"/>
  <c r="K12" i="3"/>
  <c r="K20" i="3"/>
  <c r="K32" i="3"/>
  <c r="E49" i="3"/>
  <c r="D26" i="3"/>
  <c r="I40" i="3"/>
  <c r="D7" i="9"/>
  <c r="D17" i="9"/>
  <c r="K12" i="8"/>
  <c r="L12" i="8" s="1"/>
  <c r="K16" i="8"/>
  <c r="K15" i="8"/>
  <c r="K18" i="8"/>
  <c r="E7" i="8"/>
  <c r="D111" i="4"/>
  <c r="D143" i="4"/>
  <c r="D202" i="4"/>
  <c r="D218" i="4"/>
  <c r="D230" i="4"/>
  <c r="D50" i="4"/>
  <c r="D225" i="4"/>
  <c r="D26" i="4"/>
  <c r="D20" i="4"/>
  <c r="D107" i="4"/>
  <c r="D224" i="4"/>
  <c r="D40" i="4"/>
  <c r="D220" i="4"/>
  <c r="D36" i="4"/>
  <c r="D211" i="4"/>
  <c r="D236" i="4"/>
  <c r="D60" i="4"/>
  <c r="E225" i="4"/>
  <c r="D198" i="4"/>
  <c r="D226" i="4"/>
  <c r="D231" i="4"/>
  <c r="D22" i="4"/>
  <c r="D161" i="4"/>
  <c r="D42" i="4"/>
  <c r="E161" i="4"/>
  <c r="D28" i="4"/>
  <c r="D52" i="4"/>
  <c r="D32" i="4"/>
  <c r="D56" i="4"/>
  <c r="D141" i="4"/>
  <c r="D216" i="4"/>
  <c r="D103" i="4"/>
  <c r="D18" i="4"/>
  <c r="D65" i="4"/>
  <c r="D178" i="4"/>
  <c r="D199" i="4"/>
  <c r="D222" i="4"/>
  <c r="D227" i="4"/>
  <c r="D221" i="4"/>
  <c r="E199" i="4"/>
  <c r="D204" i="4"/>
  <c r="E227" i="4"/>
  <c r="D232" i="4"/>
  <c r="D240" i="4"/>
  <c r="D46" i="4"/>
  <c r="D122" i="4"/>
  <c r="E240" i="4"/>
  <c r="D208" i="4"/>
  <c r="D38" i="4"/>
  <c r="D34" i="4"/>
  <c r="D105" i="4"/>
  <c r="D200" i="4"/>
  <c r="D205" i="4"/>
  <c r="D228" i="4"/>
  <c r="D233" i="4"/>
  <c r="D30" i="4"/>
  <c r="D54" i="4"/>
  <c r="D124" i="4"/>
  <c r="E205" i="4"/>
  <c r="D210" i="4"/>
  <c r="E233" i="4"/>
  <c r="D48" i="4"/>
  <c r="D24" i="4"/>
  <c r="D58" i="4"/>
  <c r="D44" i="4"/>
  <c r="D84" i="4"/>
  <c r="D180" i="4"/>
  <c r="C59" i="2"/>
  <c r="C60" i="2" s="1"/>
  <c r="C42" i="6"/>
  <c r="J20" i="8"/>
  <c r="C14" i="3"/>
  <c r="E24" i="3"/>
  <c r="E30" i="3"/>
  <c r="G47" i="3"/>
  <c r="C12" i="3"/>
  <c r="D23" i="3"/>
  <c r="F24" i="3"/>
  <c r="D29" i="3"/>
  <c r="F30" i="3"/>
  <c r="E40" i="3"/>
  <c r="C10" i="3"/>
  <c r="K14" i="3"/>
  <c r="J19" i="3"/>
  <c r="E23" i="3"/>
  <c r="G24" i="3"/>
  <c r="J25" i="3"/>
  <c r="E29" i="3"/>
  <c r="G30" i="3"/>
  <c r="J31" i="3"/>
  <c r="C33" i="3"/>
  <c r="E45" i="3"/>
  <c r="G50" i="3"/>
  <c r="E20" i="4"/>
  <c r="E24" i="4"/>
  <c r="E28" i="4"/>
  <c r="E32" i="4"/>
  <c r="E36" i="4"/>
  <c r="E40" i="4"/>
  <c r="E44" i="4"/>
  <c r="E48" i="4"/>
  <c r="E52" i="4"/>
  <c r="E56" i="4"/>
  <c r="E60" i="4"/>
  <c r="E84" i="4"/>
  <c r="E105" i="4"/>
  <c r="E109" i="4"/>
  <c r="E122" i="4"/>
  <c r="E141" i="4"/>
  <c r="E160" i="4"/>
  <c r="E180" i="4"/>
  <c r="E200" i="4"/>
  <c r="E204" i="4"/>
  <c r="E208" i="4"/>
  <c r="E216" i="4"/>
  <c r="E220" i="4"/>
  <c r="E224" i="4"/>
  <c r="E228" i="4"/>
  <c r="E232" i="4"/>
  <c r="E236" i="4"/>
  <c r="D21" i="4"/>
  <c r="D25" i="4"/>
  <c r="D29" i="4"/>
  <c r="D33" i="4"/>
  <c r="D37" i="4"/>
  <c r="D41" i="4"/>
  <c r="D45" i="4"/>
  <c r="D49" i="4"/>
  <c r="D53" i="4"/>
  <c r="D57" i="4"/>
  <c r="D64" i="4"/>
  <c r="D102" i="4"/>
  <c r="D106" i="4"/>
  <c r="D110" i="4"/>
  <c r="D123" i="4"/>
  <c r="D142" i="4"/>
  <c r="D197" i="4"/>
  <c r="D201" i="4"/>
  <c r="D209" i="4"/>
  <c r="D217" i="4"/>
  <c r="D229" i="4"/>
  <c r="C57" i="6"/>
  <c r="C75" i="6"/>
  <c r="J24" i="3"/>
  <c r="J30" i="3"/>
  <c r="E43" i="3"/>
  <c r="E48" i="3"/>
  <c r="C58" i="6"/>
  <c r="K13" i="8"/>
  <c r="I24" i="3"/>
  <c r="I30" i="3"/>
  <c r="D17" i="4"/>
  <c r="D21" i="3"/>
  <c r="I23" i="3"/>
  <c r="K24" i="3"/>
  <c r="D27" i="3"/>
  <c r="I29" i="3"/>
  <c r="K30" i="3"/>
  <c r="G43" i="3"/>
  <c r="E17" i="4"/>
  <c r="E21" i="4"/>
  <c r="E25" i="4"/>
  <c r="C13" i="3"/>
  <c r="E21" i="3"/>
  <c r="J23" i="3"/>
  <c r="E27" i="3"/>
  <c r="J29" i="3"/>
  <c r="C59" i="6"/>
  <c r="D52" i="7"/>
  <c r="D31" i="10"/>
  <c r="D37" i="10"/>
  <c r="D39" i="10" s="1"/>
  <c r="C10" i="6"/>
  <c r="C60" i="6"/>
  <c r="F21" i="3"/>
  <c r="K23" i="3"/>
  <c r="F27" i="3"/>
  <c r="K29" i="3"/>
  <c r="E20" i="3"/>
  <c r="G21" i="3"/>
  <c r="E26" i="3"/>
  <c r="G27" i="3"/>
  <c r="E32" i="3"/>
  <c r="G39" i="3"/>
  <c r="E18" i="4"/>
  <c r="E22" i="4"/>
  <c r="E26" i="4"/>
  <c r="E30" i="4"/>
  <c r="E34" i="4"/>
  <c r="E38" i="4"/>
  <c r="E42" i="4"/>
  <c r="E46" i="4"/>
  <c r="E50" i="4"/>
  <c r="E54" i="4"/>
  <c r="E58" i="4"/>
  <c r="E65" i="4"/>
  <c r="E103" i="4"/>
  <c r="E107" i="4"/>
  <c r="E111" i="4"/>
  <c r="E124" i="4"/>
  <c r="E143" i="4"/>
  <c r="E178" i="4"/>
  <c r="E198" i="4"/>
  <c r="E202" i="4"/>
  <c r="E206" i="4"/>
  <c r="E210" i="4"/>
  <c r="E218" i="4"/>
  <c r="E222" i="4"/>
  <c r="E226" i="4"/>
  <c r="E230" i="4"/>
  <c r="E234" i="4"/>
  <c r="D19" i="4"/>
  <c r="D23" i="4"/>
  <c r="D27" i="4"/>
  <c r="D31" i="4"/>
  <c r="D35" i="4"/>
  <c r="D39" i="4"/>
  <c r="D43" i="4"/>
  <c r="D47" i="4"/>
  <c r="D51" i="4"/>
  <c r="D55" i="4"/>
  <c r="D59" i="4"/>
  <c r="D83" i="4"/>
  <c r="D104" i="4"/>
  <c r="D108" i="4"/>
  <c r="D121" i="4"/>
  <c r="D140" i="4"/>
  <c r="D159" i="4"/>
  <c r="D179" i="4"/>
  <c r="D203" i="4"/>
  <c r="D207" i="4"/>
  <c r="D219" i="4"/>
  <c r="D223" i="4"/>
  <c r="D235" i="4"/>
  <c r="C25" i="6"/>
  <c r="C63" i="6"/>
  <c r="E12" i="9"/>
  <c r="D24" i="3"/>
  <c r="D30" i="3"/>
  <c r="C64" i="6"/>
  <c r="K17" i="8"/>
  <c r="C41" i="6"/>
  <c r="C65" i="6"/>
  <c r="D54" i="10"/>
  <c r="D56" i="10"/>
  <c r="D8" i="10"/>
  <c r="B18" i="9"/>
  <c r="I20" i="8"/>
  <c r="L19" i="3" l="1"/>
  <c r="L31" i="3"/>
  <c r="L20" i="3"/>
  <c r="L25" i="3"/>
  <c r="D18" i="9"/>
  <c r="L26" i="3"/>
  <c r="L30" i="3"/>
  <c r="D33" i="3"/>
  <c r="I33" i="3"/>
  <c r="L32" i="3"/>
  <c r="K33" i="3"/>
  <c r="E13" i="9"/>
  <c r="E14" i="9" s="1"/>
  <c r="E15" i="9" s="1"/>
  <c r="E16" i="9" s="1"/>
  <c r="E17" i="9" s="1"/>
  <c r="L22" i="3"/>
  <c r="K15" i="3"/>
  <c r="L15" i="3"/>
  <c r="M7" i="3"/>
  <c r="M15" i="3" s="1"/>
  <c r="L13" i="8"/>
  <c r="L14" i="8" s="1"/>
  <c r="L15" i="8" s="1"/>
  <c r="L16" i="8" s="1"/>
  <c r="L17" i="8" s="1"/>
  <c r="L18" i="8" s="1"/>
  <c r="L19" i="8" s="1"/>
  <c r="L28" i="3"/>
  <c r="G33" i="3"/>
  <c r="E33" i="3"/>
  <c r="F33" i="3"/>
  <c r="K20" i="8"/>
  <c r="J33" i="3"/>
  <c r="L29" i="3"/>
  <c r="L24" i="3"/>
  <c r="L27" i="3"/>
  <c r="L23" i="3"/>
  <c r="E21" i="10"/>
  <c r="G21" i="10" s="1"/>
  <c r="E15" i="10"/>
  <c r="G15" i="10" s="1"/>
  <c r="E20" i="10"/>
  <c r="E19" i="10"/>
  <c r="G19" i="10" s="1"/>
  <c r="E18" i="10"/>
  <c r="G18" i="10" s="1"/>
  <c r="D9" i="10"/>
  <c r="E17" i="10"/>
  <c r="G17" i="10" s="1"/>
  <c r="E22" i="10"/>
  <c r="G22" i="10" s="1"/>
  <c r="E16" i="10"/>
  <c r="G16" i="10" s="1"/>
  <c r="L21" i="3"/>
  <c r="L33" i="3" l="1"/>
  <c r="G20" i="10"/>
  <c r="I26" i="10"/>
  <c r="I27" i="10" l="1"/>
  <c r="D57" i="10"/>
  <c r="D58" i="10" s="1"/>
  <c r="I29" i="10" l="1"/>
  <c r="I28" i="10"/>
  <c r="D42" i="10"/>
  <c r="D43" i="10" l="1"/>
  <c r="D44" i="10"/>
</calcChain>
</file>

<file path=xl/sharedStrings.xml><?xml version="1.0" encoding="utf-8"?>
<sst xmlns="http://schemas.openxmlformats.org/spreadsheetml/2006/main" count="18547" uniqueCount="2398">
  <si>
    <t>ANÁLISE DA FAZENDA — PAINEL DE GESTÃO</t>
  </si>
  <si>
    <t>Produção • Dieta • Reprodução • Rebanho • Estoque • Financeiro • Resultados</t>
  </si>
  <si>
    <t>PRODUÇÃO LEITEIRA</t>
  </si>
  <si>
    <t>► 1·PRODUÇÃO</t>
  </si>
  <si>
    <t>Produção por período/DEL, projeção 305d, concepção×produção, por DEL/lactação</t>
  </si>
  <si>
    <t>► 2·DIETA</t>
  </si>
  <si>
    <t>Dieta e trato por lote — kg/dia, kg/trato e custo por alimento</t>
  </si>
  <si>
    <t>REPRODUÇÃO</t>
  </si>
  <si>
    <t>► 3·REPRODUÇÃO</t>
  </si>
  <si>
    <t>Dashboard filtrável: concepção, perda, DEL, retenção, por 12 dimensões</t>
  </si>
  <si>
    <t>► 3.1·REP-RESUMO</t>
  </si>
  <si>
    <t>Séries temporais e tabelas de cobertura/IA e cio/IATF</t>
  </si>
  <si>
    <t>REBANHO &amp; ESTOQUE</t>
  </si>
  <si>
    <t>► 4·REBANHO</t>
  </si>
  <si>
    <t>Baixas, partos, sexo da cria (filtro animais baixados)</t>
  </si>
  <si>
    <t>► 5·ESTOQUE</t>
  </si>
  <si>
    <t>Curva ABC, valor imobilizado, itens abaixo do mínimo</t>
  </si>
  <si>
    <t>FINANCEIRO</t>
  </si>
  <si>
    <t>► 6·FINANCEIRO</t>
  </si>
  <si>
    <t>Fluxo de caixa e DRE</t>
  </si>
  <si>
    <t>► 7·RESULTADOS</t>
  </si>
  <si>
    <t>Custo por litro, sobra após alimentação/folha, payback</t>
  </si>
  <si>
    <t>► 6.1·LIVRO CAIXA</t>
  </si>
  <si>
    <t>Entradas x saídas por período, com gráfico de barras</t>
  </si>
  <si>
    <t>Atualização: substitua o CSV na pasta CLAUDE - RELATÓRIOS (mesmo nome) e clique no botão ATUALIZAR DADOS.</t>
  </si>
  <si>
    <t>⟳  ATUALIZAR DADOS</t>
  </si>
  <si>
    <t>Habilite as macros ao abrir e clique no botão: ele lê os CSVs da pasta CLAUDE - RELATÓRIOS e atualiza TODAS as abas automaticamente.</t>
  </si>
  <si>
    <t xml:space="preserve">  COMO ATUALIZAR A PLANILHA — DE ONDE TIRAR CADA RELATÓRIO (IDEAGRI)</t>
  </si>
  <si>
    <t>Arquivo (.csv)</t>
  </si>
  <si>
    <t>De onde tirar / como gerar</t>
  </si>
  <si>
    <t>FC</t>
  </si>
  <si>
    <t>Ideagri ▸ Fluxo de caixa — exportar sempre desde 12/2025 em diante.</t>
  </si>
  <si>
    <t>ABC</t>
  </si>
  <si>
    <t>Ideagri ▸ Curva ABC — exportar sempre desde 12/2025 em diante.</t>
  </si>
  <si>
    <t>DIETA</t>
  </si>
  <si>
    <t>Padrão. Só trocar se houver mudança de dieta.</t>
  </si>
  <si>
    <t>ESTOQUE</t>
  </si>
  <si>
    <t>Ideagri ▸ Inventário — sempre na data atual.</t>
  </si>
  <si>
    <t>GERAL</t>
  </si>
  <si>
    <t>Ideagri ▸ Meus Relatórios ▸ Geral.</t>
  </si>
  <si>
    <t>1 - Consulta_SQL_Dados_Reprodutivos_e_Produtivos_Versao_8</t>
  </si>
  <si>
    <t>Google Drive (jairodarte) ▸ FAZENDA ▸ Fazenda ▸ IDEAGRI ▸ SQL ▸ [este arquivo]. Abrir no Bloco de Notas, copiar tudo e colar no IDEAGRI ▸ Utilitários ▸ Consulta SQL. Executar e exportar em .csv.</t>
  </si>
  <si>
    <t>Lista_de_controles_leiteiros_..._filtrar_periodo</t>
  </si>
  <si>
    <t>Google Drive (jairodarte) ▸ FAZENDA ▸ Fazenda ▸ IDEAGRI ▸ SQL ▸ [este arquivo]. Arrastar para dentro do IDEAGRI ▸ Utilitários ▸ Consulta SQL. Executar e exportar em .csv.</t>
  </si>
  <si>
    <t xml:space="preserve">  Regra de ouro: salve cada .csv na pasta CLAUDE - RELATÓRIOS com EXATAMENTE o mesmo nome de antes. Depois clique em ATUALIZAR DADOS.</t>
  </si>
  <si>
    <t xml:space="preserve">  PRODUÇÃO DE LEITE</t>
  </si>
  <si>
    <t xml:space="preserve">  Fontes: LEITE (controles), GERAL (último controle), REPRODUTIVO. Filtros em amarelo. Leite por raça removido.</t>
  </si>
  <si>
    <t>FILTROS</t>
  </si>
  <si>
    <t>VACAS EM LACTAÇÃO</t>
  </si>
  <si>
    <t>PRODUÇÃO DIÁRIA EST. (L)</t>
  </si>
  <si>
    <t>MÉDIA L/VACA/DIA</t>
  </si>
  <si>
    <t>Período de:</t>
  </si>
  <si>
    <t>até:</t>
  </si>
  <si>
    <t>Categoria:</t>
  </si>
  <si>
    <t>(Todos)</t>
  </si>
  <si>
    <t>DEL de (dias):</t>
  </si>
  <si>
    <t>MÉDIA NO FILTRO (kg/controle)</t>
  </si>
  <si>
    <t>Nº CONTROLES NO FILTRO</t>
  </si>
  <si>
    <t>CCS MÉDIA</t>
  </si>
  <si>
    <t>Produção média por faixa de DEL no controle (kg) — respeita o período</t>
  </si>
  <si>
    <t>Faixa DEL (dias)</t>
  </si>
  <si>
    <t>kg/controle</t>
  </si>
  <si>
    <t>Nº controles</t>
  </si>
  <si>
    <t>0–60</t>
  </si>
  <si>
    <t>61–120</t>
  </si>
  <si>
    <t>121–180</t>
  </si>
  <si>
    <t>181–240</t>
  </si>
  <si>
    <t>241–305</t>
  </si>
  <si>
    <t>&gt;305</t>
  </si>
  <si>
    <t>Concepção × Produção por ordem de parto (filtro categoria)</t>
  </si>
  <si>
    <t>Ordem parto</t>
  </si>
  <si>
    <t>Taxa concepção</t>
  </si>
  <si>
    <t>Méd. prod. leite</t>
  </si>
  <si>
    <t>Nº serviços</t>
  </si>
  <si>
    <t>Produção da 1ª lactação por categoria (total e projeção 305 dias*)</t>
  </si>
  <si>
    <t>Categoria</t>
  </si>
  <si>
    <t>Méd. total 1ªL (kg)</t>
  </si>
  <si>
    <t>Proj. 305d (kg)*</t>
  </si>
  <si>
    <t>Nº matrizes</t>
  </si>
  <si>
    <t>Vaca</t>
  </si>
  <si>
    <t>Novilha</t>
  </si>
  <si>
    <t>*Projeção 305d = total da lactação ÷ dias de lactação × 305 (estimativa simples; quando há data de término). Produção por PESO não consta (peso ao parto vazio na base).</t>
  </si>
  <si>
    <t xml:space="preserve">  PROJEÇÃO DE PRODUÇÃO POR Nº DE MATRIZES EM LACTAÇÃO</t>
  </si>
  <si>
    <t>Média atual L/vaca/dia</t>
  </si>
  <si>
    <t>Matrizes em lactação (simular)</t>
  </si>
  <si>
    <t>◀ digite o nº de matrizes para projetar</t>
  </si>
  <si>
    <t>Produção/dia projetada (L)</t>
  </si>
  <si>
    <t>Produção/mês projetada (L)</t>
  </si>
  <si>
    <t xml:space="preserve">  DIETA &amp; TRATO ANIMAL</t>
  </si>
  <si>
    <t xml:space="preserve">  kg por animal/dia (aba DIETA) × nº de animais por lote (GERAL). 2 tratos/dia → kg/trato = kg/dia ÷ 2.</t>
  </si>
  <si>
    <t>RESUMO DIÁRIO — por concentrado (escolha o lote)</t>
  </si>
  <si>
    <t>COMPRA DO MES - 30 DIAS</t>
  </si>
  <si>
    <t>Lote:</t>
  </si>
  <si>
    <t>(nº animais no lote):</t>
  </si>
  <si>
    <t>Alimento</t>
  </si>
  <si>
    <t>kg/dia</t>
  </si>
  <si>
    <t>kg/trato</t>
  </si>
  <si>
    <t>Compra 30 dias (kg)</t>
  </si>
  <si>
    <t>Sacos (30kg)</t>
  </si>
  <si>
    <t>Silagem</t>
  </si>
  <si>
    <t>Teck Milk 24%</t>
  </si>
  <si>
    <t>Milk Proteico</t>
  </si>
  <si>
    <t>Ração Pré-parto</t>
  </si>
  <si>
    <t>Ração Bezerro 1</t>
  </si>
  <si>
    <t>Ração Bezerro 2</t>
  </si>
  <si>
    <t>Corte 21</t>
  </si>
  <si>
    <t>Leite (L)</t>
  </si>
  <si>
    <t>TOTAL</t>
  </si>
  <si>
    <t>Obs.: silagem e leite = producao propria; ajuste conforme a compra real.</t>
  </si>
  <si>
    <t>Consumo por lote — kg/DIA (nº animais × kg/animal)</t>
  </si>
  <si>
    <t>Lote</t>
  </si>
  <si>
    <t>Nº anim.</t>
  </si>
  <si>
    <t>Total kg/dia</t>
  </si>
  <si>
    <t>Resumo de TRATO por lote (kg por trato = kg/dia ÷ 2)</t>
  </si>
  <si>
    <t>Qtde silagem</t>
  </si>
  <si>
    <t>Concentrado 1</t>
  </si>
  <si>
    <t>Qtde conc.1</t>
  </si>
  <si>
    <t>Concentrado 2</t>
  </si>
  <si>
    <t>Qtde conc.2</t>
  </si>
  <si>
    <t>Obs.: 'Leite (L)' nos lotes de bezerros = litros de leite/trato. Tabela nutricional dos alimentos disponível no PDF anexo.</t>
  </si>
  <si>
    <t xml:space="preserve">  REPRODUÇÃO — DASHBOARD</t>
  </si>
  <si>
    <t xml:space="preserve">  Selecione os filtros (amarelo). Barras = positivos; linha = taxa de concepção. Todos os gráficos respondem aos filtros.</t>
  </si>
  <si>
    <t>2022</t>
  </si>
  <si>
    <t>5/8 HO, GL</t>
  </si>
  <si>
    <t>Cobertura</t>
  </si>
  <si>
    <t>CIO NATURAL</t>
  </si>
  <si>
    <t>JORBESON NUNES</t>
  </si>
  <si>
    <t>-53431</t>
  </si>
  <si>
    <t>022-042</t>
  </si>
  <si>
    <t>2023</t>
  </si>
  <si>
    <t>Girolando</t>
  </si>
  <si>
    <t>Inseminação Artificial</t>
  </si>
  <si>
    <t>PROTOCOLO IATF</t>
  </si>
  <si>
    <t>LEOMIR BONFIM</t>
  </si>
  <si>
    <t>-867</t>
  </si>
  <si>
    <t>043-063</t>
  </si>
  <si>
    <t>2024</t>
  </si>
  <si>
    <t>Holandês</t>
  </si>
  <si>
    <t>THIAGO ALPHA ABS</t>
  </si>
  <si>
    <t>A.R.K. MYTYME HILLUX</t>
  </si>
  <si>
    <t>064-084</t>
  </si>
  <si>
    <t>Ano:</t>
  </si>
  <si>
    <t>2025</t>
  </si>
  <si>
    <t>Jersey</t>
  </si>
  <si>
    <t>A.R.K. STARGAZER MES</t>
  </si>
  <si>
    <t>085-105</t>
  </si>
  <si>
    <t>Raça matriz:</t>
  </si>
  <si>
    <t>Tipo serviço:</t>
  </si>
  <si>
    <t>2026</t>
  </si>
  <si>
    <t>CAMPEAO FIV RIO DO L</t>
  </si>
  <si>
    <t>106-126</t>
  </si>
  <si>
    <t>Condição IA:</t>
  </si>
  <si>
    <t>Inseminador:</t>
  </si>
  <si>
    <t>Touro/sêmen:</t>
  </si>
  <si>
    <t>COORS</t>
  </si>
  <si>
    <t>127-147</t>
  </si>
  <si>
    <t>DEL de:</t>
  </si>
  <si>
    <t>DESCONHECIDO 0</t>
  </si>
  <si>
    <t>148-168</t>
  </si>
  <si>
    <t>GUINESS</t>
  </si>
  <si>
    <t>169-189</t>
  </si>
  <si>
    <t>RESULTADO DO FILTRO SELECIONADO</t>
  </si>
  <si>
    <t>METEORO</t>
  </si>
  <si>
    <t>190-210</t>
  </si>
  <si>
    <t>DIAGNOSTICADOS</t>
  </si>
  <si>
    <t>POSITIVOS</t>
  </si>
  <si>
    <t>TAXA CONCEPÇÃO</t>
  </si>
  <si>
    <t>PERDAS</t>
  </si>
  <si>
    <t>PERDA DE PRENHEZ</t>
  </si>
  <si>
    <t>DEL MÉDIO</t>
  </si>
  <si>
    <t>REGISTROS</t>
  </si>
  <si>
    <t>N. INF</t>
  </si>
  <si>
    <t>211-231</t>
  </si>
  <si>
    <t>NABIL</t>
  </si>
  <si>
    <t>232-252</t>
  </si>
  <si>
    <t>ROBO</t>
  </si>
  <si>
    <t>253-273</t>
  </si>
  <si>
    <t>SEVAVERDE</t>
  </si>
  <si>
    <t>274-294</t>
  </si>
  <si>
    <t>Concepção / Perda por MÊS do serviço</t>
  </si>
  <si>
    <t>SUCESSOR</t>
  </si>
  <si>
    <t>295-315</t>
  </si>
  <si>
    <t>Diagn.</t>
  </si>
  <si>
    <t>Posit.</t>
  </si>
  <si>
    <t>Taxa conc.</t>
  </si>
  <si>
    <t>Perda %</t>
  </si>
  <si>
    <t>TOURO</t>
  </si>
  <si>
    <t>316-336</t>
  </si>
  <si>
    <t>2022-09</t>
  </si>
  <si>
    <t>337-357</t>
  </si>
  <si>
    <t>2022-10</t>
  </si>
  <si>
    <t>358-378</t>
  </si>
  <si>
    <t>2022-11</t>
  </si>
  <si>
    <t>379-399</t>
  </si>
  <si>
    <t>2022-12</t>
  </si>
  <si>
    <t>400-420</t>
  </si>
  <si>
    <t>2023-01</t>
  </si>
  <si>
    <t>421-441</t>
  </si>
  <si>
    <t>2023-02</t>
  </si>
  <si>
    <t>442-462</t>
  </si>
  <si>
    <t>2023-04</t>
  </si>
  <si>
    <t>2023-05</t>
  </si>
  <si>
    <t>2023-06</t>
  </si>
  <si>
    <t>2023-07</t>
  </si>
  <si>
    <t>2023-08</t>
  </si>
  <si>
    <t>2023-09</t>
  </si>
  <si>
    <t>2023-10</t>
  </si>
  <si>
    <t>2023-11</t>
  </si>
  <si>
    <t>2023-12</t>
  </si>
  <si>
    <t>2024-01</t>
  </si>
  <si>
    <t>2024-02</t>
  </si>
  <si>
    <t>2024-03</t>
  </si>
  <si>
    <t>2024-04</t>
  </si>
  <si>
    <t>2024-05</t>
  </si>
  <si>
    <t>2024-06</t>
  </si>
  <si>
    <t>2024-07</t>
  </si>
  <si>
    <t>2024-08</t>
  </si>
  <si>
    <t>2024-09</t>
  </si>
  <si>
    <t>2024-10</t>
  </si>
  <si>
    <t>2024-11</t>
  </si>
  <si>
    <t>2024-12</t>
  </si>
  <si>
    <t>2025-01</t>
  </si>
  <si>
    <t>2025-02</t>
  </si>
  <si>
    <t>2025-03</t>
  </si>
  <si>
    <t>2025-04</t>
  </si>
  <si>
    <t>2025-05</t>
  </si>
  <si>
    <t>2025-07</t>
  </si>
  <si>
    <t>2025-08</t>
  </si>
  <si>
    <t>2025-09</t>
  </si>
  <si>
    <t>2025-10</t>
  </si>
  <si>
    <t>2025-11</t>
  </si>
  <si>
    <t>2025-12</t>
  </si>
  <si>
    <t>2026-01</t>
  </si>
  <si>
    <t>2026-02</t>
  </si>
  <si>
    <t>2026-03</t>
  </si>
  <si>
    <t>2026-04</t>
  </si>
  <si>
    <t>2026-05</t>
  </si>
  <si>
    <t>2026-06</t>
  </si>
  <si>
    <t>por TIPO DE SERVIÇO</t>
  </si>
  <si>
    <t>por CONDIÇÃO DE IA</t>
  </si>
  <si>
    <t>por ORDEM DE TENTATIVA</t>
  </si>
  <si>
    <t>por RAÇA DA MATRIZ</t>
  </si>
  <si>
    <t>por ORDEM DE PARTO</t>
  </si>
  <si>
    <t>por INSEMINADOR</t>
  </si>
  <si>
    <t>por RAÇA DO REPRODUTOR</t>
  </si>
  <si>
    <t>Nelore</t>
  </si>
  <si>
    <t>por TOURO / SÊMEN (top 15)</t>
  </si>
  <si>
    <t>por FAIXA DE DEL no serviço</t>
  </si>
  <si>
    <t>por RETENÇÃO DE PLACENTA</t>
  </si>
  <si>
    <t>0</t>
  </si>
  <si>
    <t>Obs.: Retenção de placenta = '0' em todos os registros (sem casos). Perda por DEL: ver 'por FAIXA DE DEL'.</t>
  </si>
  <si>
    <t xml:space="preserve">  REPRODUÇÃO — RESUMO TEMPORAL</t>
  </si>
  <si>
    <t xml:space="preserve">  Evolução por período. Filtro de categoria.</t>
  </si>
  <si>
    <t>FILTRO</t>
  </si>
  <si>
    <t>Idade média 1º serviço de novilhas (meses):</t>
  </si>
  <si>
    <t>Evolução (respeita filtro de categoria e período)</t>
  </si>
  <si>
    <t>Mês</t>
  </si>
  <si>
    <t>Serviços</t>
  </si>
  <si>
    <t>% Cobertura</t>
  </si>
  <si>
    <t>% Inseminação</t>
  </si>
  <si>
    <t>% Cio natural</t>
  </si>
  <si>
    <t>% IATF</t>
  </si>
  <si>
    <t>Obs.: 'Produção de leite por intervalo entre partos' não foi possível — a base não traz IEP nem partos consecutivos por matriz.</t>
  </si>
  <si>
    <t xml:space="preserve">  REBANHO — DADOS GERAIS</t>
  </si>
  <si>
    <t xml:space="preserve">  Por matriz (última ocorrência). Filtro 'Animais baixados' afeta a composição. Peso ao parto vazio na base.</t>
  </si>
  <si>
    <t>MATRIZES (filtro)</t>
  </si>
  <si>
    <t>BAIXADAS</t>
  </si>
  <si>
    <t>% BAIXADAS</t>
  </si>
  <si>
    <t>COM PARTO (filtro)</t>
  </si>
  <si>
    <t>Animais baixados:</t>
  </si>
  <si>
    <t>Não</t>
  </si>
  <si>
    <t>Tipo de parto (último parto)</t>
  </si>
  <si>
    <t>Qtde</t>
  </si>
  <si>
    <t>%</t>
  </si>
  <si>
    <t>Auxiliado</t>
  </si>
  <si>
    <t>Natimorto</t>
  </si>
  <si>
    <t>Normal</t>
  </si>
  <si>
    <t>Sexo da cria (último parto)</t>
  </si>
  <si>
    <t>F</t>
  </si>
  <si>
    <t>M</t>
  </si>
  <si>
    <t>Distribuição por ORDEM DE PARTO</t>
  </si>
  <si>
    <t>Ordem</t>
  </si>
  <si>
    <t>Matrizes</t>
  </si>
  <si>
    <t>Baixas por MOTIVO</t>
  </si>
  <si>
    <t>Abate</t>
  </si>
  <si>
    <t>Casco</t>
  </si>
  <si>
    <t>Desconhecida/Indefinida</t>
  </si>
  <si>
    <t>Doenças bacterianas</t>
  </si>
  <si>
    <t>Hipocalcemia</t>
  </si>
  <si>
    <t>Intoxicação com plantas tóxicas</t>
  </si>
  <si>
    <t>Mastite ambiental</t>
  </si>
  <si>
    <t>Neosporose</t>
  </si>
  <si>
    <t>Outras</t>
  </si>
  <si>
    <t>Venda</t>
  </si>
  <si>
    <t>Baixas por TIPO</t>
  </si>
  <si>
    <t>Descarte involuntário</t>
  </si>
  <si>
    <t>Morte</t>
  </si>
  <si>
    <t>Voluntária</t>
  </si>
  <si>
    <t xml:space="preserve">  ESTOQUE &amp; CURVA ABC</t>
  </si>
  <si>
    <t xml:space="preserve">  Grupos colapsáveis (use os botões − / + à esquerda). Conclusões gerenciais da curva ABC.</t>
  </si>
  <si>
    <t>ITENS</t>
  </si>
  <si>
    <t>VALOR IMOBILIZADO</t>
  </si>
  <si>
    <t>ABAIXO DO MÍNIMO</t>
  </si>
  <si>
    <t>VALOR CLASSE A</t>
  </si>
  <si>
    <t>% VALOR CLASSE A</t>
  </si>
  <si>
    <t>Estoque por GRUPO e subgrupo (clique − para recolher)</t>
  </si>
  <si>
    <t>Grupo</t>
  </si>
  <si>
    <t>Valor</t>
  </si>
  <si>
    <t>Grupo / subgrupo</t>
  </si>
  <si>
    <t>Itens</t>
  </si>
  <si>
    <t>Qtde abaixo mín.</t>
  </si>
  <si>
    <t>Valor total</t>
  </si>
  <si>
    <t>% do valor</t>
  </si>
  <si>
    <t>Ingrediente para alimentação animal</t>
  </si>
  <si>
    <t>Produtos veterinários</t>
  </si>
  <si>
    <t xml:space="preserve">    Concentrados energéticos</t>
  </si>
  <si>
    <t>Sêmen</t>
  </si>
  <si>
    <t xml:space="preserve">    Concentrados protéicos</t>
  </si>
  <si>
    <t xml:space="preserve">    Minerais e aditivos</t>
  </si>
  <si>
    <t xml:space="preserve">    Anti-inflamatórios, anti-piréticos, anti-alérgicos e analgésicos</t>
  </si>
  <si>
    <t xml:space="preserve">    Anti-sépticos e desinfetantes</t>
  </si>
  <si>
    <t xml:space="preserve">    Antimicrobianos gerais antifúngicos e antiprotozoários</t>
  </si>
  <si>
    <t xml:space="preserve">    Diagnósticos</t>
  </si>
  <si>
    <t xml:space="preserve">    Ectoparasiticidas (anti-parasitários)</t>
  </si>
  <si>
    <t xml:space="preserve">    Endectocidas (ação em endoparasitas e ectoparasitas) (anti-parasitários)</t>
  </si>
  <si>
    <t xml:space="preserve">    Endoparasiticidas (anti-parasitários)</t>
  </si>
  <si>
    <t xml:space="preserve">    Hidratação, estimulante e medicação suporte</t>
  </si>
  <si>
    <t xml:space="preserve">    Hormônios/similares</t>
  </si>
  <si>
    <t xml:space="preserve">    Imunização ativa</t>
  </si>
  <si>
    <t xml:space="preserve">    Minerais (formulações puras e complexos)</t>
  </si>
  <si>
    <t xml:space="preserve">    Outros</t>
  </si>
  <si>
    <t xml:space="preserve">    Soros hiperimunes</t>
  </si>
  <si>
    <t xml:space="preserve">    Sêmen</t>
  </si>
  <si>
    <t>CONCLUSÕES GERENCIAIS — Curva ABC</t>
  </si>
  <si>
    <t>Classe A concentra a maior parte do valor:</t>
  </si>
  <si>
    <t>Classe B (intermediária):</t>
  </si>
  <si>
    <t>Classe C (muitos itens, pouco valor):</t>
  </si>
  <si>
    <t>Atenção — reposição:</t>
  </si>
  <si>
    <t>Itens abaixo do mínimo: filtre a coluna 'ABAIXO'=SIM na aba ESTOQUE.</t>
  </si>
  <si>
    <t xml:space="preserve">  O QUE É A CURVA ABC</t>
  </si>
  <si>
    <t>A Curva ABC ordena os itens pelo valor (preço × quantidade) e os separa em três classes: CLASSE A = poucos itens que representam ~80% do valor do estoque (alta prioridade de controle, compra e negociação); CLASSE B = itens de valor intermediário (~15%); CLASSE C = muitos itens de baixo valor (~5%). Concentre atenção, contagem e negociação de preço nos itens A — é onde está o seu dinheiro.</t>
  </si>
  <si>
    <t xml:space="preserve">  GASTO POR CONTA GERENCIAL (usa CONTA_GER) — escolha conta e período</t>
  </si>
  <si>
    <t>Conta (prefixo):</t>
  </si>
  <si>
    <t>3.01.01</t>
  </si>
  <si>
    <t>de:</t>
  </si>
  <si>
    <t>Gasto total no período (R$)</t>
  </si>
  <si>
    <t>Meses no período</t>
  </si>
  <si>
    <t>Gasto médio mensal (R$)</t>
  </si>
  <si>
    <t>Projeção: custo/mês p/ Nº vacas</t>
  </si>
  <si>
    <t>vacas</t>
  </si>
  <si>
    <t>Obs.: usa o regime de CAIXA (data de pagamento). Projeção = custo médio por vaca × vacas simuladas.</t>
  </si>
  <si>
    <t xml:space="preserve">  FINANCEIRO — CONTA GERENCIAL, CENTRO DE CUSTOS E REGIME</t>
  </si>
  <si>
    <t xml:space="preserve">  Fonte: CONTA_GERENCIAL.csv. Um filtro de período + centro + regime rege todos os relatórios.</t>
  </si>
  <si>
    <t>Centro custo:</t>
  </si>
  <si>
    <t>Regime:</t>
  </si>
  <si>
    <t>Caixa</t>
  </si>
  <si>
    <t>◀ Caixa = data de pagamento/recebimento. Competência = data de competência.</t>
  </si>
  <si>
    <t>RECEITAS (período)</t>
  </si>
  <si>
    <t>DESPESAS (período)</t>
  </si>
  <si>
    <t>RESULTADO (período)</t>
  </si>
  <si>
    <t>GASTO/RECEITA POR CONTA GERENCIAL (grupos e subgrupos) — respeita período, centro e regime</t>
  </si>
  <si>
    <t>FLUXO MENSAL (entradas × saídas no regime/centro escolhidos)</t>
  </si>
  <si>
    <t>Conta gerencial</t>
  </si>
  <si>
    <t>Valor (R$)</t>
  </si>
  <si>
    <t>% receita</t>
  </si>
  <si>
    <t>Entradas</t>
  </si>
  <si>
    <t>Saídas</t>
  </si>
  <si>
    <t>Saldo</t>
  </si>
  <si>
    <t>Acumulado</t>
  </si>
  <si>
    <t>2 Receita</t>
  </si>
  <si>
    <t xml:space="preserve">    2.01 Pecuária</t>
  </si>
  <si>
    <t xml:space="preserve">        2.01.01 Leite</t>
  </si>
  <si>
    <t xml:space="preserve">            2.01.01.01 Leite indústria</t>
  </si>
  <si>
    <t xml:space="preserve">        2.01.02 Animais</t>
  </si>
  <si>
    <t xml:space="preserve">            2.01.02.01 Vacas - descarte voluntário</t>
  </si>
  <si>
    <t xml:space="preserve">            2.01.02.03 Bezerras/novilhas</t>
  </si>
  <si>
    <t xml:space="preserve">    2.05 Empréstimos e financiamentos</t>
  </si>
  <si>
    <t>2026-07</t>
  </si>
  <si>
    <t xml:space="preserve">        2.05.01 Custeio</t>
  </si>
  <si>
    <t xml:space="preserve">        2.05.02 Capital de giro</t>
  </si>
  <si>
    <t xml:space="preserve">    2.98 Transf. crédito</t>
  </si>
  <si>
    <t>3 Despesa</t>
  </si>
  <si>
    <t xml:space="preserve">    3.01 Insumos pecuária</t>
  </si>
  <si>
    <t xml:space="preserve">        3.01.01 Alimentação do rebanho</t>
  </si>
  <si>
    <t xml:space="preserve">            3.01.01.01 Concentrado protéico</t>
  </si>
  <si>
    <t xml:space="preserve">            3.01.01.03 Minerais / aditivos</t>
  </si>
  <si>
    <t xml:space="preserve">        3.01.02 Insumos reprodução</t>
  </si>
  <si>
    <t xml:space="preserve">            3.01.02.01 Sêmen</t>
  </si>
  <si>
    <t xml:space="preserve">            3.01.02.02 Nitrogênio</t>
  </si>
  <si>
    <t xml:space="preserve">            3.01.02.03 Materiais inseminação</t>
  </si>
  <si>
    <t xml:space="preserve">        3.01.03 Sanidade</t>
  </si>
  <si>
    <t xml:space="preserve">            3.01.03.01 Medicamentos</t>
  </si>
  <si>
    <t xml:space="preserve">            3.01.03.02 Vacinas</t>
  </si>
  <si>
    <t xml:space="preserve">            3.01.03.03 Higiene de ordenha</t>
  </si>
  <si>
    <t xml:space="preserve">            3.01.03.04 Exames</t>
  </si>
  <si>
    <t xml:space="preserve">        3.01.04 Hormônios e animais</t>
  </si>
  <si>
    <t xml:space="preserve">            3.01.04.01 Reprodutivos</t>
  </si>
  <si>
    <t xml:space="preserve">            3.01.04.02 BST</t>
  </si>
  <si>
    <t xml:space="preserve">        3.01.05 Ordenha</t>
  </si>
  <si>
    <t xml:space="preserve">            3.01.05.01 Manutenção periódica</t>
  </si>
  <si>
    <t xml:space="preserve">            3.01.05.02 Manutenção esporádica</t>
  </si>
  <si>
    <t xml:space="preserve">        3.01.06 Identificação de animais</t>
  </si>
  <si>
    <t xml:space="preserve">        3.01.07 Manejo de animais</t>
  </si>
  <si>
    <t xml:space="preserve">            3.01.07.01 Ferramentas</t>
  </si>
  <si>
    <t xml:space="preserve">            3.01.07.02 Utensílios</t>
  </si>
  <si>
    <t xml:space="preserve">            3.01.07.03 Equipamentos</t>
  </si>
  <si>
    <t xml:space="preserve">    3.02 Insumos agricultura</t>
  </si>
  <si>
    <t xml:space="preserve">        3.02.01 Fertilizantes</t>
  </si>
  <si>
    <t xml:space="preserve">            3.02.01.01 Nitrogenados</t>
  </si>
  <si>
    <t xml:space="preserve">            3.02.01.02 Fosfatados</t>
  </si>
  <si>
    <t xml:space="preserve">        3.02.02 Defensivos</t>
  </si>
  <si>
    <t xml:space="preserve">            3.02.02.01 Herbicidas</t>
  </si>
  <si>
    <t xml:space="preserve">        3.02.03 Corretivos solo</t>
  </si>
  <si>
    <t xml:space="preserve">            3.02.03.02 Calcário</t>
  </si>
  <si>
    <t xml:space="preserve">        3.02.04 Plantio</t>
  </si>
  <si>
    <t xml:space="preserve">            3.02.04.01 Sementes</t>
  </si>
  <si>
    <t xml:space="preserve">        3.02.08 Material manejo agrícola</t>
  </si>
  <si>
    <t xml:space="preserve">            3.02.08.01 Ferramentas</t>
  </si>
  <si>
    <t xml:space="preserve">    3.03 Operacionais</t>
  </si>
  <si>
    <t xml:space="preserve">        3.03.01 Pessoal</t>
  </si>
  <si>
    <t xml:space="preserve">            3.03.01.01 Salários</t>
  </si>
  <si>
    <t xml:space="preserve">            3.03.01.06 GPS</t>
  </si>
  <si>
    <t xml:space="preserve">            3.03.01.07 FGTS</t>
  </si>
  <si>
    <t xml:space="preserve">            3.03.01.09 Rescisões</t>
  </si>
  <si>
    <t xml:space="preserve">            3.03.01.13 EPI / uniforme</t>
  </si>
  <si>
    <t xml:space="preserve">        3.03.02 Serviços de terceiros</t>
  </si>
  <si>
    <t xml:space="preserve">            3.03.02.01 Advogado</t>
  </si>
  <si>
    <t xml:space="preserve">            3.03.02.02 Assistência técnica</t>
  </si>
  <si>
    <t xml:space="preserve">            3.03.02.04 Contador</t>
  </si>
  <si>
    <t xml:space="preserve">            3.03.02.06 Empreitadas</t>
  </si>
  <si>
    <t xml:space="preserve">            3.03.02.07 Diaristas</t>
  </si>
  <si>
    <t xml:space="preserve">            3.03.02.08 Mão de obra manutenções</t>
  </si>
  <si>
    <t xml:space="preserve">            3.03.02.09 Serviços diversos de terceiros</t>
  </si>
  <si>
    <t xml:space="preserve">        3.03.04 Fretes</t>
  </si>
  <si>
    <t xml:space="preserve">        3.03.05 Manut. veíc. maq. e implementos</t>
  </si>
  <si>
    <t xml:space="preserve">            3.03.05.01 Peças</t>
  </si>
  <si>
    <t xml:space="preserve">            3.03.05.02 Borracharia</t>
  </si>
  <si>
    <t xml:space="preserve">            3.03.05.04 Lubrificantes</t>
  </si>
  <si>
    <t xml:space="preserve">            3.03.05.05 Material oficina</t>
  </si>
  <si>
    <t xml:space="preserve">            3.03.05.07 Seguros</t>
  </si>
  <si>
    <t xml:space="preserve">        3.03.06 Manutenção imóveis e equip.</t>
  </si>
  <si>
    <t xml:space="preserve">            3.03.06.01 Benfeitorias</t>
  </si>
  <si>
    <t xml:space="preserve">            3.03.06.02 Equipamentos</t>
  </si>
  <si>
    <t xml:space="preserve">            3.03.06.03 Ferramentas</t>
  </si>
  <si>
    <t xml:space="preserve">            3.03.06.04 Diversos</t>
  </si>
  <si>
    <t xml:space="preserve">        3.03.07 Despesas gerais</t>
  </si>
  <si>
    <t xml:space="preserve">            3.03.07.01 Energia elétrica</t>
  </si>
  <si>
    <t xml:space="preserve">            3.03.07.02 Produtos limpeza</t>
  </si>
  <si>
    <t xml:space="preserve">            3.03.07.03 Combustíveis e lubrificantes</t>
  </si>
  <si>
    <t xml:space="preserve">    3.04 Administrativas</t>
  </si>
  <si>
    <t xml:space="preserve">        3.04.02 Internet</t>
  </si>
  <si>
    <t xml:space="preserve">        3.04.04 Viagens</t>
  </si>
  <si>
    <t xml:space="preserve">        3.04.06 Material escritório</t>
  </si>
  <si>
    <t xml:space="preserve">        3.04.08 Diversos</t>
  </si>
  <si>
    <t xml:space="preserve">        3.04.09 Softwares</t>
  </si>
  <si>
    <t xml:space="preserve">    3.06 Despesas com vendas</t>
  </si>
  <si>
    <t xml:space="preserve">        3.06.01 Comissões</t>
  </si>
  <si>
    <t xml:space="preserve">    3.07 Financeiras</t>
  </si>
  <si>
    <t xml:space="preserve">        3.07.01 Juros</t>
  </si>
  <si>
    <t xml:space="preserve">            3.07.01.01 Empréstimo custeio</t>
  </si>
  <si>
    <t xml:space="preserve">            3.07.01.02 Financiamento imobilizados</t>
  </si>
  <si>
    <t xml:space="preserve">    3.08 Impostos, taxas e contribuições</t>
  </si>
  <si>
    <t xml:space="preserve">        3.08.04 Impostos diversos</t>
  </si>
  <si>
    <t xml:space="preserve">    3.09 Diversos</t>
  </si>
  <si>
    <t xml:space="preserve">        3.09.04 Diversos</t>
  </si>
  <si>
    <t xml:space="preserve">    3.10 Imobilizações</t>
  </si>
  <si>
    <t xml:space="preserve">        3.10.02 Máquinas e equipamentos</t>
  </si>
  <si>
    <t xml:space="preserve">        3.10.05 Benfeitorias</t>
  </si>
  <si>
    <t xml:space="preserve">        3.10.06 Animais - Reposição</t>
  </si>
  <si>
    <t xml:space="preserve">            3.10.06.01 Novilhas</t>
  </si>
  <si>
    <t xml:space="preserve">    3.98 Transf. débito</t>
  </si>
  <si>
    <t xml:space="preserve">  LIVRO CAIXA</t>
  </si>
  <si>
    <t xml:space="preserve">  Movimento de entradas e saidas - fonte: FLUXO (FC.csv). Filtre o periodo abaixo.</t>
  </si>
  <si>
    <t>Periodo de:</t>
  </si>
  <si>
    <t>ate:</t>
  </si>
  <si>
    <t>ENTRADAS (periodo)</t>
  </si>
  <si>
    <t>SAIDAS (periodo)</t>
  </si>
  <si>
    <t>SALDO (periodo)</t>
  </si>
  <si>
    <t>ENTRADAS x SAIDAS POR MES (visao do todo)</t>
  </si>
  <si>
    <t>Mes</t>
  </si>
  <si>
    <t>Entradas (R$)</t>
  </si>
  <si>
    <t>Saidas (R$)</t>
  </si>
  <si>
    <t>Saldo (R$)</t>
  </si>
  <si>
    <t>Acum (R$)</t>
  </si>
  <si>
    <t xml:space="preserve">  RESULTADOS — POR LITRO &amp; PAYBACK</t>
  </si>
  <si>
    <t xml:space="preserve">  DRE/Fluxo ÷ litros. Células amarelas = você edita (preço, dias, premissas).</t>
  </si>
  <si>
    <t>BASES &amp; PRODUÇÃO (período)</t>
  </si>
  <si>
    <t>CUSTOS DO PERÍODO (DRE)</t>
  </si>
  <si>
    <t>Preço médio recebido (R$/L)</t>
  </si>
  <si>
    <t>◀ edite</t>
  </si>
  <si>
    <t>Dias no período</t>
  </si>
  <si>
    <t>◀ nº de dias do período que você está analisando (ex.: 30, 90, 181). Litros = produção/dia × dias.</t>
  </si>
  <si>
    <t>Folha de pagamento (Pessoal)</t>
  </si>
  <si>
    <t>Produção/dia (L) — controles</t>
  </si>
  <si>
    <t>Sanidade</t>
  </si>
  <si>
    <t>Litros no período (=prod/dia×dias)</t>
  </si>
  <si>
    <t>Despesa total</t>
  </si>
  <si>
    <t>Receita estimada do leite</t>
  </si>
  <si>
    <t>(−) Investimentos/imobilizações</t>
  </si>
  <si>
    <t>Receita do leite na DRE (ref.)</t>
  </si>
  <si>
    <t>Custo operacional (=Desp−Imob)</t>
  </si>
  <si>
    <t>INDICADORES POR LITRO (R$/L)</t>
  </si>
  <si>
    <t>Indicador</t>
  </si>
  <si>
    <t>R$/L</t>
  </si>
  <si>
    <t>% da receita</t>
  </si>
  <si>
    <t>Preço recebido</t>
  </si>
  <si>
    <t>Custo operacional TOTAL/L (inclui lavoura/obras)</t>
  </si>
  <si>
    <t>Alimentação / litro</t>
  </si>
  <si>
    <t>Folha de pagamento / litro</t>
  </si>
  <si>
    <t>Sanidade / litro</t>
  </si>
  <si>
    <t>Sobra após ALIMENTAÇÃO</t>
  </si>
  <si>
    <t>Sobra após ALIMENTAÇÃO + FOLHA</t>
  </si>
  <si>
    <t>Margem operacional (preço − custo op.)</t>
  </si>
  <si>
    <t>Margem de caixa / litro</t>
  </si>
  <si>
    <t>PAYBACK DA BEZERRA</t>
  </si>
  <si>
    <t>Idade à 1ª concepção (meses)</t>
  </si>
  <si>
    <t>Produção 1ª lactação (L/vaca/dia)</t>
  </si>
  <si>
    <t>Gestação (meses)</t>
  </si>
  <si>
    <t>Margem por litro (R$/L)</t>
  </si>
  <si>
    <t>(sobra após alim+folha)</t>
  </si>
  <si>
    <t>Idade ao 1º parto (meses)</t>
  </si>
  <si>
    <t>Receita líquida/dia (R$)</t>
  </si>
  <si>
    <t>Dias até o 1º parto</t>
  </si>
  <si>
    <t>PAYBACK (dias de lactação)</t>
  </si>
  <si>
    <t>Custo de criação por dia (R$/cab)</t>
  </si>
  <si>
    <t>PAYBACK (meses de lactação)</t>
  </si>
  <si>
    <t>Custo sanitário+reprod. criação (R$)</t>
  </si>
  <si>
    <t>CUSTO TOTAL DE CRIAÇÃO (R$)</t>
  </si>
  <si>
    <t>LINHA DO TEMPO DO INVESTIMENTO NA BEZERRA - DO PROTOCOLO DA MAE ATE PAGAR-SE</t>
  </si>
  <si>
    <t>Marco / Componente</t>
  </si>
  <si>
    <t>Premissa</t>
  </si>
  <si>
    <t>1) Protocolo IATF da mae (semen+hormonios)</t>
  </si>
  <si>
    <t>2) Alimentacao da mae na gestacao (R$/dia x 270d)</t>
  </si>
  <si>
    <t>3) Criacao da bezerra ate o 1o parto (R$/dia x dias)</t>
  </si>
  <si>
    <t>4) Sanidade + reproducao da bezerra</t>
  </si>
  <si>
    <t>CUSTO TOTAL DO INVESTIMENTO NA BEZERRA</t>
  </si>
  <si>
    <t>Retorno</t>
  </si>
  <si>
    <t>Receita liquida por dia de lactacao (R$/L x L/dia)</t>
  </si>
  <si>
    <t>PAYBACK - dias de lactacao para pagar a bezerra</t>
  </si>
  <si>
    <t>PAYBACK - meses de lactacao</t>
  </si>
  <si>
    <t>OBSERVACAO - POR QUE O PAYBACK E CALCULADO ASSIM: O investimento numa bezerra comeca no PROTOCOLO DE INSEMINACAO DA MAE (D0). A partir dai soma-se: (1) o custo do protocolo; (2) a alimentacao da mae durante a gestacao (~270 dias); (3) o custo de criar a bezerra desde o nascimento ate o 1o parto (custo/dia x dias ate o 1o parto - aqui ~26 meses, pois concebe aos 17m + 9m de gestacao); e (4) sanidade/reproducao da bezerra. A soma e o CUSTO TOTAL. O retorno so comeca quando a bezerra, ja vaca, PRODUZ LEITE: divide-se o custo total pela RECEITA LIQUIDA POR DIA DE LACTACAO (margem por litro x litros/dia) para obter quantos dias/meses de lactacao sao necessarios para pagar tudo. Os valores em AZUL sao premissas editaveis - ajuste o custo do protocolo e da alimentacao da mae conforme sua realidade.</t>
  </si>
  <si>
    <t xml:space="preserve">  PROJEÇÃO DE RESULTADO POR Nº DE VACAS EM LACTAÇÃO</t>
  </si>
  <si>
    <t>Vacas em lactação (média do período)</t>
  </si>
  <si>
    <t>◀ padrão = produção/dia ÷ média L/vaca/dia; edite para simular</t>
  </si>
  <si>
    <t>Vacas para simular (você escolhe)</t>
  </si>
  <si>
    <t>◀ digite o nº de vacas em lactação que deseja projetar</t>
  </si>
  <si>
    <t>Litros/dia projetados</t>
  </si>
  <si>
    <t>Receita líquida/dia projetada (R$)</t>
  </si>
  <si>
    <t>Receita líquida/mês projetada (R$)</t>
  </si>
  <si>
    <t>MATRIZ</t>
  </si>
  <si>
    <t>RAÇA MATRIZ</t>
  </si>
  <si>
    <t>DATA NASC</t>
  </si>
  <si>
    <t>DT ÚLT PARTO</t>
  </si>
  <si>
    <t>ORDEM PARTO</t>
  </si>
  <si>
    <t>TIPO PARTO</t>
  </si>
  <si>
    <t>GEMELAR</t>
  </si>
  <si>
    <t>SEXO CRIA</t>
  </si>
  <si>
    <t>RETENÇÃO PLAC</t>
  </si>
  <si>
    <t>DT SERVIÇO</t>
  </si>
  <si>
    <t>TIPO SERVIÇO</t>
  </si>
  <si>
    <t>CONDIÇÃO IA</t>
  </si>
  <si>
    <t>PROTOCOLO</t>
  </si>
  <si>
    <t>INSEMINADOR</t>
  </si>
  <si>
    <t>REPRODUTOR</t>
  </si>
  <si>
    <t>TIPO SÊMEN</t>
  </si>
  <si>
    <t>RAÇA REPROD</t>
  </si>
  <si>
    <t>ORD TENTATIVA</t>
  </si>
  <si>
    <t>INTERV TENT</t>
  </si>
  <si>
    <t>DT DIAGNÓST</t>
  </si>
  <si>
    <t>DIAGNÓSTICO</t>
  </si>
  <si>
    <t>DT PERDA</t>
  </si>
  <si>
    <t>TIPO PERDA</t>
  </si>
  <si>
    <t>PEV</t>
  </si>
  <si>
    <t>CCS</t>
  </si>
  <si>
    <t>PROD LEITE</t>
  </si>
  <si>
    <t>PROD 1ª LACT</t>
  </si>
  <si>
    <t>DT INÍCIO 1ªL</t>
  </si>
  <si>
    <t>DT TÉRMINO 1ªL</t>
  </si>
  <si>
    <t>DT BAIXA</t>
  </si>
  <si>
    <t>TIPO BAIXA</t>
  </si>
  <si>
    <t>MOTIVO BAIXA</t>
  </si>
  <si>
    <t>GP NASC-DESM</t>
  </si>
  <si>
    <t>POSITIVO</t>
  </si>
  <si>
    <t>DIAGNOSTICADO</t>
  </si>
  <si>
    <t>PERDA</t>
  </si>
  <si>
    <t>ANO SERVIÇO</t>
  </si>
  <si>
    <t>MÊS SERVIÇO</t>
  </si>
  <si>
    <t>DEL NO SERVIÇO</t>
  </si>
  <si>
    <t>FAIXA DEL 21d</t>
  </si>
  <si>
    <t>ÚLT OCORR</t>
  </si>
  <si>
    <t>CATEGORIA</t>
  </si>
  <si>
    <t>IDADE SERV (m)</t>
  </si>
  <si>
    <t>01</t>
  </si>
  <si>
    <t>PROTOCOLO IATF D0 A D11</t>
  </si>
  <si>
    <t>02</t>
  </si>
  <si>
    <t>04</t>
  </si>
  <si>
    <t>C</t>
  </si>
  <si>
    <t>06</t>
  </si>
  <si>
    <t>068</t>
  </si>
  <si>
    <t>070</t>
  </si>
  <si>
    <t>075</t>
  </si>
  <si>
    <t>NÃO</t>
  </si>
  <si>
    <t>NEGATIVO</t>
  </si>
  <si>
    <t>09</t>
  </si>
  <si>
    <t>090</t>
  </si>
  <si>
    <t>107</t>
  </si>
  <si>
    <t>108</t>
  </si>
  <si>
    <t>ABORTO</t>
  </si>
  <si>
    <t>113</t>
  </si>
  <si>
    <t>126</t>
  </si>
  <si>
    <t>127</t>
  </si>
  <si>
    <t>ABERTO</t>
  </si>
  <si>
    <t>128</t>
  </si>
  <si>
    <t>129</t>
  </si>
  <si>
    <t>130</t>
  </si>
  <si>
    <t>131</t>
  </si>
  <si>
    <t>132</t>
  </si>
  <si>
    <t>14</t>
  </si>
  <si>
    <t>145</t>
  </si>
  <si>
    <t>146</t>
  </si>
  <si>
    <t>147</t>
  </si>
  <si>
    <t>148</t>
  </si>
  <si>
    <t>149</t>
  </si>
  <si>
    <t>150</t>
  </si>
  <si>
    <t>151</t>
  </si>
  <si>
    <t>16</t>
  </si>
  <si>
    <t>17</t>
  </si>
  <si>
    <t>18</t>
  </si>
  <si>
    <t>20</t>
  </si>
  <si>
    <t>FREDERICO</t>
  </si>
  <si>
    <t>206</t>
  </si>
  <si>
    <t>2063</t>
  </si>
  <si>
    <t>2074</t>
  </si>
  <si>
    <t>208</t>
  </si>
  <si>
    <t>215</t>
  </si>
  <si>
    <t>2213</t>
  </si>
  <si>
    <t>2230</t>
  </si>
  <si>
    <t>2231</t>
  </si>
  <si>
    <t>2246</t>
  </si>
  <si>
    <t>2341</t>
  </si>
  <si>
    <t>2344</t>
  </si>
  <si>
    <t>2345</t>
  </si>
  <si>
    <t>2346</t>
  </si>
  <si>
    <t>2347</t>
  </si>
  <si>
    <t>2348</t>
  </si>
  <si>
    <t>2349</t>
  </si>
  <si>
    <t>282-A</t>
  </si>
  <si>
    <t>368-A</t>
  </si>
  <si>
    <t>INSEMINAÇÃO</t>
  </si>
  <si>
    <t>400 MACACA</t>
  </si>
  <si>
    <t>401</t>
  </si>
  <si>
    <t>401 MERYLU</t>
  </si>
  <si>
    <t>402</t>
  </si>
  <si>
    <t>402-DIAMANTE</t>
  </si>
  <si>
    <t>403</t>
  </si>
  <si>
    <t>404</t>
  </si>
  <si>
    <t>SIM</t>
  </si>
  <si>
    <t>405</t>
  </si>
  <si>
    <t>406 PAQUITA</t>
  </si>
  <si>
    <t>407 VANIA</t>
  </si>
  <si>
    <t>408 JANDIRA</t>
  </si>
  <si>
    <t>409</t>
  </si>
  <si>
    <t>410</t>
  </si>
  <si>
    <t>411</t>
  </si>
  <si>
    <t>412</t>
  </si>
  <si>
    <t>413</t>
  </si>
  <si>
    <t>414</t>
  </si>
  <si>
    <t>415 BABALU</t>
  </si>
  <si>
    <t>416</t>
  </si>
  <si>
    <t>417</t>
  </si>
  <si>
    <t>418</t>
  </si>
  <si>
    <t>419</t>
  </si>
  <si>
    <t>420</t>
  </si>
  <si>
    <t>421 BORDADA</t>
  </si>
  <si>
    <t>422</t>
  </si>
  <si>
    <t>423 GALEGA</t>
  </si>
  <si>
    <t>424 COSTELA</t>
  </si>
  <si>
    <t>425 BALEIA</t>
  </si>
  <si>
    <t>426 DILOM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</si>
  <si>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</si>
  <si>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</si>
  <si>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</si>
  <si>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</si>
  <si>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</si>
  <si>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</si>
  <si>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</si>
  <si>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</si>
  <si>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</si>
  <si>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</si>
  <si>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</si>
  <si>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450 FLORZINHA</t>
  </si>
  <si>
    <t>453 MAIARA</t>
  </si>
  <si>
    <t>454 MARAISA</t>
  </si>
  <si>
    <t>455</t>
  </si>
  <si>
    <t>457-A</t>
  </si>
  <si>
    <t>459</t>
  </si>
  <si>
    <t>461</t>
  </si>
  <si>
    <t>472</t>
  </si>
  <si>
    <t>50-A</t>
  </si>
  <si>
    <t>603</t>
  </si>
  <si>
    <t>628-AJ</t>
  </si>
  <si>
    <t>657-BJ</t>
  </si>
  <si>
    <t>706-BJ</t>
  </si>
  <si>
    <t>861</t>
  </si>
  <si>
    <t>A-282</t>
  </si>
  <si>
    <t>A-368</t>
  </si>
  <si>
    <t>A-472</t>
  </si>
  <si>
    <t>A-50</t>
  </si>
  <si>
    <t>A-603</t>
  </si>
  <si>
    <t>A-857 R1</t>
  </si>
  <si>
    <t>A-857 R2</t>
  </si>
  <si>
    <t>A-975 R1</t>
  </si>
  <si>
    <t>A-975 R2</t>
  </si>
  <si>
    <t>AJ-628</t>
  </si>
  <si>
    <t>B-834</t>
  </si>
  <si>
    <t>B-880</t>
  </si>
  <si>
    <t>NOME</t>
  </si>
  <si>
    <t>RGD</t>
  </si>
  <si>
    <t>RAÇA</t>
  </si>
  <si>
    <t>DATA CONTROLE</t>
  </si>
  <si>
    <t>KG LEITE</t>
  </si>
  <si>
    <t>ATIVA</t>
  </si>
  <si>
    <t>DEL</t>
  </si>
  <si>
    <t>MÊS</t>
  </si>
  <si>
    <t>206-ARAPUCA</t>
  </si>
  <si>
    <t>208-Rasgada</t>
  </si>
  <si>
    <t>208-RASGADA</t>
  </si>
  <si>
    <t>215-Vicosa</t>
  </si>
  <si>
    <t>215-VIÇOSA</t>
  </si>
  <si>
    <t>401 Merylu</t>
  </si>
  <si>
    <t>402-Diamante</t>
  </si>
  <si>
    <t>405-Maria</t>
  </si>
  <si>
    <t>407 Vania</t>
  </si>
  <si>
    <t>408 Jandira</t>
  </si>
  <si>
    <t>415 Babalu</t>
  </si>
  <si>
    <t>420-Crianca</t>
  </si>
  <si>
    <t>421 Bordada</t>
  </si>
  <si>
    <t>422-Dengosa</t>
  </si>
  <si>
    <t>425 Baleia</t>
  </si>
  <si>
    <t>426 Dilom</t>
  </si>
  <si>
    <t>427-Princesa</t>
  </si>
  <si>
    <t>428 (189)</t>
  </si>
  <si>
    <t>429 (194)</t>
  </si>
  <si>
    <t>430 (195)</t>
  </si>
  <si>
    <t>431 (117)</t>
  </si>
  <si>
    <t>432 (183)</t>
  </si>
  <si>
    <t>433 (160)</t>
  </si>
  <si>
    <t>434 (173)</t>
  </si>
  <si>
    <t>435 (181)</t>
  </si>
  <si>
    <t>436 (194)</t>
  </si>
  <si>
    <t>437 (149)</t>
  </si>
  <si>
    <t>472-A</t>
  </si>
  <si>
    <t>603-A</t>
  </si>
  <si>
    <t>628-Aj</t>
  </si>
  <si>
    <t>657-Bj</t>
  </si>
  <si>
    <t>706-Bj</t>
  </si>
  <si>
    <t>861 CJ</t>
  </si>
  <si>
    <t>A-857</t>
  </si>
  <si>
    <t>A857</t>
  </si>
  <si>
    <t>N animal</t>
  </si>
  <si>
    <t>Dt nasc</t>
  </si>
  <si>
    <t>Idade meses</t>
  </si>
  <si>
    <t>Grupos atuais</t>
  </si>
  <si>
    <t>Categoria completa</t>
  </si>
  <si>
    <t>Categoria abrev</t>
  </si>
  <si>
    <t>Sit rep</t>
  </si>
  <si>
    <t>Dt ult leite</t>
  </si>
  <si>
    <t>lt CL (kg)</t>
  </si>
  <si>
    <t>Dt penult</t>
  </si>
  <si>
    <t>penult CL (kg)</t>
  </si>
  <si>
    <t>Dt antepenult</t>
  </si>
  <si>
    <t>antepenult CL (kg)</t>
  </si>
  <si>
    <t>Dias apos ult CL</t>
  </si>
  <si>
    <t>Dt ult diag</t>
  </si>
  <si>
    <t>Diag</t>
  </si>
  <si>
    <t>11 - RECRIA 2 (300 a 350 kg)</t>
  </si>
  <si>
    <t>Novilha gestante</t>
  </si>
  <si>
    <t>Novilha ges.</t>
  </si>
  <si>
    <t>Ges.</t>
  </si>
  <si>
    <t>Positivo</t>
  </si>
  <si>
    <t>12 - NOV. PRENHES 1</t>
  </si>
  <si>
    <t>03</t>
  </si>
  <si>
    <t>Novilha vazia em atraso</t>
  </si>
  <si>
    <t>Novilha vaz. atr.</t>
  </si>
  <si>
    <t>Vaz. atr.</t>
  </si>
  <si>
    <t>03M</t>
  </si>
  <si>
    <t>09 - DESMAMA (100 a 160 kg)</t>
  </si>
  <si>
    <t>Bezerro macho em crescimento</t>
  </si>
  <si>
    <t>Bezerro mac. cresc.</t>
  </si>
  <si>
    <t>05M</t>
  </si>
  <si>
    <t>06 - BEZ 1 (0 A 30)</t>
  </si>
  <si>
    <t>Bezerro mamando</t>
  </si>
  <si>
    <t>Bezerro mam.</t>
  </si>
  <si>
    <t>01 - NOV. ALTA</t>
  </si>
  <si>
    <t>Vaca vazia apta protocolada em lactação</t>
  </si>
  <si>
    <t>Vaca vaz. apt. prot. lac.</t>
  </si>
  <si>
    <t>Vaz. apt.</t>
  </si>
  <si>
    <t>06M</t>
  </si>
  <si>
    <t>03 - Média,03 - MÉDIA</t>
  </si>
  <si>
    <t>Vaca vazia pev em lactação</t>
  </si>
  <si>
    <t>Vaca vaz. pev lac.</t>
  </si>
  <si>
    <t>Vaz. pev</t>
  </si>
  <si>
    <t>03 - MÉDIA</t>
  </si>
  <si>
    <t>Vaca vazia em atraso protocolada em lactação</t>
  </si>
  <si>
    <t>Vaca vaz. atr. prot. lac.</t>
  </si>
  <si>
    <t>Negativo</t>
  </si>
  <si>
    <t>07M</t>
  </si>
  <si>
    <t>08</t>
  </si>
  <si>
    <t>Novilha vazia em atraso protocolada</t>
  </si>
  <si>
    <t>Novilha vaz. atr. prot.</t>
  </si>
  <si>
    <t>1234</t>
  </si>
  <si>
    <t>13 - NOV. HOLANDESAS</t>
  </si>
  <si>
    <t>1245</t>
  </si>
  <si>
    <t>1247</t>
  </si>
  <si>
    <t>1258</t>
  </si>
  <si>
    <t>Vaca gestante em lactação</t>
  </si>
  <si>
    <t>Vaca ges. lac.</t>
  </si>
  <si>
    <t>1260</t>
  </si>
  <si>
    <t>1261</t>
  </si>
  <si>
    <t>1262</t>
  </si>
  <si>
    <t>1263</t>
  </si>
  <si>
    <t>1264</t>
  </si>
  <si>
    <t>Vaca inseminada em lactação</t>
  </si>
  <si>
    <t>Vaca ins. lac.</t>
  </si>
  <si>
    <t>Ins.</t>
  </si>
  <si>
    <t>1273</t>
  </si>
  <si>
    <t>1274</t>
  </si>
  <si>
    <t>1275</t>
  </si>
  <si>
    <t>1276</t>
  </si>
  <si>
    <t>1278</t>
  </si>
  <si>
    <t>1279</t>
  </si>
  <si>
    <t>1280</t>
  </si>
  <si>
    <t>1283</t>
  </si>
  <si>
    <t>1284</t>
  </si>
  <si>
    <t>1285</t>
  </si>
  <si>
    <t>1290</t>
  </si>
  <si>
    <t>Novilha inseminada</t>
  </si>
  <si>
    <t>Novilha ins.</t>
  </si>
  <si>
    <t>04 - PRÉ-PARTO</t>
  </si>
  <si>
    <t>3335</t>
  </si>
  <si>
    <t>14 - NOV. 7/8</t>
  </si>
  <si>
    <t>02 - VACAS ALTA</t>
  </si>
  <si>
    <t>05 - SECAS</t>
  </si>
  <si>
    <t>Vaca gestante seca</t>
  </si>
  <si>
    <t>Vaca ges. sec.</t>
  </si>
  <si>
    <t>43</t>
  </si>
  <si>
    <t>05 - SECAS,03 - Média</t>
  </si>
  <si>
    <t>Vaca vazia em atraso em lactação</t>
  </si>
  <si>
    <t>Vaca vaz. atr. lac.</t>
  </si>
  <si>
    <t>460</t>
  </si>
  <si>
    <t>10 - RECRIA 1 (160 a 250 kg)</t>
  </si>
  <si>
    <t>463</t>
  </si>
  <si>
    <t>464</t>
  </si>
  <si>
    <t>467</t>
  </si>
  <si>
    <t>470</t>
  </si>
  <si>
    <t>Bezerra fêmea em crescimento</t>
  </si>
  <si>
    <t>Bezerra fêm. cresc.</t>
  </si>
  <si>
    <t>475</t>
  </si>
  <si>
    <t>476</t>
  </si>
  <si>
    <t>477</t>
  </si>
  <si>
    <t>478</t>
  </si>
  <si>
    <t>479</t>
  </si>
  <si>
    <t>08 - BEZ 3 (61 a 90)</t>
  </si>
  <si>
    <t>480</t>
  </si>
  <si>
    <t>481</t>
  </si>
  <si>
    <t>07 - BEZ 2 (31 a 60)</t>
  </si>
  <si>
    <t>Bezerra mamando</t>
  </si>
  <si>
    <t>Bezerra mam.</t>
  </si>
  <si>
    <t>482</t>
  </si>
  <si>
    <t>483</t>
  </si>
  <si>
    <t>484</t>
  </si>
  <si>
    <t>559</t>
  </si>
  <si>
    <t>7508</t>
  </si>
  <si>
    <t>7518</t>
  </si>
  <si>
    <t>7520</t>
  </si>
  <si>
    <t>7541</t>
  </si>
  <si>
    <t>7542</t>
  </si>
  <si>
    <t>7656</t>
  </si>
  <si>
    <t>8013</t>
  </si>
  <si>
    <t>8907</t>
  </si>
  <si>
    <t>8919</t>
  </si>
  <si>
    <t>9251</t>
  </si>
  <si>
    <t>9320</t>
  </si>
  <si>
    <t>9321</t>
  </si>
  <si>
    <t>9322</t>
  </si>
  <si>
    <t>9370</t>
  </si>
  <si>
    <t>9372</t>
  </si>
  <si>
    <t>9373</t>
  </si>
  <si>
    <t>9376</t>
  </si>
  <si>
    <t>9378</t>
  </si>
  <si>
    <t>Racao Pre-parto</t>
  </si>
  <si>
    <t>Racao Bezerro 1</t>
  </si>
  <si>
    <t>Racao Bezerro 2</t>
  </si>
  <si>
    <t>Novilhas Alta</t>
  </si>
  <si>
    <t>Vacas Alta</t>
  </si>
  <si>
    <t>Média</t>
  </si>
  <si>
    <t>Pré-parto</t>
  </si>
  <si>
    <t>Secas</t>
  </si>
  <si>
    <t>Bez 1 (0-30d)</t>
  </si>
  <si>
    <t>Bez 2 (31-60d)</t>
  </si>
  <si>
    <t>Bez 3 (61-90d)</t>
  </si>
  <si>
    <t>Desmama</t>
  </si>
  <si>
    <t>Recria 1 (160-250kg)</t>
  </si>
  <si>
    <t>Recria 2 (300-350kg)</t>
  </si>
  <si>
    <t>Novilhas Gestantes</t>
  </si>
  <si>
    <t>Novilhas Holandesas</t>
  </si>
  <si>
    <t>Novilhas 7/8</t>
  </si>
  <si>
    <t>CÓDIGO</t>
  </si>
  <si>
    <t>PRODUTO</t>
  </si>
  <si>
    <t>QTD</t>
  </si>
  <si>
    <t>EST MÍN</t>
  </si>
  <si>
    <t>UN</t>
  </si>
  <si>
    <t>VLR UNIT</t>
  </si>
  <si>
    <t>VLR TOTAL</t>
  </si>
  <si>
    <t>ABAIXO</t>
  </si>
  <si>
    <t>Ingrediente para alimentação animal - Concentrados energéticos</t>
  </si>
  <si>
    <t>1000140</t>
  </si>
  <si>
    <t>RAÇÃO BOV. PRE-PARTO F. 30KG</t>
  </si>
  <si>
    <t>un</t>
  </si>
  <si>
    <t>Ingrediente para alimentação animal - Concentrados protéicos</t>
  </si>
  <si>
    <t>1000142</t>
  </si>
  <si>
    <t>RACAO BOV BEITE BEZ 1 P 30KG</t>
  </si>
  <si>
    <t>1000146</t>
  </si>
  <si>
    <t>RACAO BOV CORTE BEEF 18 AE F 30KG</t>
  </si>
  <si>
    <t>1000139</t>
  </si>
  <si>
    <t>RAÇÃO BOV CORTE BEEF 21 AE F. 30KG</t>
  </si>
  <si>
    <t>1000141</t>
  </si>
  <si>
    <t>RACAO BOV. LEITE BEZ 2 F 30KG</t>
  </si>
  <si>
    <t>1000144</t>
  </si>
  <si>
    <t>RACAO MILK PROTEICO F 30KG</t>
  </si>
  <si>
    <t>1000145</t>
  </si>
  <si>
    <t>RACAO TECK MILK 24% S/U F 30KG</t>
  </si>
  <si>
    <t>Ingrediente para alimentação animal - Minerais e aditivos</t>
  </si>
  <si>
    <t>1000154</t>
  </si>
  <si>
    <t>SUPL MIN COMIGO COOPER REPROD 80</t>
  </si>
  <si>
    <t>Produtos veterinários - Anti-inflamatórios, anti-piréticos, anti-alérgicos e analgésicos</t>
  </si>
  <si>
    <t>1000429</t>
  </si>
  <si>
    <t>BANAMINE 100ML</t>
  </si>
  <si>
    <t>1000197</t>
  </si>
  <si>
    <t>BANAMINE 50ML</t>
  </si>
  <si>
    <t>2766</t>
  </si>
  <si>
    <t>D-500 (Frasco 50 ml)</t>
  </si>
  <si>
    <t>1000302</t>
  </si>
  <si>
    <t>DESFLAN 50ML</t>
  </si>
  <si>
    <t>2768</t>
  </si>
  <si>
    <t>Flucortan (Frasco 10 ml)</t>
  </si>
  <si>
    <t>3480</t>
  </si>
  <si>
    <t>Maxicam Injetável (2%) (Frasco 50 ml)</t>
  </si>
  <si>
    <t>2059</t>
  </si>
  <si>
    <t>Naquasone Injetável (Frasco 10 ml)</t>
  </si>
  <si>
    <t>1358</t>
  </si>
  <si>
    <t>Terra-Cortril Spray (Tubo 75 g)</t>
  </si>
  <si>
    <t>Produtos veterinários - Anti-sépticos e desinfetantes</t>
  </si>
  <si>
    <t>1341</t>
  </si>
  <si>
    <t>Formoped (Tubo 188 g)</t>
  </si>
  <si>
    <t>Produtos veterinários - Antimicrobianos gerais antifúngicos e antiprotozoários</t>
  </si>
  <si>
    <t>1000165</t>
  </si>
  <si>
    <t>AGEMOXI LA 100 ML</t>
  </si>
  <si>
    <t>2381</t>
  </si>
  <si>
    <t>Borgal (Frasco 10 ml)</t>
  </si>
  <si>
    <t>1000301</t>
  </si>
  <si>
    <t>BORGAL FR. 50ML</t>
  </si>
  <si>
    <t>1000214</t>
  </si>
  <si>
    <t>CEF 50MG/ML SUS. INJ. 100 ML</t>
  </si>
  <si>
    <t>1000172</t>
  </si>
  <si>
    <t>GENTOPEN 20 MILHOES 30 ml</t>
  </si>
  <si>
    <t>1000133</t>
  </si>
  <si>
    <t>HALOCUR 490 ML</t>
  </si>
  <si>
    <t>1607</t>
  </si>
  <si>
    <t>Imizol Injetável (Frasco 15 ml)</t>
  </si>
  <si>
    <t>1000245</t>
  </si>
  <si>
    <t>MASTI-SEAL 4G</t>
  </si>
  <si>
    <t>3022</t>
  </si>
  <si>
    <t>Mastifin (Seringa 10 ml)</t>
  </si>
  <si>
    <t>2426</t>
  </si>
  <si>
    <t>Mastijet Forte (Seringa 8 g)</t>
  </si>
  <si>
    <t>1000138</t>
  </si>
  <si>
    <t>MASTITE CLÍNICA</t>
  </si>
  <si>
    <t>2489</t>
  </si>
  <si>
    <t>Metricure (Seringa 19 g)</t>
  </si>
  <si>
    <t>3506</t>
  </si>
  <si>
    <t>Micotil 300 Injetável (Frasco 50 ml)</t>
  </si>
  <si>
    <t>1349</t>
  </si>
  <si>
    <t>Orbenin Extra Dry Cow (Seringa 3,6 g)</t>
  </si>
  <si>
    <t>1920</t>
  </si>
  <si>
    <t>Oxitrat- LA Plus (Frasco 50 ml)</t>
  </si>
  <si>
    <t>1000198</t>
  </si>
  <si>
    <t>PENCIVET PLUS PPU 50ML</t>
  </si>
  <si>
    <t>3256</t>
  </si>
  <si>
    <t>Penfort Ppu (Frasco 50 ml)</t>
  </si>
  <si>
    <t>1000175</t>
  </si>
  <si>
    <t>RESFUR 100ML</t>
  </si>
  <si>
    <t>1000177</t>
  </si>
  <si>
    <t>ROFLIN INJ 100ML</t>
  </si>
  <si>
    <t>1000179</t>
  </si>
  <si>
    <t>SPECTRAMAST LC</t>
  </si>
  <si>
    <t>1364</t>
  </si>
  <si>
    <t>Terramicina LA Solução Injetável (Frasco 50 ml)</t>
  </si>
  <si>
    <t>1366</t>
  </si>
  <si>
    <t>Terramicina Pó C/ Antigerm 77 (Sachê 100 g)</t>
  </si>
  <si>
    <t>Trigental (Seringa 40 g)</t>
  </si>
  <si>
    <t>1000199</t>
  </si>
  <si>
    <t>ZELOTRIL PLUS INJ 100ML</t>
  </si>
  <si>
    <t>1000132</t>
  </si>
  <si>
    <t>ZUPREVO 50ML</t>
  </si>
  <si>
    <t>Produtos veterinários - Diagnósticos</t>
  </si>
  <si>
    <t>1000117</t>
  </si>
  <si>
    <t>ALTA SCRATCH E PCT/50 VERMELHO</t>
  </si>
  <si>
    <t>Produtos veterinários - Ectoparasiticidas (anti-parasitários)</t>
  </si>
  <si>
    <t>1000191</t>
  </si>
  <si>
    <t>Máximo Pour-on 5L</t>
  </si>
  <si>
    <t>1000192</t>
  </si>
  <si>
    <t>Neocidol B 40 (20 unidades)</t>
  </si>
  <si>
    <t>Produtos veterinários - Endectocidas (ação em endoparasitas e ectoparasitas) (anti-parasitários)</t>
  </si>
  <si>
    <t>1334</t>
  </si>
  <si>
    <t>Dectomax (Frasco 50 ml)</t>
  </si>
  <si>
    <t>1335</t>
  </si>
  <si>
    <t>Dectomax (Frasco 500 ml)</t>
  </si>
  <si>
    <t>Produtos veterinários - Endoparasiticidas (anti-parasitários)</t>
  </si>
  <si>
    <t>1000217</t>
  </si>
  <si>
    <t>ALBENDATHOR 10 % LT</t>
  </si>
  <si>
    <t>2091</t>
  </si>
  <si>
    <t>Ganaseg 7% (Frasco 30 ml)</t>
  </si>
  <si>
    <t>2822</t>
  </si>
  <si>
    <t>Ripercol L 150f (Frasco 250 ml)</t>
  </si>
  <si>
    <t>Produtos veterinários - Hidratação, estimulante e medicação suporte</t>
  </si>
  <si>
    <t>1000188</t>
  </si>
  <si>
    <t>Aliv V 50ml</t>
  </si>
  <si>
    <t>1000442</t>
  </si>
  <si>
    <t>ANABOLIC 50ML</t>
  </si>
  <si>
    <t>1000152</t>
  </si>
  <si>
    <t>BIOXAN FR. 500ML</t>
  </si>
  <si>
    <t>1000168</t>
  </si>
  <si>
    <t>CATOFOS B12 100ML</t>
  </si>
  <si>
    <t>1000360</t>
  </si>
  <si>
    <t>CATOL +(Butafosfan e Vitamina B12) 100 ml</t>
  </si>
  <si>
    <t>2534</t>
  </si>
  <si>
    <t>Catosal B12 (Frasco 100 ml)</t>
  </si>
  <si>
    <t>1000119</t>
  </si>
  <si>
    <t>Colostro Bovino Em Po 4.7 kg Brazil - BALDE</t>
  </si>
  <si>
    <t>1000410</t>
  </si>
  <si>
    <t>DAIRY DUNK 1KG</t>
  </si>
  <si>
    <t>1000169</t>
  </si>
  <si>
    <t>DRENCH 1KG</t>
  </si>
  <si>
    <t>1000163</t>
  </si>
  <si>
    <t>Hidralac 500ml</t>
  </si>
  <si>
    <t>2342</t>
  </si>
  <si>
    <t>Mercepton (Frasco 100 ml)</t>
  </si>
  <si>
    <t>1000384</t>
  </si>
  <si>
    <t>NUTRON LYT 1KG</t>
  </si>
  <si>
    <t>Produtos veterinários - Hormônios/similares</t>
  </si>
  <si>
    <t>1000153</t>
  </si>
  <si>
    <t>CIDR - Progesterona - 10 unidades</t>
  </si>
  <si>
    <t>1000380</t>
  </si>
  <si>
    <t>Ciosin (100ml)</t>
  </si>
  <si>
    <t>1000113</t>
  </si>
  <si>
    <t>Estron 60ml</t>
  </si>
  <si>
    <t>1000440</t>
  </si>
  <si>
    <t>FERTILCARE OVULAÇÃO 100ML</t>
  </si>
  <si>
    <t>1000120</t>
  </si>
  <si>
    <t>Lactotropin 500mg</t>
  </si>
  <si>
    <t>1000129</t>
  </si>
  <si>
    <t>LUTALYSE FR. 30ML</t>
  </si>
  <si>
    <t>1000114</t>
  </si>
  <si>
    <t>SincroCP 50ml</t>
  </si>
  <si>
    <t>1000116</t>
  </si>
  <si>
    <t>Sincrodiol 50ml</t>
  </si>
  <si>
    <t>1000115</t>
  </si>
  <si>
    <t>Sincroforte 20ml</t>
  </si>
  <si>
    <t>1000112</t>
  </si>
  <si>
    <t>Sincrogest (implante)</t>
  </si>
  <si>
    <t>1000187</t>
  </si>
  <si>
    <t>Tec-Relin 20ml</t>
  </si>
  <si>
    <t>Produtos veterinários - Imunização ativa</t>
  </si>
  <si>
    <t>1000193</t>
  </si>
  <si>
    <t>VACINA ANAVAC B19FR. 30ML</t>
  </si>
  <si>
    <t>1000249</t>
  </si>
  <si>
    <t>VACINA MORAK - 5 BR 30 DS</t>
  </si>
  <si>
    <t>1000241</t>
  </si>
  <si>
    <t>VACINA RB 51 - FR 25 DS</t>
  </si>
  <si>
    <t>Produtos veterinários - Minerais (formulações puras e complexos)</t>
  </si>
  <si>
    <t>3133</t>
  </si>
  <si>
    <t>Ferrodex (Frasco 50 ml)</t>
  </si>
  <si>
    <t>1000248</t>
  </si>
  <si>
    <t>FOSFOSAL 100 ML</t>
  </si>
  <si>
    <t>Produtos veterinários - Outros</t>
  </si>
  <si>
    <t>1000409</t>
  </si>
  <si>
    <t>BOVICOR CREME 45 GR</t>
  </si>
  <si>
    <t>Produtos veterinários - Soros hiperimunes</t>
  </si>
  <si>
    <t>3425</t>
  </si>
  <si>
    <t>Soro Antiofídico Polivalente Liof. (Seringa 50 ml)</t>
  </si>
  <si>
    <t>Item</t>
  </si>
  <si>
    <t>Classe</t>
  </si>
  <si>
    <t>Produto</t>
  </si>
  <si>
    <t>Preço unit</t>
  </si>
  <si>
    <t>Vlr compra</t>
  </si>
  <si>
    <t>Vlr acum</t>
  </si>
  <si>
    <t>% acum</t>
  </si>
  <si>
    <t>% total</t>
  </si>
  <si>
    <t>1</t>
  </si>
  <si>
    <t>A</t>
  </si>
  <si>
    <t>cab</t>
  </si>
  <si>
    <t>Serviços de construção</t>
  </si>
  <si>
    <t>Salário</t>
  </si>
  <si>
    <t>Terraplanagem</t>
  </si>
  <si>
    <t>Frete</t>
  </si>
  <si>
    <t>Diesel S-500</t>
  </si>
  <si>
    <t>l</t>
  </si>
  <si>
    <t>Diárias</t>
  </si>
  <si>
    <t>Peças de trator</t>
  </si>
  <si>
    <t>Serviços Contábeis</t>
  </si>
  <si>
    <t>DCTF</t>
  </si>
  <si>
    <t>Manutenção em tratores</t>
  </si>
  <si>
    <t>Serviços com tratores</t>
  </si>
  <si>
    <t>FERTILIZANTE 00-23-00 COMIGO BG</t>
  </si>
  <si>
    <t>ton</t>
  </si>
  <si>
    <t>FERTILIZANTE 30-00-20 COMIGO BG</t>
  </si>
  <si>
    <t>Exames</t>
  </si>
  <si>
    <t>Marmitas</t>
  </si>
  <si>
    <t>Cocho</t>
  </si>
  <si>
    <t>Manutenção na ordenha</t>
  </si>
  <si>
    <t>SILO PLASTICO BPF 14X50</t>
  </si>
  <si>
    <t>Empreitada</t>
  </si>
  <si>
    <t>Viagens</t>
  </si>
  <si>
    <t>Diesel S-10</t>
  </si>
  <si>
    <t>26</t>
  </si>
  <si>
    <t>Comissões</t>
  </si>
  <si>
    <t>SEBRAE - Reprodução Animal</t>
  </si>
  <si>
    <t>Licença Ambiental</t>
  </si>
  <si>
    <t>Energia</t>
  </si>
  <si>
    <t>kwh</t>
  </si>
  <si>
    <t>Seguro - Caminhonete</t>
  </si>
  <si>
    <t>Aplicação de Calcário</t>
  </si>
  <si>
    <t>FGTS</t>
  </si>
  <si>
    <t>Calcário Calcítico</t>
  </si>
  <si>
    <t>SUPLEMENTO MINERAL COMIGO RECRIA AGUAS / F5 30KG</t>
  </si>
  <si>
    <t>Manutenção em equipamentos e ferramentas</t>
  </si>
  <si>
    <t>Gasolina</t>
  </si>
  <si>
    <t>Serviços de internet/câmeras</t>
  </si>
  <si>
    <t>Materiais Elétricos</t>
  </si>
  <si>
    <t>Tributos</t>
  </si>
  <si>
    <t>TETEIRA HARMONY 22MM LS - P6/ C</t>
  </si>
  <si>
    <t>BEBEDOURO SAMURAI PEC MIX 1500LT S/BOIA</t>
  </si>
  <si>
    <t>Etanol</t>
  </si>
  <si>
    <t>TELA GALINHEIRO 1,50X50</t>
  </si>
  <si>
    <t>RACAO TITUS ADULTO 15 KG</t>
  </si>
  <si>
    <t>kg</t>
  </si>
  <si>
    <t>Casqueamento</t>
  </si>
  <si>
    <t>51</t>
  </si>
  <si>
    <t>ARAME LISO BELVAL Z-700 1000M</t>
  </si>
  <si>
    <t>Software - IDEAGRI</t>
  </si>
  <si>
    <t>CORAL RENDE MUITO LOC PM 16L</t>
  </si>
  <si>
    <t>Materiais Hidráulicos</t>
  </si>
  <si>
    <t>Fabricação de Portas de Aço</t>
  </si>
  <si>
    <t>SEMENTE MOMBAÇA SOESP 10KG VC 80%</t>
  </si>
  <si>
    <t>Visita - Reprodutivo - ALPHA/ABS</t>
  </si>
  <si>
    <t>Internet - Starlink</t>
  </si>
  <si>
    <t>B</t>
  </si>
  <si>
    <t>TUBO DE LEITE DE BORRACHA 14,5mm P9/A</t>
  </si>
  <si>
    <t>TUBO PVC 75 mm P/ LINHA DE VÁCUO 6 METROS</t>
  </si>
  <si>
    <t>TETEIRA ULTRALINER AL2U 1 ANEL</t>
  </si>
  <si>
    <t>CORAL BRILHO E PROTECAO LOC PM 16L</t>
  </si>
  <si>
    <t>Gás de cozinha</t>
  </si>
  <si>
    <t>Ferramentas</t>
  </si>
  <si>
    <t>BATERIA ECON TFS60D/E60DD-18 CCA425</t>
  </si>
  <si>
    <t>MANGUEIRA PVC TRANSFERÊNCIA DE LEITE 25X 35MM - P8</t>
  </si>
  <si>
    <t>Bio Masty Espuma BB 20L (pré-dipping)</t>
  </si>
  <si>
    <t>Assessoria Pecuária</t>
  </si>
  <si>
    <t>ALCALAN TOP (AGRO) - BB X 20L</t>
  </si>
  <si>
    <t>DOBRADICA QUADRADA N-03</t>
  </si>
  <si>
    <t>BIODIP MASTY - BB X 20L</t>
  </si>
  <si>
    <t>Mangueira Leite PVC - 14x25mm - P8/A e B</t>
  </si>
  <si>
    <t>Ganho de Capital</t>
  </si>
  <si>
    <t>BOMBA LAVADORA</t>
  </si>
  <si>
    <t>IOF</t>
  </si>
  <si>
    <t>MANGUEIRA LEITE PVC 16x27MM - P8/ A</t>
  </si>
  <si>
    <t>TUBO INOX 50 MM (BARRA DE 6M)</t>
  </si>
  <si>
    <t>PNEU 175/70R13 KELLY EDGE TOURING 82T SL</t>
  </si>
  <si>
    <t>Bio Masty 5.000 BB 20L (pós-dipping)</t>
  </si>
  <si>
    <t>Transporte de Máquinas</t>
  </si>
  <si>
    <t>PAPEL TOALHA 1000 X 1</t>
  </si>
  <si>
    <t>Manta Bidim 100m Reforço Impermeabilizante (Telhad</t>
  </si>
  <si>
    <t>ÁCIDO CLEAN (AGRO) - BB X 20L</t>
  </si>
  <si>
    <t>Curva PVC 70mm 90 - P6/ Acima</t>
  </si>
  <si>
    <t>BOMBA ALIMENTADORA ORIG.VMT 836666344</t>
  </si>
  <si>
    <t>MANGA EIXO ESQUERDO MF 3146771M91</t>
  </si>
  <si>
    <t>MANGUEIRA DUPLA VÁCUO PVC 7,5x13,7 - P8/ C</t>
  </si>
  <si>
    <t>Contribuição Sindical Rural</t>
  </si>
  <si>
    <t>Roundup Original (Embalagem 20 l)</t>
  </si>
  <si>
    <t>BOMBA ALIMENTADORA PK 72088</t>
  </si>
  <si>
    <t>STAR MASTY - BB X 20L</t>
  </si>
  <si>
    <t>SONDA ESOFAGICA 4LTS MAMADEIRAP/ ALIMENTACAO FORCA</t>
  </si>
  <si>
    <t>BOBES ZINCADO C/PINO</t>
  </si>
  <si>
    <t>BIO MASTY ESPUMA 5L</t>
  </si>
  <si>
    <t>SABRE 50CM ORIG.ST 038 30030019221</t>
  </si>
  <si>
    <t>ACTYL POUR ON 5L</t>
  </si>
  <si>
    <t>Pedágios</t>
  </si>
  <si>
    <t>Nitrogênio</t>
  </si>
  <si>
    <t>LEINERT VIVACOR BRANCO NEVE 18L</t>
  </si>
  <si>
    <t>Seguro de Frete</t>
  </si>
  <si>
    <t>OLEO CASTROL ST 2T 500ML 8017H</t>
  </si>
  <si>
    <t>DIAFRAGMA DA VÁLVULA CORTE ACRÍLICA (UN.) - P4/ A6</t>
  </si>
  <si>
    <t>DETERGENTE ACIDO A-500 PREMIUM 20L BD</t>
  </si>
  <si>
    <t>SABRE 40CM ORIG. ST 30030019213</t>
  </si>
  <si>
    <t>EUCALIPTO TE 18 A 20X4,00 M</t>
  </si>
  <si>
    <t>LACO CAMPEIRO RESINADO 12MM 12</t>
  </si>
  <si>
    <t>VR ORDENHADEIRA 5L</t>
  </si>
  <si>
    <t>FITA CREPE 48MMX50MM</t>
  </si>
  <si>
    <t>VÁLVULA BOIA 1 BSP FF200</t>
  </si>
  <si>
    <t>BOIA VALVULA ESFERICA 3/4"</t>
  </si>
  <si>
    <t>JG BRINCO GRANDE 25 X 1 LISO</t>
  </si>
  <si>
    <t>BARRA ROSCADA UNC 3/8X1000 RI POL</t>
  </si>
  <si>
    <t>CORRENTE ELO 12,5MM</t>
  </si>
  <si>
    <t>VACINA BOVIGEN LEPTO 8 150ML - 50 DOSES</t>
  </si>
  <si>
    <t>PAPEL TOALHA MULTPEL CREME 20X21</t>
  </si>
  <si>
    <t>LUVA P/ PROCED. COM PO SUPERMAX TAM M</t>
  </si>
  <si>
    <t>LEINERT MASSA CORRIDA CX 20KG</t>
  </si>
  <si>
    <t>CORRENTE MOTO SERRA ORIG. ST 36100001640</t>
  </si>
  <si>
    <t>PINO 3 PONTO MF 892476M1</t>
  </si>
  <si>
    <t>DETERGENTE EXPUMANTE D-1000 20L</t>
  </si>
  <si>
    <t>Fertilcare Sincronização</t>
  </si>
  <si>
    <t>ml</t>
  </si>
  <si>
    <t>Telhas de barro</t>
  </si>
  <si>
    <t>LEINERT VIVACOR BRANCO GELO 18L</t>
  </si>
  <si>
    <t>TURBO CALCIO 500ML</t>
  </si>
  <si>
    <t>Mod Adap WF Gea 6cm x 48cm (filtro)</t>
  </si>
  <si>
    <t>Materiais Administrativos</t>
  </si>
  <si>
    <t>CORRENTE ELO 9,5MM</t>
  </si>
  <si>
    <t>PISO ACETINADO 53X53 53851 SÃO PAULO CINZA (2,03)</t>
  </si>
  <si>
    <t>BOBINA DE PAPEL ONDULADO 1,2M</t>
  </si>
  <si>
    <t>BOTA PU CANO LONGO VERDE 41 SOL. PRETO</t>
  </si>
  <si>
    <t>Sincrocio (Frasco 50ml)</t>
  </si>
  <si>
    <t>CANECA DE CONTROLE CARTUCHEIRA - P5/ E</t>
  </si>
  <si>
    <t>Luva 60x60x120mm - P13/G1</t>
  </si>
  <si>
    <t>Luva 50x50x120 - P13/F1</t>
  </si>
  <si>
    <t>TERMOSTATO EGO 55.17012.050 = 0/85G</t>
  </si>
  <si>
    <t>PINO LISO 1X153MM 1X153MM</t>
  </si>
  <si>
    <t>Aminol 806 (Embalagem 5 l)</t>
  </si>
  <si>
    <t>PISO CERÂMICO ALMEIDA 62HDA05 RET A 62X62 (2,28m(2</t>
  </si>
  <si>
    <t>TERMOMETRO INCORTERM PLASTICO - P5/ D</t>
  </si>
  <si>
    <t>Materiais para infraestrutura</t>
  </si>
  <si>
    <t>COLA CONTATO AMAZONAS 750 GR</t>
  </si>
  <si>
    <t>CAMARA DE AR 3,25 COLSON</t>
  </si>
  <si>
    <t>IODO START 2500 QUALIMILK 5L</t>
  </si>
  <si>
    <t>ARRUELA LISA ZINCADA 3/8</t>
  </si>
  <si>
    <t>Fita de pesagem</t>
  </si>
  <si>
    <t>ATADURA CREP CREMER 15CM X 1,80PCT 12</t>
  </si>
  <si>
    <t>CAVADEIRA C/CABO TIPO LIGH</t>
  </si>
  <si>
    <t>Atestado de Saúde Ocupacional - ASO</t>
  </si>
  <si>
    <t>SERINGA DESCARTÁVEL 10ML</t>
  </si>
  <si>
    <t>Luva de Redução Borracha 60x50 - P13/D6</t>
  </si>
  <si>
    <t>Curva de Borracha 50x40x13mm - P13/F2</t>
  </si>
  <si>
    <t>LUVA P/PROCED. COM PO SUPERMAX TAM P</t>
  </si>
  <si>
    <t>AVENTAL FORRADO PVC BRANCO 1,20 X 0,70</t>
  </si>
  <si>
    <t>Cortiflan 50 ml</t>
  </si>
  <si>
    <t>Módulo Adaptador WF GEA 6cm x 48cm</t>
  </si>
  <si>
    <t>Curva de Borracha 50x32 Gea Nacional - P13/F4</t>
  </si>
  <si>
    <t>CORDA POLIPROPILENO 3MM VERMELHA</t>
  </si>
  <si>
    <t>PRE FILTRO D6NN9A660A</t>
  </si>
  <si>
    <t>SERROTE N-22 PROF</t>
  </si>
  <si>
    <t>Entrada de Leite 50mm - GEA Nacional P13/E2</t>
  </si>
  <si>
    <t>Mangueira Preta de Borracha 8.5x15mm - P9l/D</t>
  </si>
  <si>
    <t>CORRENTE ELO 3MM</t>
  </si>
  <si>
    <t>FILTRO MF 2710804 C15165/3</t>
  </si>
  <si>
    <t>SERINGA DESCARTÁVEL 20ML</t>
  </si>
  <si>
    <t>Curva Estriada Nacional - P13/E3</t>
  </si>
  <si>
    <t>CABO UNIV REDONDO MAD. 145CM</t>
  </si>
  <si>
    <t>PARAFUSO DIR.16X80 JUMIL BI</t>
  </si>
  <si>
    <t>LUVAS (para ordenhar)</t>
  </si>
  <si>
    <t>ARGAMASSA QUALIFORT AC1 20KG</t>
  </si>
  <si>
    <t>TUBO ISOL.3/8 MEDIO PRETO</t>
  </si>
  <si>
    <t>Termômetro Digital</t>
  </si>
  <si>
    <t>ANEL DE VEDACAO DO COLETOR CLASSIC 300 - P2/</t>
  </si>
  <si>
    <t>CORREIA A44 - P10/ACIMA</t>
  </si>
  <si>
    <t>TINTA MARCADORA RAIDEX</t>
  </si>
  <si>
    <t>TOP LINE SPRAY 400ML (prata)</t>
  </si>
  <si>
    <t>CANIVETE SOL CABO MADEIRA PEQ.</t>
  </si>
  <si>
    <t>FACAO S/ BAINHA CORNETA 12"</t>
  </si>
  <si>
    <t>BOTA BRANCA PVC 43 CURTA</t>
  </si>
  <si>
    <t>TAMPA DO TANQUE MF 3149550 M1</t>
  </si>
  <si>
    <t>PAG ROLO LÃ EXTRA 23CM</t>
  </si>
  <si>
    <t>CORANTE XADREZ AMARELO</t>
  </si>
  <si>
    <t>ENXADA LARGA CANAV 2,5 C/ CABO 150 CM</t>
  </si>
  <si>
    <t>RODO P/ TERREIRO 20X50 CM</t>
  </si>
  <si>
    <t>FILTRO MF 2710805 CF700</t>
  </si>
  <si>
    <t>BOTA PRETA PVC CURTA</t>
  </si>
  <si>
    <t>BOTA PRETA PVC 42 CURTA</t>
  </si>
  <si>
    <t>BOTA PRETA PVC 38 CURTA</t>
  </si>
  <si>
    <t>MANGUEIRA SUCCAO ISAL  2" AZUL IBIRA</t>
  </si>
  <si>
    <t>FOICE ROCADEIRA</t>
  </si>
  <si>
    <t>FILTRO CAV PK 423651</t>
  </si>
  <si>
    <t>TAMPAO DE TETEIRA AZUL E PRETO P9/ C</t>
  </si>
  <si>
    <t>MARTELO UNHA POLID C/ CABO 29MM</t>
  </si>
  <si>
    <t>VALVULA TIP TOP CLASSIC 300 - P2/ D6</t>
  </si>
  <si>
    <t>ALICATE UNIVERSAL 8" ISOL. SATA</t>
  </si>
  <si>
    <t>PNEU 3,25X8 S/CAMARA 2 LONAS COLSON</t>
  </si>
  <si>
    <t>ATLAS TRINCHA 395 3</t>
  </si>
  <si>
    <t>PA DE BICO C/ CABO 120 CM</t>
  </si>
  <si>
    <t>Ungüento Pearson (Pote 250 g)</t>
  </si>
  <si>
    <t>PORCA SEXTAVADA 3/8 ZINCADA</t>
  </si>
  <si>
    <t>PA BICO SERVENTE B3 C/CB RETO</t>
  </si>
  <si>
    <t>PINO C/ ARGOLA IMPLEMENTO MF 1482689</t>
  </si>
  <si>
    <t>PALHA DE AÇO N 1</t>
  </si>
  <si>
    <t>FITA CREPE 32X50</t>
  </si>
  <si>
    <t>FLEXIVEL TANQUE 1484958M92</t>
  </si>
  <si>
    <t>LIMA KF 8 P/ ENXADA C/ CABO</t>
  </si>
  <si>
    <t>TRINCHA ATLAS GRISALHO (395) 2.1/2</t>
  </si>
  <si>
    <t>LIMATAO ORIG. ST 56057715206 5,2x200</t>
  </si>
  <si>
    <t>PREGO 19X27</t>
  </si>
  <si>
    <t>LIXA MASSA 80</t>
  </si>
  <si>
    <t>LIXA MASSA 150</t>
  </si>
  <si>
    <t>BAINHA ANDRADE P/ FACAO 12</t>
  </si>
  <si>
    <t>AVENTAL PVC FORRADO 1.20 X 0.70-BRANCO</t>
  </si>
  <si>
    <t>LUVA DN40X1.1/4 MARROM (P)</t>
  </si>
  <si>
    <t>VASSOURA GARY PLASTICO CABO MAD 40CM</t>
  </si>
  <si>
    <t>BUCHA LIMPEZA ORDENHA</t>
  </si>
  <si>
    <t>PORCA FREIANTE JUMIL 16MM</t>
  </si>
  <si>
    <t>CONECTOR EMENDA EM LINHA ALAVANCA 0221-2411</t>
  </si>
  <si>
    <t>BARRA ROSCADA  UNC 1/2X1000 RI POL</t>
  </si>
  <si>
    <t>CABO P/ FOICE 110 CM</t>
  </si>
  <si>
    <t>UNIAO DN25 MARROM (P)</t>
  </si>
  <si>
    <t>AGULHA DESC. P/ SUINO 25X7</t>
  </si>
  <si>
    <t>CHAVE COMB. PRO TRAMONT. 17MM 44660/017</t>
  </si>
  <si>
    <t>COPO MF 2710914M1</t>
  </si>
  <si>
    <t>ARRUELA LISA 17MM JM 2880 PANTOG.</t>
  </si>
  <si>
    <t>SOLUÇÃO FENOLFTALEINA 1.0% - LT</t>
  </si>
  <si>
    <t>BAINHA P/INSEMINACAO BOVI-GAINE 50X1</t>
  </si>
  <si>
    <t>FILTRO CAV CURTO PK 635776</t>
  </si>
  <si>
    <t>GELADEIRA TERM.12L</t>
  </si>
  <si>
    <t>ADESIVO PVC 175G INCOLOR (P)</t>
  </si>
  <si>
    <t>AGULHA DESCARTÁVEL P/ SUINO 40X12</t>
  </si>
  <si>
    <t>PORCA SEXTAVADA UNC 3/8 CHV 9/16 POL</t>
  </si>
  <si>
    <t>CHAVE COMB. PRO TRAMONT. 15MM 44660/015</t>
  </si>
  <si>
    <t>Bolfo (Sachê 200 g)</t>
  </si>
  <si>
    <t>EMENDA Y e T COM ESCAMA PARA MANGUEIRA 3/8 -</t>
  </si>
  <si>
    <t>CIDENTAL FR. 250ML</t>
  </si>
  <si>
    <t>VASSOURA</t>
  </si>
  <si>
    <t>ATLAS SUPORTE GAIOLA 23CM</t>
  </si>
  <si>
    <t>BIOTRIL COMPRIMIDO</t>
  </si>
  <si>
    <t>Aditivo de Radiador</t>
  </si>
  <si>
    <t>GELADEIRA TERMICA 3L</t>
  </si>
  <si>
    <t>BUCHA DN40X25 LONGA MARROM (P)</t>
  </si>
  <si>
    <t>LIMATAO ORIG. ST 56057714006 4X200</t>
  </si>
  <si>
    <t>LIMATAO ORIG. ST 56057715506 5,5x200</t>
  </si>
  <si>
    <t>BAINHA P/ CANIVETE 330/5 E 330/6</t>
  </si>
  <si>
    <t>PLACENTEX INJ. 100ML</t>
  </si>
  <si>
    <t>MANIPULO UNIVERSAL - P2/ C4</t>
  </si>
  <si>
    <t>CHAVE COMBINADA 14MM MAYLE</t>
  </si>
  <si>
    <t>DARE - Documento de Arrecadação de Receitas Estadu</t>
  </si>
  <si>
    <t>PLACENTEX 50ML</t>
  </si>
  <si>
    <t>PORCA SEXTAVADA UNC 1/2 CHV 3/4 POL</t>
  </si>
  <si>
    <t>ABRAÇADEIRA RSF 19mm - P11/E1</t>
  </si>
  <si>
    <t>ARRUELA LISA 1/2</t>
  </si>
  <si>
    <t>DATA</t>
  </si>
  <si>
    <t>ENTRADAS</t>
  </si>
  <si>
    <t>SAIDAS</t>
  </si>
  <si>
    <t>SALDO DIA</t>
  </si>
  <si>
    <t>SALDO ACUM</t>
  </si>
  <si>
    <t>jan_26</t>
  </si>
  <si>
    <t>fev_26</t>
  </si>
  <si>
    <t>mar_26</t>
  </si>
  <si>
    <t>abr_26</t>
  </si>
  <si>
    <t>mai_26</t>
  </si>
  <si>
    <t>jun_26</t>
  </si>
  <si>
    <t>2 - Receita</t>
  </si>
  <si>
    <t>2.01 - Pecuária</t>
  </si>
  <si>
    <t>2.01.01 - Leite</t>
  </si>
  <si>
    <t>2.01.01.01 - Leite indústria</t>
  </si>
  <si>
    <t>2.01.02 - Animais</t>
  </si>
  <si>
    <t>2.01.02.01 - Vacas - descarte voluntário</t>
  </si>
  <si>
    <t>2.05 - Empréstimos e financiamentos</t>
  </si>
  <si>
    <t>2.05.01 - Custeio</t>
  </si>
  <si>
    <t>2.05.02 - Capital de giro</t>
  </si>
  <si>
    <t>2.98 - Transf. crédito</t>
  </si>
  <si>
    <t>3 - Despesa</t>
  </si>
  <si>
    <t>3.01 - Insumos pecuária</t>
  </si>
  <si>
    <t>3.01.01 - Alimentação do rebanho</t>
  </si>
  <si>
    <t>3.01.01.01 - Concentrado protéico</t>
  </si>
  <si>
    <t>3.01.02 - Insumos reprodução</t>
  </si>
  <si>
    <t>3.01.02.01 - Sêmen</t>
  </si>
  <si>
    <t>3.01.02.02 - Nitrogênio</t>
  </si>
  <si>
    <t>3.01.02.03 - Materiais inseminação</t>
  </si>
  <si>
    <t>3.01.03 - Sanidade</t>
  </si>
  <si>
    <t>3.01.03.01 - Medicamentos</t>
  </si>
  <si>
    <t>3.01.03.02 - Vacinas</t>
  </si>
  <si>
    <t>3.01.03.03 - Higiene de ordenha</t>
  </si>
  <si>
    <t>3.01.03.04 - Exames</t>
  </si>
  <si>
    <t>3.01.04 - Hormônios e animais</t>
  </si>
  <si>
    <t>3.01.04.01 - Reprodutivos</t>
  </si>
  <si>
    <t>3.01.04.02 - BST</t>
  </si>
  <si>
    <t>3.01.05 - Ordenha</t>
  </si>
  <si>
    <t>3.01.05.01 - Manutenção periódica</t>
  </si>
  <si>
    <t>3.01.05.02 - Manutenção esporádica</t>
  </si>
  <si>
    <t>3.01.06 - Identificação de animais</t>
  </si>
  <si>
    <t>3.01.07 - Manejo de animais</t>
  </si>
  <si>
    <t>3.01.07.01 - Ferramentas</t>
  </si>
  <si>
    <t>3.01.07.02 - Utensílios</t>
  </si>
  <si>
    <t>3.01.07.03 - Equipamentos</t>
  </si>
  <si>
    <t>3.02 - Insumos agricultura</t>
  </si>
  <si>
    <t>3.02.01 - Fertilizantes</t>
  </si>
  <si>
    <t>3.02.01.01 - Nitrogenados</t>
  </si>
  <si>
    <t>3.02.01.02 - Fosfatados</t>
  </si>
  <si>
    <t>3.02.02 - Defensivos</t>
  </si>
  <si>
    <t>3.02.02.01 - Herbicidas</t>
  </si>
  <si>
    <t>3.02.03 - Corretivos solo</t>
  </si>
  <si>
    <t>3.02.03.02 - Calcário</t>
  </si>
  <si>
    <t>3.02.04 - Plantio</t>
  </si>
  <si>
    <t>3.02.04.01 - Sementes</t>
  </si>
  <si>
    <t>3.02.08 - Material manejo agrícola</t>
  </si>
  <si>
    <t>3.02.08.01 - Ferramentas</t>
  </si>
  <si>
    <t>3.03 - Operacionais</t>
  </si>
  <si>
    <t>3.03.01 - Pessoal</t>
  </si>
  <si>
    <t>3.03.01.01 - Salários</t>
  </si>
  <si>
    <t>3.03.01.06 - GPS</t>
  </si>
  <si>
    <t>3.03.01.07 - FGTS</t>
  </si>
  <si>
    <t>3.03.01.09 - Rescisões</t>
  </si>
  <si>
    <t>3.03.02 - Serviços de terceiros</t>
  </si>
  <si>
    <t>3.03.02.01 - Advogado</t>
  </si>
  <si>
    <t>3.03.02.02 - Assistência técnica</t>
  </si>
  <si>
    <t>3.03.02.04 - Contador</t>
  </si>
  <si>
    <t>3.03.02.06 - Empreitadas</t>
  </si>
  <si>
    <t>3.03.02.07 - Diaristas</t>
  </si>
  <si>
    <t>3.03.02.08 - Mão de obra manutenções</t>
  </si>
  <si>
    <t>3.03.02.09 - Serviços diversos de terceiros</t>
  </si>
  <si>
    <t>3.03.04 - Fretes</t>
  </si>
  <si>
    <t>3.03.05 - Manut. veíc. maq. e implementos</t>
  </si>
  <si>
    <t>3.03.05.01 - Peças</t>
  </si>
  <si>
    <t>3.03.05.02 - Borracharia</t>
  </si>
  <si>
    <t>3.03.05.04 - Lubrificantes</t>
  </si>
  <si>
    <t>3.03.05.05 - Material oficina</t>
  </si>
  <si>
    <t>3.03.05.07 - Seguros</t>
  </si>
  <si>
    <t>3.03.06 - Manutenção imóveis e equip.</t>
  </si>
  <si>
    <t>3.03.06.01 - Benfeitorias</t>
  </si>
  <si>
    <t>3.03.06.02 - Equipamentos</t>
  </si>
  <si>
    <t>3.03.06.03 - Ferramentas</t>
  </si>
  <si>
    <t>3.03.06.04 - Diversos</t>
  </si>
  <si>
    <t>3.03.07 - Despesas gerais</t>
  </si>
  <si>
    <t>3.03.07.01 - Energia elétrica</t>
  </si>
  <si>
    <t>3.03.07.02 - Produtos limpeza</t>
  </si>
  <si>
    <t>3.03.07.03 - Combustíveis e lubrificantes</t>
  </si>
  <si>
    <t>3.04 - Administrativas</t>
  </si>
  <si>
    <t>3.04.02 - Internet</t>
  </si>
  <si>
    <t>3.04.04 - Viagens</t>
  </si>
  <si>
    <t>3.04.06 - Material escritório</t>
  </si>
  <si>
    <t>3.04.08 - Diversos</t>
  </si>
  <si>
    <t>3.04.09 - Softwares</t>
  </si>
  <si>
    <t>3.06 - Despesas com vendas</t>
  </si>
  <si>
    <t>3.06.01 - Comissões</t>
  </si>
  <si>
    <t>3.07 - Financeiras</t>
  </si>
  <si>
    <t>3.07.01 - Juros</t>
  </si>
  <si>
    <t>3.07.01.01 - Empréstimo custeio</t>
  </si>
  <si>
    <t>3.07.01.02 - Financiamento imobilizados</t>
  </si>
  <si>
    <t>3.08 - Impostos, taxas e contribuições</t>
  </si>
  <si>
    <t>3.08.04 - Impostos diversos</t>
  </si>
  <si>
    <t>3.09 - Diversos</t>
  </si>
  <si>
    <t>3.09.04 - Diversos</t>
  </si>
  <si>
    <t>3.10 - Imobilizações</t>
  </si>
  <si>
    <t>3.10.02 - Máquinas e equipamentos</t>
  </si>
  <si>
    <t>3.10.05 - Benfeitorias</t>
  </si>
  <si>
    <t>3.10.06 - Animais - Reposição</t>
  </si>
  <si>
    <t>3.10.06.01 - Novilhas</t>
  </si>
  <si>
    <t>3.98 - Transf. débito</t>
  </si>
  <si>
    <t>Total</t>
  </si>
  <si>
    <t>Saldo acumulado</t>
  </si>
  <si>
    <t>Conta</t>
  </si>
  <si>
    <t>Descricao</t>
  </si>
  <si>
    <t>Dt venc</t>
  </si>
  <si>
    <t>Dt pag</t>
  </si>
  <si>
    <t>Dt comp</t>
  </si>
  <si>
    <t>Forn/cliente</t>
  </si>
  <si>
    <t>Nota</t>
  </si>
  <si>
    <t>Parcela</t>
  </si>
  <si>
    <t>Vlr total</t>
  </si>
  <si>
    <t>Vlr aprop ct</t>
  </si>
  <si>
    <t>Vlr aprop cc</t>
  </si>
  <si>
    <t>Vlr pago</t>
  </si>
  <si>
    <t>Tipo</t>
  </si>
  <si>
    <t>Centro</t>
  </si>
  <si>
    <t>Dt emissao</t>
  </si>
  <si>
    <t>2.01.01.01</t>
  </si>
  <si>
    <t>1 de 1</t>
  </si>
  <si>
    <t>PL</t>
  </si>
  <si>
    <t>81033</t>
  </si>
  <si>
    <t>2.01.02.01</t>
  </si>
  <si>
    <t>FORTUNCERES</t>
  </si>
  <si>
    <t>2.05.01</t>
  </si>
  <si>
    <t>Custeio</t>
  </si>
  <si>
    <t>Banco do Brasil</t>
  </si>
  <si>
    <t>C|26</t>
  </si>
  <si>
    <t>3.01.01.03</t>
  </si>
  <si>
    <t>COMIGO</t>
  </si>
  <si>
    <t>587542</t>
  </si>
  <si>
    <t>3.01.02.01</t>
  </si>
  <si>
    <t>3.01.03.01</t>
  </si>
  <si>
    <t>Medicamentos</t>
  </si>
  <si>
    <t>573548</t>
  </si>
  <si>
    <t>3.03.01.01</t>
  </si>
  <si>
    <t>3.03.07.01</t>
  </si>
  <si>
    <t>3.02.01.01</t>
  </si>
  <si>
    <t>Nitrogenados</t>
  </si>
  <si>
    <t>ARR</t>
  </si>
  <si>
    <t>3.10.06.01</t>
  </si>
  <si>
    <t xml:space="preserve">  Centros de custo:  PL = Pecuária Leiteira   •   C|26 = Custeio 2026   •   ARR = Arrendamento</t>
  </si>
  <si>
    <t>Preço silagem (R$/kg)</t>
  </si>
  <si>
    <t>Silagem kg/dia (da Dieta)</t>
  </si>
  <si>
    <t>Custo silagem no período</t>
  </si>
  <si>
    <t>Alimentação (compra + silagem 0,20/kg)</t>
  </si>
  <si>
    <t>CONTA_GERENCIAL</t>
  </si>
  <si>
    <t>SÊMEN EM ESTOQUE — POR TOURO</t>
  </si>
  <si>
    <t>Touro</t>
  </si>
  <si>
    <t>Doses</t>
  </si>
  <si>
    <t>Valor total (R$)</t>
  </si>
  <si>
    <t>HAGEN</t>
  </si>
  <si>
    <t>JAG</t>
  </si>
  <si>
    <t>MOSAIC</t>
  </si>
  <si>
    <t>PRAFESS</t>
  </si>
  <si>
    <t>STORMY</t>
  </si>
  <si>
    <t>VICTINHO</t>
  </si>
  <si>
    <t>BOMBONA USADA 200LT PARTIDA (cocho de tambor)</t>
  </si>
  <si>
    <t>ELETRIFIC.SOLAR C/BAT.SM 70-B MONITOR</t>
  </si>
  <si>
    <t>ICMS - DIFAL</t>
  </si>
  <si>
    <t>EUCALIPTO TE 16 A 18X3,20M CBI (mourão)</t>
  </si>
  <si>
    <t>TELA SOMBREAM 80% 4,20X50M</t>
  </si>
  <si>
    <t>LQ 200 - BB X 20L (detergente)</t>
  </si>
  <si>
    <t>Quilômetro rodado | deslocamento</t>
  </si>
  <si>
    <t>EUCALIPTO TE 10 A 12X2,20M CBI (estaca)</t>
  </si>
  <si>
    <t>LANTERNA 1 LED FL 7005</t>
  </si>
  <si>
    <t>BRASILUX FUNDO PREPARADOR PAREDES 3,6L</t>
  </si>
  <si>
    <t>MIXCOR SELADOR ACRÍLICO CASA NOVA CX 15KG</t>
  </si>
  <si>
    <t>ISOLADOR EST.C.533 (castanha de choque)</t>
  </si>
  <si>
    <t>S</t>
  </si>
  <si>
    <t>CARLOS ALPHA ABS</t>
  </si>
  <si>
    <t>Aborto</t>
  </si>
  <si>
    <t>2.01.03 - Outras receitas</t>
  </si>
  <si>
    <t>2.01.03.02 - Pecuária - diversos</t>
  </si>
  <si>
    <t>2.07 - Receita - diversos</t>
  </si>
  <si>
    <t>2.07.02 - Outras receitas</t>
  </si>
  <si>
    <t>2.07.02.02 - Receitas diversas</t>
  </si>
  <si>
    <t>3.07.02 - Tarifas bancárias</t>
  </si>
  <si>
    <t>3.07.02.01 - Movimentação bancária</t>
  </si>
  <si>
    <t>3.08.02 - ICMS</t>
  </si>
  <si>
    <t>Leite indústria</t>
  </si>
  <si>
    <t>ITALAC - Goiasminas Indústria de Laticínios Ltda</t>
  </si>
  <si>
    <t>ITALAC 12/25</t>
  </si>
  <si>
    <t>83560</t>
  </si>
  <si>
    <t>81887</t>
  </si>
  <si>
    <t>80171</t>
  </si>
  <si>
    <t>82743</t>
  </si>
  <si>
    <t>Vacas - descarte voluntário</t>
  </si>
  <si>
    <t>005.506</t>
  </si>
  <si>
    <t>008.506</t>
  </si>
  <si>
    <t>Ana Paula Alves Guimarães</t>
  </si>
  <si>
    <t>E6074698202605202033</t>
  </si>
  <si>
    <t>Emerson Bessa Azevedo Santos</t>
  </si>
  <si>
    <t>VENDA 04/06/26</t>
  </si>
  <si>
    <t>2.01.02.03</t>
  </si>
  <si>
    <t>Bezerras/novilhas</t>
  </si>
  <si>
    <t>2.01.03.02</t>
  </si>
  <si>
    <t>Pecuária - diversos</t>
  </si>
  <si>
    <t>Antônio Lázaro dos Santos</t>
  </si>
  <si>
    <t>CAVALO 12/25</t>
  </si>
  <si>
    <t>861.718.569</t>
  </si>
  <si>
    <t>2.05.02</t>
  </si>
  <si>
    <t>Capital de giro</t>
  </si>
  <si>
    <t>JAIRO NASSER QUINTILIANO DA SILVA (PF)</t>
  </si>
  <si>
    <t>EMPRÉSTIMO</t>
  </si>
  <si>
    <t>2.07.02.02</t>
  </si>
  <si>
    <t>Receitas diversas</t>
  </si>
  <si>
    <t>Não informado</t>
  </si>
  <si>
    <t>AJUSTE</t>
  </si>
  <si>
    <t>Minerais / aditivos</t>
  </si>
  <si>
    <t>Posto Mil - Petromil Comércio Derivdos de Petróleo</t>
  </si>
  <si>
    <t>50702-21</t>
  </si>
  <si>
    <t>3.01.02.02</t>
  </si>
  <si>
    <t>61901</t>
  </si>
  <si>
    <t>NITRO 02/26</t>
  </si>
  <si>
    <t>42901</t>
  </si>
  <si>
    <t>3.01.02.03</t>
  </si>
  <si>
    <t>Materiais inseminação</t>
  </si>
  <si>
    <t>ALTA GENETICS DO BRASIL LTDA</t>
  </si>
  <si>
    <t>695295</t>
  </si>
  <si>
    <t>593042</t>
  </si>
  <si>
    <t>590006</t>
  </si>
  <si>
    <t>591948</t>
  </si>
  <si>
    <t>588787</t>
  </si>
  <si>
    <t>591702</t>
  </si>
  <si>
    <t>592605</t>
  </si>
  <si>
    <t>577111</t>
  </si>
  <si>
    <t>572632</t>
  </si>
  <si>
    <t>583979</t>
  </si>
  <si>
    <t>594449</t>
  </si>
  <si>
    <t>584659</t>
  </si>
  <si>
    <t>3.01.03.02</t>
  </si>
  <si>
    <t>Vacinas</t>
  </si>
  <si>
    <t>590885</t>
  </si>
  <si>
    <t>584535</t>
  </si>
  <si>
    <t>3.01.03.03</t>
  </si>
  <si>
    <t>Higiene de ordenha</t>
  </si>
  <si>
    <t>La Vaca</t>
  </si>
  <si>
    <t>14495</t>
  </si>
  <si>
    <t>CASA DO CRIADOR PRODUTOS AGROPECUARIOS LTDA</t>
  </si>
  <si>
    <t>195178</t>
  </si>
  <si>
    <t>Ordengyn Indústria e Comércio Ltda</t>
  </si>
  <si>
    <t>017452</t>
  </si>
  <si>
    <t>584325</t>
  </si>
  <si>
    <t>018036</t>
  </si>
  <si>
    <t>017946</t>
  </si>
  <si>
    <t>583011</t>
  </si>
  <si>
    <t>017634</t>
  </si>
  <si>
    <t>195887</t>
  </si>
  <si>
    <t>017790</t>
  </si>
  <si>
    <t>594672</t>
  </si>
  <si>
    <t>264458</t>
  </si>
  <si>
    <t>18163</t>
  </si>
  <si>
    <t>593177</t>
  </si>
  <si>
    <t>3.01.03.04</t>
  </si>
  <si>
    <t>Lageado Consultoria</t>
  </si>
  <si>
    <t>51403</t>
  </si>
  <si>
    <t>EXAME 01/26</t>
  </si>
  <si>
    <t>3.01.04.01</t>
  </si>
  <si>
    <t>Reprodutivos</t>
  </si>
  <si>
    <t>3.01.05.01</t>
  </si>
  <si>
    <t>Manutenção periódica</t>
  </si>
  <si>
    <t>1099</t>
  </si>
  <si>
    <t>14899</t>
  </si>
  <si>
    <t>14476</t>
  </si>
  <si>
    <t>3 de 3</t>
  </si>
  <si>
    <t>1095</t>
  </si>
  <si>
    <t>14581</t>
  </si>
  <si>
    <t>1 de 3</t>
  </si>
  <si>
    <t>2 de 3</t>
  </si>
  <si>
    <t>1059</t>
  </si>
  <si>
    <t>1105</t>
  </si>
  <si>
    <t>Gaúcho Ordenhadeiras</t>
  </si>
  <si>
    <t>ORD 03/26</t>
  </si>
  <si>
    <t>3.01.05.02</t>
  </si>
  <si>
    <t>Manutenção esporádica</t>
  </si>
  <si>
    <t>14563</t>
  </si>
  <si>
    <t>583620</t>
  </si>
  <si>
    <t>COMPACTA PRINT</t>
  </si>
  <si>
    <t>15666</t>
  </si>
  <si>
    <t>14504</t>
  </si>
  <si>
    <t>14647</t>
  </si>
  <si>
    <t>3.01.06</t>
  </si>
  <si>
    <t>Identificação de animais</t>
  </si>
  <si>
    <t>585141</t>
  </si>
  <si>
    <t>587709</t>
  </si>
  <si>
    <t>3.01.07.01</t>
  </si>
  <si>
    <t>589760</t>
  </si>
  <si>
    <t>585895</t>
  </si>
  <si>
    <t>Shopee</t>
  </si>
  <si>
    <t>000000000042205</t>
  </si>
  <si>
    <t>3.01.07.02</t>
  </si>
  <si>
    <t>Utensílios</t>
  </si>
  <si>
    <t>582815</t>
  </si>
  <si>
    <t>594649</t>
  </si>
  <si>
    <t>3.01.07.03</t>
  </si>
  <si>
    <t>Equipamentos</t>
  </si>
  <si>
    <t>TENAX PRÉ-MOLDADOS</t>
  </si>
  <si>
    <t>15502</t>
  </si>
  <si>
    <t>699099</t>
  </si>
  <si>
    <t>594822</t>
  </si>
  <si>
    <t>594904</t>
  </si>
  <si>
    <t>593645</t>
  </si>
  <si>
    <t>595109</t>
  </si>
  <si>
    <t>3/26_1</t>
  </si>
  <si>
    <t>3.02.01.02</t>
  </si>
  <si>
    <t>Fosfatados</t>
  </si>
  <si>
    <t>3.02.02.01</t>
  </si>
  <si>
    <t>Herbicidas</t>
  </si>
  <si>
    <t>588788</t>
  </si>
  <si>
    <t>3.02.03.02</t>
  </si>
  <si>
    <t>Calcário</t>
  </si>
  <si>
    <t>Elba Calcário</t>
  </si>
  <si>
    <t>5/26_1</t>
  </si>
  <si>
    <t>3.02.04.01</t>
  </si>
  <si>
    <t>Sementes</t>
  </si>
  <si>
    <t>2/26_1</t>
  </si>
  <si>
    <t>3.02.08.01</t>
  </si>
  <si>
    <t>3.02.08.02</t>
  </si>
  <si>
    <t>592800</t>
  </si>
  <si>
    <t>593630</t>
  </si>
  <si>
    <t>Salários</t>
  </si>
  <si>
    <t>VALÉRIA BONFIM</t>
  </si>
  <si>
    <t>FP 01/26</t>
  </si>
  <si>
    <t>ALEXANDRE SCARPA BUENO</t>
  </si>
  <si>
    <t>FP 02/26</t>
  </si>
  <si>
    <t>FP 04/26</t>
  </si>
  <si>
    <t>1 de 2</t>
  </si>
  <si>
    <t>FP 05/26</t>
  </si>
  <si>
    <t>1 de 4</t>
  </si>
  <si>
    <t>FP 06/26</t>
  </si>
  <si>
    <t>FP 03/26</t>
  </si>
  <si>
    <t>2 de 2</t>
  </si>
  <si>
    <t>ALANE SANTOS DE CASTRO</t>
  </si>
  <si>
    <t>4 de 4</t>
  </si>
  <si>
    <t>2 de 4</t>
  </si>
  <si>
    <t>3 de 4</t>
  </si>
  <si>
    <t>3.03.01.06</t>
  </si>
  <si>
    <t>GPS</t>
  </si>
  <si>
    <t>Receita Federal do Brasil</t>
  </si>
  <si>
    <t>DCTF 26</t>
  </si>
  <si>
    <t>4 de 12</t>
  </si>
  <si>
    <t>2 de 12</t>
  </si>
  <si>
    <t>5 de 12</t>
  </si>
  <si>
    <t>6 de 12</t>
  </si>
  <si>
    <t>3 de 12</t>
  </si>
  <si>
    <t>1 de 12</t>
  </si>
  <si>
    <t>7 de 12</t>
  </si>
  <si>
    <t>8 de 12</t>
  </si>
  <si>
    <t>9 de 12</t>
  </si>
  <si>
    <t>10 de 12</t>
  </si>
  <si>
    <t>11 de 12</t>
  </si>
  <si>
    <t>12 de 12</t>
  </si>
  <si>
    <t>DCTF 12/25</t>
  </si>
  <si>
    <t>3.03.01.07</t>
  </si>
  <si>
    <t>FGTS 26</t>
  </si>
  <si>
    <t>FGTS 12/25</t>
  </si>
  <si>
    <t>3.03.01.09</t>
  </si>
  <si>
    <t>Rescisões</t>
  </si>
  <si>
    <t>FORMEDI - Atestado de Saúde Ocupacional (ASO)</t>
  </si>
  <si>
    <t>ASO 04/26</t>
  </si>
  <si>
    <t>RESCISAO 12/25</t>
  </si>
  <si>
    <t>ASO 01/26</t>
  </si>
  <si>
    <t>RESCISAO 01/26</t>
  </si>
  <si>
    <t>3.03.01.13</t>
  </si>
  <si>
    <t>EPI / uniforme</t>
  </si>
  <si>
    <t>Casa das Desnatadeiras</t>
  </si>
  <si>
    <t>000.025.854</t>
  </si>
  <si>
    <t>587560</t>
  </si>
  <si>
    <t>3.03.01.14</t>
  </si>
  <si>
    <t>Outras despesas com pessoal</t>
  </si>
  <si>
    <t>3.03.02.01</t>
  </si>
  <si>
    <t>Advogado</t>
  </si>
  <si>
    <t>Warney Boffilo de Castro</t>
  </si>
  <si>
    <t>CASQ 01/26</t>
  </si>
  <si>
    <t>3.03.02.02</t>
  </si>
  <si>
    <t>Assistência técnica</t>
  </si>
  <si>
    <t>41702</t>
  </si>
  <si>
    <t>Foco Agroambiente (Mario Sperândio)</t>
  </si>
  <si>
    <t>000000000051504</t>
  </si>
  <si>
    <t>SEBRAE</t>
  </si>
  <si>
    <t>SEBRAE 03/26</t>
  </si>
  <si>
    <t>52601</t>
  </si>
  <si>
    <t>50801</t>
  </si>
  <si>
    <t>3.03.02.04</t>
  </si>
  <si>
    <t>Contador</t>
  </si>
  <si>
    <t>LBS CONTABILIDADE</t>
  </si>
  <si>
    <t>CONT 2026</t>
  </si>
  <si>
    <t>CONT 01/26</t>
  </si>
  <si>
    <t>3.03.02.06</t>
  </si>
  <si>
    <t>Empreitadas</t>
  </si>
  <si>
    <t>Humberto Garcia Pedreiro</t>
  </si>
  <si>
    <t>PED/OBRA 26</t>
  </si>
  <si>
    <t>7 de 9</t>
  </si>
  <si>
    <t>8 de 9</t>
  </si>
  <si>
    <t>Dimas Bonfim</t>
  </si>
  <si>
    <t>EMPREITA 05/26</t>
  </si>
  <si>
    <t>Myron Terraplanagem</t>
  </si>
  <si>
    <t>50405</t>
  </si>
  <si>
    <t>6 de 9</t>
  </si>
  <si>
    <t>50804</t>
  </si>
  <si>
    <t>PED/COMP 26</t>
  </si>
  <si>
    <t>Ronaldo Pereira Rocha</t>
  </si>
  <si>
    <t>41302</t>
  </si>
  <si>
    <t>3 de 9</t>
  </si>
  <si>
    <t>1 de 9</t>
  </si>
  <si>
    <t>2 de 9</t>
  </si>
  <si>
    <t>9 de 9</t>
  </si>
  <si>
    <t>4 de 9</t>
  </si>
  <si>
    <t>5 de 9</t>
  </si>
  <si>
    <t>Leonardo Zanotto</t>
  </si>
  <si>
    <t>ELET 04/26</t>
  </si>
  <si>
    <t>Tenório Araújo Souza</t>
  </si>
  <si>
    <t>PEDREIRO 03/26</t>
  </si>
  <si>
    <t>Arlei Pazini Caminhão Calcário</t>
  </si>
  <si>
    <t>CALCÁRIO 01/26</t>
  </si>
  <si>
    <t>3.03.02.07</t>
  </si>
  <si>
    <t>Diaristas</t>
  </si>
  <si>
    <t>João Batista (diarista)</t>
  </si>
  <si>
    <t>51804</t>
  </si>
  <si>
    <t>DIARIAS 01/26</t>
  </si>
  <si>
    <t>Carlos André F Araújo</t>
  </si>
  <si>
    <t>61207</t>
  </si>
  <si>
    <t>LUCAS RENATO PEIXOTO DA SILVA</t>
  </si>
  <si>
    <t>DIARIAS 12/25</t>
  </si>
  <si>
    <t>60802</t>
  </si>
  <si>
    <t>Leondas Pereira dos Santos</t>
  </si>
  <si>
    <t>60803</t>
  </si>
  <si>
    <t>402210</t>
  </si>
  <si>
    <t>MARMITAS 03/26</t>
  </si>
  <si>
    <t>Júlio Saminiez Santos</t>
  </si>
  <si>
    <t>MARCOS ANTÔNIO ALVES MEDEIROS</t>
  </si>
  <si>
    <t>61206</t>
  </si>
  <si>
    <t>Carlos Alexandre dos Santos Oliveira - Diarista</t>
  </si>
  <si>
    <t>DIARIAS 04/26</t>
  </si>
  <si>
    <t>MARMITA 02/26</t>
  </si>
  <si>
    <t>43001</t>
  </si>
  <si>
    <t>5 de 6</t>
  </si>
  <si>
    <t>4 de 6</t>
  </si>
  <si>
    <t>MARMITAS 05/26</t>
  </si>
  <si>
    <t>MARMITAS 04/26</t>
  </si>
  <si>
    <t>6 de 6</t>
  </si>
  <si>
    <t>1 de 6</t>
  </si>
  <si>
    <t>2 de 6</t>
  </si>
  <si>
    <t>Fornecedor (Despesas simplificadas)</t>
  </si>
  <si>
    <t>62403</t>
  </si>
  <si>
    <t>3 de 6</t>
  </si>
  <si>
    <t>DIARIAS 06/26</t>
  </si>
  <si>
    <t>MARMITAS 02/26</t>
  </si>
  <si>
    <t>Sildo Luzia da Silva</t>
  </si>
  <si>
    <t>261202</t>
  </si>
  <si>
    <t>Rodolfo Araújo Silva</t>
  </si>
  <si>
    <t>61201</t>
  </si>
  <si>
    <t>3.03.02.08</t>
  </si>
  <si>
    <t>Mão de obra manutenções</t>
  </si>
  <si>
    <t>WW Pressão e Rebobinamento</t>
  </si>
  <si>
    <t>TRATOR 01/26</t>
  </si>
  <si>
    <t>Kleber Alves Araújo</t>
  </si>
  <si>
    <t>TRATOR 02/26</t>
  </si>
  <si>
    <t>DJ Bomba Injetora Ltda</t>
  </si>
  <si>
    <t>51102</t>
  </si>
  <si>
    <t>Lutiano - câmeras</t>
  </si>
  <si>
    <t>60202</t>
  </si>
  <si>
    <t>60801</t>
  </si>
  <si>
    <t>TRATOR  01/26</t>
  </si>
  <si>
    <t>Auto Elétrica Planalto</t>
  </si>
  <si>
    <t>Tecnomassey Máquinas Agrícolas</t>
  </si>
  <si>
    <t>3.03.02.09</t>
  </si>
  <si>
    <t>Serviços diversos de terceiros</t>
  </si>
  <si>
    <t>Cardoso e Gregório Ferragista Ltda</t>
  </si>
  <si>
    <t>51301</t>
  </si>
  <si>
    <t>Matheus N S Peixoto (retro)</t>
  </si>
  <si>
    <t>SERV 02/26</t>
  </si>
  <si>
    <t>42801</t>
  </si>
  <si>
    <t>Adilson Alves</t>
  </si>
  <si>
    <t>A LANÇAR</t>
  </si>
  <si>
    <t>Fernando M Carmo (Borracharia Montividiu)</t>
  </si>
  <si>
    <t>000000000042203</t>
  </si>
  <si>
    <t>Casa dos Rolamentos (Sublime Transportes e Comércio Ltda)</t>
  </si>
  <si>
    <t>52504</t>
  </si>
  <si>
    <t>SERV 04/26</t>
  </si>
  <si>
    <t>Lucineide Souza da Cruz</t>
  </si>
  <si>
    <t>3.03.04</t>
  </si>
  <si>
    <t>Fretes</t>
  </si>
  <si>
    <t>João Guilherme Fernandes Rodarte</t>
  </si>
  <si>
    <t>FRETE 01/26</t>
  </si>
  <si>
    <t>João Fernandes de Castro</t>
  </si>
  <si>
    <t>61801</t>
  </si>
  <si>
    <t>LUIZ CARLOS VILELA - FRETE - MG</t>
  </si>
  <si>
    <t>FRETE 12/25</t>
  </si>
  <si>
    <t>50802</t>
  </si>
  <si>
    <t>ALPHA 01/26</t>
  </si>
  <si>
    <t>Juliana Martins Frete Montividiu</t>
  </si>
  <si>
    <t>Maurovando Frete - Elba Calcário</t>
  </si>
  <si>
    <t>Cícero M Fonseca</t>
  </si>
  <si>
    <t>Translopes (Transportadora de gado MG)</t>
  </si>
  <si>
    <t>FRETE 04/26</t>
  </si>
  <si>
    <t>ALPHA 02/26-1</t>
  </si>
  <si>
    <t>FRETE 02/26</t>
  </si>
  <si>
    <t>Alcimar Ferreira Barbosa</t>
  </si>
  <si>
    <t>61205</t>
  </si>
  <si>
    <t>ALPHA 02/26-2</t>
  </si>
  <si>
    <t>ALPHA 03/26</t>
  </si>
  <si>
    <t>Márcio Lopes Silva (frete Piracanjuba)</t>
  </si>
  <si>
    <t>62303</t>
  </si>
  <si>
    <t>Ezio Ferreira Lima</t>
  </si>
  <si>
    <t>62206</t>
  </si>
  <si>
    <t>Márcio - Auto Socorro MR - frete gado e prancha</t>
  </si>
  <si>
    <t>62208</t>
  </si>
  <si>
    <t>Weber Oliveira Silva</t>
  </si>
  <si>
    <t>3.03.05.01</t>
  </si>
  <si>
    <t>Peças</t>
  </si>
  <si>
    <t>590454</t>
  </si>
  <si>
    <t>590209</t>
  </si>
  <si>
    <t>578719</t>
  </si>
  <si>
    <t>594586</t>
  </si>
  <si>
    <t>5739</t>
  </si>
  <si>
    <t>3.03.05.02</t>
  </si>
  <si>
    <t>Borracharia</t>
  </si>
  <si>
    <t>ATENDE TUDO - NELIO CRUVINEL FILHO - ME</t>
  </si>
  <si>
    <t>16119</t>
  </si>
  <si>
    <t>WA Mangueiras</t>
  </si>
  <si>
    <t>000000000042201</t>
  </si>
  <si>
    <t>593474</t>
  </si>
  <si>
    <t>3.03.05.04</t>
  </si>
  <si>
    <t>Lubrificantes</t>
  </si>
  <si>
    <t>3.03.05.05</t>
  </si>
  <si>
    <t>Material oficina</t>
  </si>
  <si>
    <t>Mundial Compressores</t>
  </si>
  <si>
    <t>BOMBA 03/26</t>
  </si>
  <si>
    <t>3.03.05.07</t>
  </si>
  <si>
    <t>Seguros</t>
  </si>
  <si>
    <t>Tokyo Marine Seguradora S.A.</t>
  </si>
  <si>
    <t>000000000042202</t>
  </si>
  <si>
    <t>3.03.06.01</t>
  </si>
  <si>
    <t>Benfeitorias</t>
  </si>
  <si>
    <t>Agro 15 Produtos Veterinários</t>
  </si>
  <si>
    <t>FERR 01/26</t>
  </si>
  <si>
    <t>PETER TINTAS - Peter Comércio de Tintas Eireli</t>
  </si>
  <si>
    <t>0000010333</t>
  </si>
  <si>
    <t>52804</t>
  </si>
  <si>
    <t>FERR 02/26</t>
  </si>
  <si>
    <t>52001</t>
  </si>
  <si>
    <t>593178</t>
  </si>
  <si>
    <t>578038</t>
  </si>
  <si>
    <t>JBN Materiais Para Construções Ltda</t>
  </si>
  <si>
    <t>39000</t>
  </si>
  <si>
    <t>575851</t>
  </si>
  <si>
    <t>593434</t>
  </si>
  <si>
    <t>576315</t>
  </si>
  <si>
    <t>3.03.06.02</t>
  </si>
  <si>
    <t>594502</t>
  </si>
  <si>
    <t>590659</t>
  </si>
  <si>
    <t>836</t>
  </si>
  <si>
    <t>593105</t>
  </si>
  <si>
    <t>SAFRA AGRICOLA E PECUARIA LTDA</t>
  </si>
  <si>
    <t>184935</t>
  </si>
  <si>
    <t>587273</t>
  </si>
  <si>
    <t>Adão Silva</t>
  </si>
  <si>
    <t>MANUT 04/26</t>
  </si>
  <si>
    <t>582817</t>
  </si>
  <si>
    <t>584321</t>
  </si>
  <si>
    <t>585251</t>
  </si>
  <si>
    <t>583993</t>
  </si>
  <si>
    <t>Goiás Ferramentas</t>
  </si>
  <si>
    <t>60103</t>
  </si>
  <si>
    <t>592520</t>
  </si>
  <si>
    <t>584320</t>
  </si>
  <si>
    <t>592057</t>
  </si>
  <si>
    <t>3.03.06.03</t>
  </si>
  <si>
    <t>16705</t>
  </si>
  <si>
    <t>582313</t>
  </si>
  <si>
    <t>HIDR 03/26</t>
  </si>
  <si>
    <t>589761</t>
  </si>
  <si>
    <t>HIDR 01/26</t>
  </si>
  <si>
    <t>HIDRJ 02/26</t>
  </si>
  <si>
    <t>50408</t>
  </si>
  <si>
    <t>50409</t>
  </si>
  <si>
    <t>592060</t>
  </si>
  <si>
    <t>586230</t>
  </si>
  <si>
    <t>3.03.06.04</t>
  </si>
  <si>
    <t>Diversos</t>
  </si>
  <si>
    <t>Energia elétrica</t>
  </si>
  <si>
    <t>Equatorial Goiás Distribuidora de Energia S.A.</t>
  </si>
  <si>
    <t>LUZ 03/26</t>
  </si>
  <si>
    <t>LUZ 01/26</t>
  </si>
  <si>
    <t>LUZ 06/26</t>
  </si>
  <si>
    <t>LUZ 02/26</t>
  </si>
  <si>
    <t>LUZ 05/26</t>
  </si>
  <si>
    <t>LUZ 04/26</t>
  </si>
  <si>
    <t>3.03.07.02</t>
  </si>
  <si>
    <t>Produtos limpeza</t>
  </si>
  <si>
    <t>3.03.07.03</t>
  </si>
  <si>
    <t>Combustíveis e lubrificantes</t>
  </si>
  <si>
    <t>50702-16</t>
  </si>
  <si>
    <t>50702-11</t>
  </si>
  <si>
    <t>50702-24</t>
  </si>
  <si>
    <t>50702-14</t>
  </si>
  <si>
    <t>50702-15</t>
  </si>
  <si>
    <t>50702-10</t>
  </si>
  <si>
    <t>50702-18</t>
  </si>
  <si>
    <t>50702-17</t>
  </si>
  <si>
    <t>50702-19</t>
  </si>
  <si>
    <t>50702-20</t>
  </si>
  <si>
    <t>50702-12</t>
  </si>
  <si>
    <t>50702-23</t>
  </si>
  <si>
    <t>50702-13</t>
  </si>
  <si>
    <t>50702-22</t>
  </si>
  <si>
    <t>50702-9</t>
  </si>
  <si>
    <t>080206</t>
  </si>
  <si>
    <t>081067</t>
  </si>
  <si>
    <t>081191</t>
  </si>
  <si>
    <t>081244</t>
  </si>
  <si>
    <t>081281</t>
  </si>
  <si>
    <t>080153</t>
  </si>
  <si>
    <t>080792</t>
  </si>
  <si>
    <t>080387</t>
  </si>
  <si>
    <t>Postos de Combustível</t>
  </si>
  <si>
    <t>POSTO 01/26</t>
  </si>
  <si>
    <t>15135</t>
  </si>
  <si>
    <t>POSTO 01/26-2</t>
  </si>
  <si>
    <t>60905</t>
  </si>
  <si>
    <t>590401</t>
  </si>
  <si>
    <t>081634</t>
  </si>
  <si>
    <t>51801</t>
  </si>
  <si>
    <t>60102</t>
  </si>
  <si>
    <t>079802</t>
  </si>
  <si>
    <t>081528</t>
  </si>
  <si>
    <t>080987</t>
  </si>
  <si>
    <t>081722</t>
  </si>
  <si>
    <t>081793</t>
  </si>
  <si>
    <t>081888</t>
  </si>
  <si>
    <t>082222</t>
  </si>
  <si>
    <t>082124</t>
  </si>
  <si>
    <t>POSTO 01/26-1</t>
  </si>
  <si>
    <t>POSTO 01/26-6</t>
  </si>
  <si>
    <t>POSTO 04/26-1</t>
  </si>
  <si>
    <t>POSTO 04/26</t>
  </si>
  <si>
    <t>000000000042001</t>
  </si>
  <si>
    <t>POSTO 01/26-8</t>
  </si>
  <si>
    <t>POSTO 01/26-7</t>
  </si>
  <si>
    <t>POSTO 01/26-9</t>
  </si>
  <si>
    <t>POSTO 01/26-5</t>
  </si>
  <si>
    <t>POSTO 01/26-4</t>
  </si>
  <si>
    <t>POSTO 01/26-3</t>
  </si>
  <si>
    <t>50702-8</t>
  </si>
  <si>
    <t>62204</t>
  </si>
  <si>
    <t>POSTO 04/26-10</t>
  </si>
  <si>
    <t>POSTO 04/26-5</t>
  </si>
  <si>
    <t>POSTO 04/26-6</t>
  </si>
  <si>
    <t>POSTO 04/26-7</t>
  </si>
  <si>
    <t>POSTO 04/26-8</t>
  </si>
  <si>
    <t>POSTO 04/26-9</t>
  </si>
  <si>
    <t>POSTO 04/26-11</t>
  </si>
  <si>
    <t>POSTO 04/26-12</t>
  </si>
  <si>
    <t>POSTO 04/26-2</t>
  </si>
  <si>
    <t>POSTO 04/26-13</t>
  </si>
  <si>
    <t>POSTO 04/26-14</t>
  </si>
  <si>
    <t>POSTO 04/26-3</t>
  </si>
  <si>
    <t>50702-4</t>
  </si>
  <si>
    <t>POSTO 03/26</t>
  </si>
  <si>
    <t>POSTO 02/26-2</t>
  </si>
  <si>
    <t>50702-1</t>
  </si>
  <si>
    <t>50702-2</t>
  </si>
  <si>
    <t>50702-3</t>
  </si>
  <si>
    <t>POSTO 02/26-3</t>
  </si>
  <si>
    <t>POSTO 02/26-1</t>
  </si>
  <si>
    <t>POSTO 02/26-5</t>
  </si>
  <si>
    <t>50702-5</t>
  </si>
  <si>
    <t>POSTO 02/26-4</t>
  </si>
  <si>
    <t>50402</t>
  </si>
  <si>
    <t>50702-6</t>
  </si>
  <si>
    <t>50702-7</t>
  </si>
  <si>
    <t>POSTO 02/26</t>
  </si>
  <si>
    <t>3.04.02</t>
  </si>
  <si>
    <t>Internet</t>
  </si>
  <si>
    <t>Starlink Brazil Serviços de Internet LTDA</t>
  </si>
  <si>
    <t>INTERNET 03/26</t>
  </si>
  <si>
    <t>INTERNET 06/26</t>
  </si>
  <si>
    <t>INTERNET 05/26</t>
  </si>
  <si>
    <t>INTERNET 02/26</t>
  </si>
  <si>
    <t>INTERNET 01/26</t>
  </si>
  <si>
    <t>INTERNET 04/26</t>
  </si>
  <si>
    <t>3.04.04</t>
  </si>
  <si>
    <t>RESTAURANTES E LANCHONETES</t>
  </si>
  <si>
    <t>ALIM 02/26</t>
  </si>
  <si>
    <t>Supermercados</t>
  </si>
  <si>
    <t>113063</t>
  </si>
  <si>
    <t>992772</t>
  </si>
  <si>
    <t>805938</t>
  </si>
  <si>
    <t>ALIM 01/26</t>
  </si>
  <si>
    <t>60101</t>
  </si>
  <si>
    <t>VIAGEM 04/26</t>
  </si>
  <si>
    <t>62205</t>
  </si>
  <si>
    <t>62207</t>
  </si>
  <si>
    <t>ALIM 04/26</t>
  </si>
  <si>
    <t>ALIM 03/26-3</t>
  </si>
  <si>
    <t>ALIM 03/26-2</t>
  </si>
  <si>
    <t>485079</t>
  </si>
  <si>
    <t>Gama Hotelaria e Empreendimentos Ltda</t>
  </si>
  <si>
    <t>VIAGEM MG 12/25</t>
  </si>
  <si>
    <t>62210</t>
  </si>
  <si>
    <t>50404</t>
  </si>
  <si>
    <t>ALIM 03/26-1</t>
  </si>
  <si>
    <t>82295</t>
  </si>
  <si>
    <t>43004</t>
  </si>
  <si>
    <t>50410</t>
  </si>
  <si>
    <t>50418</t>
  </si>
  <si>
    <t>60904</t>
  </si>
  <si>
    <t>60908</t>
  </si>
  <si>
    <t>60804</t>
  </si>
  <si>
    <t>ALIM 03/26</t>
  </si>
  <si>
    <t>51803</t>
  </si>
  <si>
    <t>ALIM 04/26 - 42002</t>
  </si>
  <si>
    <t>51802</t>
  </si>
  <si>
    <t>3.04.06</t>
  </si>
  <si>
    <t>Material escritório</t>
  </si>
  <si>
    <t>Nikey Papelaria</t>
  </si>
  <si>
    <t>ADM 01/26</t>
  </si>
  <si>
    <t>575891</t>
  </si>
  <si>
    <t>PAPELARIAS</t>
  </si>
  <si>
    <t>ADM 02/26</t>
  </si>
  <si>
    <t>62402</t>
  </si>
  <si>
    <t>3.04.08</t>
  </si>
  <si>
    <t>572076</t>
  </si>
  <si>
    <t>582308</t>
  </si>
  <si>
    <t>580464</t>
  </si>
  <si>
    <t>585245</t>
  </si>
  <si>
    <t>587272</t>
  </si>
  <si>
    <t>POSTO 04/26-4</t>
  </si>
  <si>
    <t>3.04.09</t>
  </si>
  <si>
    <t>Softwares</t>
  </si>
  <si>
    <t>IDEAGRI INOVAÇÃO E DESENVOLVIMENTO NO AGROBUSINESS LTDA</t>
  </si>
  <si>
    <t>2089</t>
  </si>
  <si>
    <t>4145</t>
  </si>
  <si>
    <t>905</t>
  </si>
  <si>
    <t>5252</t>
  </si>
  <si>
    <t>SOFTWARE 06/26</t>
  </si>
  <si>
    <t>3122</t>
  </si>
  <si>
    <t>3.06.01</t>
  </si>
  <si>
    <t>Weverton Régis do Nascimento</t>
  </si>
  <si>
    <t>COMISS. 12/25</t>
  </si>
  <si>
    <t>COMISS 04/26</t>
  </si>
  <si>
    <t>COMISSAO 01/26</t>
  </si>
  <si>
    <t>Fausto Assessoria Pecuário Ltda</t>
  </si>
  <si>
    <t>9840</t>
  </si>
  <si>
    <t>COMISSAO 06/26</t>
  </si>
  <si>
    <t>3.07.01.01</t>
  </si>
  <si>
    <t>Empréstimo custeio</t>
  </si>
  <si>
    <t>RENOVO CONSULTORIA LTDA (Ascese)</t>
  </si>
  <si>
    <t>CARTÓRIO DE REGISTRO DE IMÓVEIS E ANEXOS RAÍSSA PEIXOTO FLEMING - OFICIAL (MONTIVIDIU - GO)</t>
  </si>
  <si>
    <t>ONR 03/26</t>
  </si>
  <si>
    <t>3.07.01.02</t>
  </si>
  <si>
    <t>Financiamento imobilizados</t>
  </si>
  <si>
    <t>GELGÁS SOLUÇÕES PARA PECUÁRIA</t>
  </si>
  <si>
    <t>589769</t>
  </si>
  <si>
    <t>4 de 5</t>
  </si>
  <si>
    <t>5 de 5</t>
  </si>
  <si>
    <t>3 de 5</t>
  </si>
  <si>
    <t>592178</t>
  </si>
  <si>
    <t>2 de 5</t>
  </si>
  <si>
    <t>1 de 5</t>
  </si>
  <si>
    <t>591029</t>
  </si>
  <si>
    <t>3.07.02.01</t>
  </si>
  <si>
    <t>Movimentação bancária</t>
  </si>
  <si>
    <t>3.08.02</t>
  </si>
  <si>
    <t>ICMS</t>
  </si>
  <si>
    <t>ESTADO DE MINAS GERAIS</t>
  </si>
  <si>
    <t>00278953347-43</t>
  </si>
  <si>
    <t>002789533346-62</t>
  </si>
  <si>
    <t>3.08.04</t>
  </si>
  <si>
    <t>Impostos diversos</t>
  </si>
  <si>
    <t>AGRODEFESA</t>
  </si>
  <si>
    <t>DARE 03/26</t>
  </si>
  <si>
    <t>Confederação da Agricultura e Pecuária</t>
  </si>
  <si>
    <t>0525887</t>
  </si>
  <si>
    <t>ICMS 04/26</t>
  </si>
  <si>
    <t>ESTADO DE GOIÁS</t>
  </si>
  <si>
    <t>TRIB 12/25</t>
  </si>
  <si>
    <t>041601</t>
  </si>
  <si>
    <t>3.09.04</t>
  </si>
  <si>
    <t>COMIGO 01/26</t>
  </si>
  <si>
    <t>Maycon Douglas Zuchelli Ltda</t>
  </si>
  <si>
    <t>LEOMIR EMP 26</t>
  </si>
  <si>
    <t>587708</t>
  </si>
  <si>
    <t>3.10.02</t>
  </si>
  <si>
    <t>Máquinas e equipamentos</t>
  </si>
  <si>
    <t>Wagner João Batista &amp; Cia Ltda</t>
  </si>
  <si>
    <t>42204</t>
  </si>
  <si>
    <t>3.10.05</t>
  </si>
  <si>
    <t>ALVORADA METALÚRGICA</t>
  </si>
  <si>
    <t>325</t>
  </si>
  <si>
    <t>3 de 7</t>
  </si>
  <si>
    <t>4 de 7</t>
  </si>
  <si>
    <t>2 de 7</t>
  </si>
  <si>
    <t>5 de 7</t>
  </si>
  <si>
    <t>1 de 7</t>
  </si>
  <si>
    <t>Eletro Forte</t>
  </si>
  <si>
    <t>CONSTR 02/26</t>
  </si>
  <si>
    <t>Cemar Materiais Elétricos</t>
  </si>
  <si>
    <t>CONSTR 03/26-5</t>
  </si>
  <si>
    <t>CONSTR 03/26-1</t>
  </si>
  <si>
    <t>CONSTR 03/26-4</t>
  </si>
  <si>
    <t>CONSTR 03/26-3</t>
  </si>
  <si>
    <t>CONSTR 03/26-2</t>
  </si>
  <si>
    <t>FERRAGISTAS</t>
  </si>
  <si>
    <t>CONSTR 01/26</t>
  </si>
  <si>
    <t>SAETA IND E COM ELETROELETRONICO LTDA (MAKRO SERVICE)</t>
  </si>
  <si>
    <t>590404</t>
  </si>
  <si>
    <t>7 de 7</t>
  </si>
  <si>
    <t>52902</t>
  </si>
  <si>
    <t>52903</t>
  </si>
  <si>
    <t>51502</t>
  </si>
  <si>
    <t>Soluções Artefatos de Cimento (Marcos Laje)</t>
  </si>
  <si>
    <t>50501</t>
  </si>
  <si>
    <t>6 de 7</t>
  </si>
  <si>
    <t>16687</t>
  </si>
  <si>
    <t>41701</t>
  </si>
  <si>
    <t>61802</t>
  </si>
  <si>
    <t>Novilhas</t>
  </si>
  <si>
    <t>Henrique Germano Gonçalves (Alpinópolis - MG)</t>
  </si>
  <si>
    <t>051.551.477</t>
  </si>
  <si>
    <t>Gustavo Cipola Garcia da Silva</t>
  </si>
  <si>
    <t>27793003</t>
  </si>
  <si>
    <t>Rodolfo Areado MG</t>
  </si>
  <si>
    <t>050.234.475</t>
  </si>
  <si>
    <t>Izauro Quintiliano da Silva</t>
  </si>
  <si>
    <t>Data</t>
  </si>
  <si>
    <t>Evento</t>
  </si>
  <si>
    <t>Animal/Lote</t>
  </si>
  <si>
    <t>Detalhe</t>
  </si>
  <si>
    <t xml:space="preserve">  AGENDA DA FAZENDA - eventos e tarefas previstos</t>
  </si>
  <si>
    <t>Doses necessarias</t>
  </si>
  <si>
    <t>Doses em estoque</t>
  </si>
  <si>
    <t>Status</t>
  </si>
  <si>
    <t>Implante (Sincrogest/CIDR)</t>
  </si>
  <si>
    <t>OK</t>
  </si>
  <si>
    <t>Evento / Tarefa</t>
  </si>
  <si>
    <t>Animal / Lote</t>
  </si>
  <si>
    <t>Origem</t>
  </si>
  <si>
    <t>Producao</t>
  </si>
  <si>
    <t>DESMAMA (90 dias)</t>
  </si>
  <si>
    <t>auto</t>
  </si>
  <si>
    <t>Reprodutivo</t>
  </si>
  <si>
    <t>SECAR a vaca</t>
  </si>
  <si>
    <t>Colocar SCRATCH (adesivo)</t>
  </si>
  <si>
    <t>Ir para PRE-PARTO</t>
  </si>
  <si>
    <t>Gestao/Financeiro</t>
  </si>
  <si>
    <t>14 dias apos servico de 15/06</t>
  </si>
  <si>
    <t>Pesar BEZERROS (Bez 1/2/3 e Desmama)</t>
  </si>
  <si>
    <t>Bezerreiros</t>
  </si>
  <si>
    <t>Pesagem a cada 15 dias (terca)</t>
  </si>
  <si>
    <t>Pesar RECRIA 1 e 2</t>
  </si>
  <si>
    <t>Recrias</t>
  </si>
  <si>
    <t>Pesagem a cada 2 meses (terca)</t>
  </si>
  <si>
    <t>CONTA A PAGAR: Benfeitorias</t>
  </si>
  <si>
    <t>Diagnostico de gestacao</t>
  </si>
  <si>
    <t>a partir de 30 dias do servico</t>
  </si>
  <si>
    <t>Aplicar BST (Lactotropin/Boostin)</t>
  </si>
  <si>
    <t>23 lactantes elegiveis</t>
  </si>
  <si>
    <t>DEL&gt;=60 e &gt;15d p/ secar</t>
  </si>
  <si>
    <t>Pesagem de LEITE</t>
  </si>
  <si>
    <t>Todos lactantes</t>
  </si>
  <si>
    <t>Controle leiteiro semanal (quinta)</t>
  </si>
  <si>
    <t>CONTA A PAGAR: Peças</t>
  </si>
  <si>
    <t>14 dias apos servico de 19/06</t>
  </si>
  <si>
    <t>parto provavel 01/09/2026</t>
  </si>
  <si>
    <t>Visita Alpha/ABS (Carlos)</t>
  </si>
  <si>
    <t>Equipe</t>
  </si>
  <si>
    <t>Visita reprodutiva 21/21 dias</t>
  </si>
  <si>
    <t>14 dias apos servico de 23/06</t>
  </si>
  <si>
    <t>CONTA A PAGAR: Materiais inseminação</t>
  </si>
  <si>
    <t>R$ 546,97 - centro PL</t>
  </si>
  <si>
    <t>CONTA A PAGAR: Medicamentos</t>
  </si>
  <si>
    <t>R$ 285,94 - centro PL</t>
  </si>
  <si>
    <t>R$ 647,00 - centro PL</t>
  </si>
  <si>
    <t>R$ 461,77 - centro PL</t>
  </si>
  <si>
    <t>CONTA A PAGAR: Higiene de ordenha</t>
  </si>
  <si>
    <t>R$ 174,20 - centro PL</t>
  </si>
  <si>
    <t>R$ 49,60 - centro PL</t>
  </si>
  <si>
    <t>CONTA A PAGAR: Ferramentas</t>
  </si>
  <si>
    <t>CONTA A PAGAR: Utensílios</t>
  </si>
  <si>
    <t>R$ 975,20 - centro PL</t>
  </si>
  <si>
    <t>CONTA A PAGAR: Equipamentos</t>
  </si>
  <si>
    <t>R$ 220,89 - centro PL</t>
  </si>
  <si>
    <t>R$ 4.138,00 - centro PL</t>
  </si>
  <si>
    <t>R$ 1.231,95 - centro PL</t>
  </si>
  <si>
    <t>CONTA A PAGAR: Borracharia</t>
  </si>
  <si>
    <t>R$ 698,00 - centro PL</t>
  </si>
  <si>
    <t>CONTA A PAGAR: Material oficina</t>
  </si>
  <si>
    <t>R$ 2.201,00 - centro PL</t>
  </si>
  <si>
    <t>R$ 994,00 - centro PL</t>
  </si>
  <si>
    <t>R$ 579,51 - centro PL</t>
  </si>
  <si>
    <t>R$ 52,00 - centro PL</t>
  </si>
  <si>
    <t>R$ 266,00 - centro PL</t>
  </si>
  <si>
    <t>R$ 760,30 - centro PL</t>
  </si>
  <si>
    <t>R$ 923,00 - centro PL</t>
  </si>
  <si>
    <t>CONTA A PAGAR: Diversos</t>
  </si>
  <si>
    <t>parto provavel 25/08/2026 (gest 280d)</t>
  </si>
  <si>
    <t>parto provavel 22/09/2026</t>
  </si>
  <si>
    <t>Nascido em 25/04/2026</t>
  </si>
  <si>
    <t>Nascido em 27/04/2026</t>
  </si>
  <si>
    <t>parto provavel 01/09/2026 (gest 287d)</t>
  </si>
  <si>
    <t>parto provavel 05/09/2026 (gest 287d)</t>
  </si>
  <si>
    <t>parto provavel 06/09/2026 (gest 287d)</t>
  </si>
  <si>
    <t>parto provavel 05/10/2026</t>
  </si>
  <si>
    <t>parto provavel 15/09/2026 (gest 280d)</t>
  </si>
  <si>
    <t>parto provavel 12/10/2026</t>
  </si>
  <si>
    <t>parto provavel 21/09/2026 (gest 280d)</t>
  </si>
  <si>
    <t>parto provavel 22/09/2026 (gest 280d)</t>
  </si>
  <si>
    <t>Nascido em 20/05/2026</t>
  </si>
  <si>
    <t>Nascido em 23/05/2026</t>
  </si>
  <si>
    <t>Ideagri ▸ Relatórios ▸ Gestão ▸ Movimentação financeira por conta gerencial ▸ Filtrar SEMPRE desde 12/2025.</t>
  </si>
  <si>
    <t>Produtos veterinários - Vacinas, corantes e diluentes (biológicos)</t>
  </si>
  <si>
    <t>1000474</t>
  </si>
  <si>
    <t>VACINA FORTRESS-7 50 DS</t>
  </si>
  <si>
    <t>1000477</t>
  </si>
  <si>
    <t>VACINA PASTEURELOSE E SALMONELOSE BOVINA 16DS 50ML</t>
  </si>
  <si>
    <t>1000475</t>
  </si>
  <si>
    <t>VACINA SCOURGUARD 10DS (diarreia neonatal)</t>
  </si>
  <si>
    <t>CCIR</t>
  </si>
  <si>
    <t>3.03.01.14 - Outras despesas com pessoal</t>
  </si>
  <si>
    <t>AGROFORTE - AFJT PRODUTOS AGROPECUARIOS LTDA-ME</t>
  </si>
  <si>
    <t>138007</t>
  </si>
  <si>
    <t>3.08.01</t>
  </si>
  <si>
    <t>Contrib. Inss s/venda de leite</t>
  </si>
  <si>
    <t>INCRA (Instituto Nacional de Colonização e Reforma Agrária)</t>
  </si>
  <si>
    <t>62603</t>
  </si>
  <si>
    <t>62904</t>
  </si>
  <si>
    <t>62601</t>
  </si>
  <si>
    <t>14 dias apos servico de 27/06</t>
  </si>
  <si>
    <t>1000478</t>
  </si>
  <si>
    <t>Mastijet Vaca Seca</t>
  </si>
  <si>
    <t>29</t>
  </si>
  <si>
    <t>1091</t>
  </si>
  <si>
    <t>Advocin 180 (Frasco 50 ml)</t>
  </si>
  <si>
    <t>3334</t>
  </si>
  <si>
    <t>Trigental (Seringa 10 g)</t>
  </si>
  <si>
    <t>2831</t>
  </si>
  <si>
    <t>Ivomec Gold (Frasco 1000 ml)</t>
  </si>
  <si>
    <t>Produtos veterinários - Medicamentos</t>
  </si>
  <si>
    <t>1000164</t>
  </si>
  <si>
    <t>Resflor 100ml</t>
  </si>
  <si>
    <t>Produtos veterinários - Probióticos</t>
  </si>
  <si>
    <t>1000162</t>
  </si>
  <si>
    <t>Biobac</t>
  </si>
  <si>
    <t>1000482</t>
  </si>
  <si>
    <t>IVERMECTINA O.F.MASTER L.P.4% 500ML</t>
  </si>
  <si>
    <t>1000481</t>
  </si>
  <si>
    <t>VACINA BOVIGEN REPRO SE 100ML</t>
  </si>
  <si>
    <t>1000480</t>
  </si>
  <si>
    <t>VACINA RB 51 - FR 5 DS - 10ml</t>
  </si>
  <si>
    <t>JAG (excluir)</t>
  </si>
  <si>
    <t>MYTYME HILLUX</t>
  </si>
  <si>
    <t>STARGAZER MESSI</t>
  </si>
  <si>
    <t>ABS LABEL</t>
  </si>
  <si>
    <t>CAMPEAO FI</t>
  </si>
  <si>
    <t>VALENTE</t>
  </si>
  <si>
    <t>Cocho - 2,10m</t>
  </si>
  <si>
    <t>RACAO CROSBY ADULTO PREMIUM 10,1 KG</t>
  </si>
  <si>
    <t>Cocho - 0,90</t>
  </si>
  <si>
    <t>3.07.03.02 - Multas contratuais</t>
  </si>
  <si>
    <t>Tambores Brasil</t>
  </si>
  <si>
    <t>FP 07/26</t>
  </si>
  <si>
    <t>Churrascaria Picanha na Brasa</t>
  </si>
  <si>
    <t>70102</t>
  </si>
  <si>
    <t>595730</t>
  </si>
  <si>
    <t>LUZ 07/26</t>
  </si>
  <si>
    <t>083531</t>
  </si>
  <si>
    <t>085086</t>
  </si>
  <si>
    <t>083812</t>
  </si>
  <si>
    <t>083543</t>
  </si>
  <si>
    <t>083977</t>
  </si>
  <si>
    <t>083692</t>
  </si>
  <si>
    <t>083565</t>
  </si>
  <si>
    <t>083800</t>
  </si>
  <si>
    <t>083691</t>
  </si>
  <si>
    <t>082999</t>
  </si>
  <si>
    <t>085186</t>
  </si>
  <si>
    <t>085174</t>
  </si>
  <si>
    <t>085114</t>
  </si>
  <si>
    <t>083332</t>
  </si>
  <si>
    <t>085987</t>
  </si>
  <si>
    <t>083134</t>
  </si>
  <si>
    <t>083015</t>
  </si>
  <si>
    <t>082822</t>
  </si>
  <si>
    <t>082930</t>
  </si>
  <si>
    <t>085877</t>
  </si>
  <si>
    <t>085688</t>
  </si>
  <si>
    <t>0855335</t>
  </si>
  <si>
    <t>085334</t>
  </si>
  <si>
    <t>INTERNET 07/26</t>
  </si>
  <si>
    <t>SOFTWARE 07/26</t>
  </si>
  <si>
    <t>3.07.03.02</t>
  </si>
  <si>
    <t>Multas contratuais</t>
  </si>
  <si>
    <t>070301-2</t>
  </si>
  <si>
    <t>070301</t>
  </si>
  <si>
    <t>AC15957</t>
  </si>
  <si>
    <t>AC16522</t>
  </si>
  <si>
    <t>AC16352</t>
  </si>
  <si>
    <t>AC16628</t>
  </si>
  <si>
    <t>AC17383</t>
  </si>
  <si>
    <t>AC16855</t>
  </si>
  <si>
    <t>AC18795</t>
  </si>
  <si>
    <t>AC17102</t>
  </si>
  <si>
    <t>AC17224</t>
  </si>
  <si>
    <t>AC17851</t>
  </si>
  <si>
    <t>AC17962</t>
  </si>
  <si>
    <t>AC17888</t>
  </si>
  <si>
    <t>AC18876</t>
  </si>
  <si>
    <t>AC19251</t>
  </si>
  <si>
    <t>AC19285</t>
  </si>
  <si>
    <t>Hoje: 03/07/2026  (clique ATUALIZAR AGENDA para recalcular)</t>
  </si>
  <si>
    <t>CONTA A PAGAR: Salários</t>
  </si>
  <si>
    <t>R$ 2.654,02 - centro PL</t>
  </si>
  <si>
    <t>R$ 241,43 - centro PL</t>
  </si>
  <si>
    <t>R$ 60,00 - centro PL</t>
  </si>
  <si>
    <t>R$ 2.174,00 - centro PL</t>
  </si>
  <si>
    <t>R$ 2.431,50 - centro PL</t>
  </si>
  <si>
    <t>R$ 1.719,32 - centro PL</t>
  </si>
  <si>
    <t>CONTA A PAGAR: Diaristas</t>
  </si>
  <si>
    <t>CONTA A PAGAR: Empreitadas</t>
  </si>
  <si>
    <t>R$ 14.000,00 - centro C|26</t>
  </si>
  <si>
    <t>parto provavel 17/08/2026 (gest 287d)</t>
  </si>
  <si>
    <t>14 dias apos servico de 01/07</t>
  </si>
  <si>
    <t>parto provavel 04/10/2026 (gest 280d)</t>
  </si>
  <si>
    <t>parto provavel 05/10/2026 (gest 280d)</t>
  </si>
  <si>
    <t>INCLUSÃO MANUAL DE TAREFA (preencha a linha abaixo e clique ADICIONAR À AGENDA)</t>
  </si>
  <si>
    <t>CANDIDATAS À IATF NA PRÓXIMA VISITA: 17 animais</t>
  </si>
  <si>
    <t xml:space="preserve">03  068  075  08  09  108  128  208  2341  427  43  434  460  463  464  467  861  </t>
  </si>
  <si>
    <t>CHECAGEM DE HORMÔNIOS PARA IATF (D0/D7/D9)</t>
  </si>
  <si>
    <t>FALTA 16</t>
  </si>
  <si>
    <t>BST (Lactotropin) — elegíveis: 23</t>
  </si>
  <si>
    <t>Recebem BST:</t>
  </si>
  <si>
    <t xml:space="preserve">075  126  127  128  129  132  145  146  148  149  150  151  206  208  215  403  414  427  428  434  435  436  603  </t>
  </si>
  <si>
    <t>NÃO recebem (DEL&lt;60 ou &lt;15d p/ secar):</t>
  </si>
  <si>
    <t xml:space="preserve">068(DEL 64)  070(DEL 11)  131(DEL 2)  2349(DEL 50)  404(DEL 42)  405(DEL 29)  429(DEL 278)  430(DEL 270)  432(DEL 316)  433(DEL 305)  437(DEL 32)  861(DEL 55)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</si>
</sst>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;[Red]\(#,##0\);\-"/>
    <numFmt numFmtId="165" formatCode="#,##0.0;[Red]\(#,##0.0\);\-"/>
    <numFmt numFmtId="166" formatCode="0.0%"/>
    <numFmt numFmtId="167" formatCode="#,##0.0"/>
    <numFmt numFmtId="168" formatCode="00"/>
    <numFmt numFmtId="169" formatCode="&quot;R$ &quot;#,##0;[Red]&quot;-R$ &quot;#,##0;\-"/>
    <numFmt numFmtId="170" formatCode="&quot;R$ &quot;#,##0.00;[Red]&quot;-R$ &quot;#,##0.00;\-"/>
    <numFmt numFmtId="171" formatCode="&quot;R$ &quot;#,##0.00"/>
    <numFmt numFmtId="172" formatCode="#,##0&quot; dias&quot;"/>
    <numFmt numFmtId="173" formatCode="#,##0.0&quot; meses&quot;"/>
    <numFmt numFmtId="174" formatCode="ddd\ dd/mm/yyyy"/>
  </numFmts>
  <fonts count="42" x14ac:knownFonts="1">
    <font>
      <sz val="11"/>
      <color theme="1"/>
      <name val="Calibri"/>
      <family val="2"/>
      <charset val="1"/>
    </font>
    <font>
      <b/>
      <sz val="20"/>
      <color rgb="FF5E1A2E"/>
      <name val="Calibri"/>
      <charset val="1"/>
    </font>
    <font>
      <sz val="11"/>
      <color rgb="FF6E5660"/>
      <name val="Calibri"/>
      <charset val="1"/>
    </font>
    <font>
      <b/>
      <sz val="12"/>
      <color rgb="FFFFFFFF"/>
      <name val="Calibri"/>
      <charset val="1"/>
    </font>
    <font>
      <b/>
      <sz val="11"/>
      <color rgb="FF5E1A2E"/>
      <name val="Calibri"/>
      <charset val="1"/>
    </font>
    <font>
      <sz val="10"/>
      <color rgb="FF2B2B2B"/>
      <name val="Calibri"/>
      <charset val="1"/>
    </font>
    <font>
      <b/>
      <sz val="10"/>
      <color rgb="FF400020"/>
      <name val="Calibri"/>
      <charset val="1"/>
    </font>
    <font>
      <b/>
      <sz val="9"/>
      <color rgb="FF5E1A2E"/>
      <name val="Calibri"/>
      <charset val="1"/>
    </font>
    <font>
      <b/>
      <sz val="20"/>
      <color rgb="FFFFFFFF"/>
      <name val="Calibri"/>
      <charset val="1"/>
    </font>
    <font>
      <sz val="9"/>
      <color rgb="FF6E5660"/>
      <name val="Calibri"/>
      <charset val="1"/>
    </font>
    <font>
      <b/>
      <sz val="9"/>
      <color rgb="FFFFFFFF"/>
      <name val="Calibri"/>
      <charset val="1"/>
    </font>
    <font>
      <b/>
      <sz val="8"/>
      <color rgb="FF400020"/>
      <name val="Calibri"/>
      <charset val="1"/>
    </font>
    <font>
      <sz val="9"/>
      <color rgb="FF2B2B2B"/>
      <name val="Calibri"/>
      <charset val="1"/>
    </font>
    <font>
      <b/>
      <sz val="9"/>
      <color rgb="FF400020"/>
      <name val="Calibri"/>
      <charset val="1"/>
    </font>
    <font>
      <b/>
      <sz val="11"/>
      <color rgb="FFFFFFFF"/>
      <name val="Calibri"/>
      <charset val="1"/>
    </font>
    <font>
      <b/>
      <sz val="10"/>
      <color rgb="FF2B2B2B"/>
      <name val="Calibri"/>
      <charset val="1"/>
    </font>
    <font>
      <b/>
      <sz val="11"/>
      <color rgb="FF00338D"/>
      <name val="Calibri"/>
      <charset val="1"/>
    </font>
    <font>
      <b/>
      <sz val="17"/>
      <color rgb="FF5E1A2E"/>
      <name val="Calibri"/>
      <charset val="1"/>
    </font>
    <font>
      <sz val="8"/>
      <color rgb="FF6E5660"/>
      <name val="Calibri"/>
      <charset val="1"/>
    </font>
    <font>
      <sz val="10"/>
      <color rgb="FF0000FF"/>
      <name val="Calibri"/>
      <charset val="1"/>
    </font>
    <font>
      <b/>
      <sz val="9"/>
      <color rgb="FF2B2B2B"/>
      <name val="Calibri"/>
      <charset val="1"/>
    </font>
    <font>
      <sz val="7"/>
      <color rgb="FF6E5660"/>
      <name val="Calibri"/>
      <charset val="1"/>
    </font>
    <font>
      <b/>
      <sz val="10"/>
      <color rgb="FF00338D"/>
      <name val="Calibri"/>
      <charset val="1"/>
    </font>
    <font>
      <b/>
      <sz val="8"/>
      <color rgb="FFFFFFFF"/>
      <name val="Calibri"/>
      <charset val="1"/>
    </font>
    <font>
      <b/>
      <sz val="15"/>
      <color rgb="FF5E1A2E"/>
      <name val="Calibri"/>
      <charset val="1"/>
    </font>
    <font>
      <b/>
      <sz val="10"/>
      <color rgb="FF5E1A2E"/>
      <name val="Calibri"/>
      <charset val="1"/>
    </font>
    <font>
      <b/>
      <sz val="13"/>
      <color rgb="FF5E1A2E"/>
      <name val="Calibri"/>
      <charset val="1"/>
    </font>
    <font>
      <sz val="8"/>
      <color rgb="FF2B2B2B"/>
      <name val="Calibri"/>
      <charset val="1"/>
    </font>
    <font>
      <b/>
      <sz val="18"/>
      <color rgb="FFFFFFFF"/>
      <name val="Calibri"/>
      <charset val="1"/>
    </font>
    <font>
      <sz val="9"/>
      <color rgb="FF0000FF"/>
      <name val="Calibri"/>
      <charset val="1"/>
    </font>
    <font>
      <b/>
      <sz val="10"/>
      <color theme="0" tint="-4.9989318521683403E-2"/>
      <name val="Calibri"/>
      <family val="2"/>
    </font>
    <font>
      <b/>
      <sz val="9"/>
      <color rgb="FFFFFFFF"/>
      <name val="Calibri"/>
      <family val="2"/>
    </font>
    <font>
      <b/>
      <sz val="9"/>
      <color theme="0" tint="-4.9989318521683403E-2"/>
      <name val="Calibri"/>
      <family val="2"/>
    </font>
    <font>
      <sz val="9"/>
      <color theme="0" tint="-4.9989318521683403E-2"/>
      <name val="Calibri"/>
      <family val="2"/>
    </font>
    <font>
      <b/>
      <sz val="11"/>
      <color theme="1"/>
      <name val="Calibri"/>
      <family val="2"/>
    </font>
    <font>
      <b/>
      <sz val="8"/>
      <color rgb="FF400020"/>
      <name val="Calibri"/>
      <family val="2"/>
    </font>
    <font>
      <b/>
      <sz val="18"/>
      <color rgb="FFFFFFFF"/>
      <name val="Calibri"/>
      <family val="2"/>
    </font>
    <font>
      <b/>
      <sz val="11"/>
      <color rgb="FFB00020"/>
      <name val="Calibri"/>
      <family val="2"/>
    </font>
    <font>
      <sz val="11"/>
      <color rgb="FF3C7D5A"/>
      <name val="Calibri"/>
      <family val="2"/>
      <charset val="1"/>
    </font>
    <font>
      <b/>
      <sz val="11"/>
      <color rgb="FFFFFFFF"/>
      <name val="Calibri"/>
      <family val="2"/>
    </font>
    <font>
      <sz val="9"/>
      <color rgb="FF2B2B2B"/>
      <name val="Calibri"/>
      <family val="2"/>
    </font>
    <font>
      <u/>
      <sz val="9"/>
      <color rgb="FF2B2B2B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400020"/>
        <bgColor rgb="FF5E1A2E"/>
      </patternFill>
    </fill>
    <fill>
      <patternFill patternType="solid">
        <fgColor rgb="FF8A2A45"/>
        <bgColor rgb="FFA21C5A"/>
      </patternFill>
    </fill>
    <fill>
      <patternFill patternType="solid">
        <fgColor rgb="FFF6EEF1"/>
        <bgColor rgb="FFFFF7E6"/>
      </patternFill>
    </fill>
    <fill>
      <patternFill patternType="solid">
        <fgColor rgb="FF5E1A2E"/>
        <bgColor rgb="FF6E0B2A"/>
      </patternFill>
    </fill>
    <fill>
      <patternFill patternType="solid">
        <fgColor rgb="FFFFFFFF"/>
        <bgColor rgb="FFFFF7E6"/>
      </patternFill>
    </fill>
    <fill>
      <patternFill patternType="solid">
        <fgColor rgb="FFEAD9DF"/>
        <bgColor rgb="FFD9D9D9"/>
      </patternFill>
    </fill>
    <fill>
      <patternFill patternType="solid">
        <fgColor rgb="FFFFF2CC"/>
        <bgColor rgb="FFFFF7E6"/>
      </patternFill>
    </fill>
    <fill>
      <patternFill patternType="solid">
        <fgColor rgb="FFB00020"/>
        <bgColor rgb="FFA21C5A"/>
      </patternFill>
    </fill>
    <fill>
      <patternFill patternType="solid">
        <fgColor rgb="FFFFF7E6"/>
        <bgColor rgb="FFF6EEF1"/>
      </patternFill>
    </fill>
    <fill>
      <patternFill patternType="solid">
        <fgColor rgb="FFC8932B"/>
        <bgColor rgb="FFDC853E"/>
      </patternFill>
    </fill>
    <fill>
      <patternFill patternType="solid">
        <fgColor rgb="FF3C7D5A"/>
        <bgColor rgb="FF4672A8"/>
      </patternFill>
    </fill>
    <fill>
      <patternFill patternType="solid">
        <fgColor rgb="FF5E1A2E"/>
        <bgColor indexed="64"/>
      </patternFill>
    </fill>
    <fill>
      <patternFill patternType="solid">
        <fgColor rgb="FFF6EEF1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FFF7E6"/>
        <bgColor indexed="64"/>
      </patternFill>
    </fill>
    <fill>
      <patternFill patternType="solid">
        <fgColor rgb="FF8A2A45"/>
        <bgColor indexed="64"/>
      </patternFill>
    </fill>
    <fill>
      <patternFill patternType="solid">
        <fgColor rgb="FFF4DEE7"/>
        <bgColor indexed="64"/>
      </patternFill>
    </fill>
    <fill>
      <patternFill patternType="solid">
        <fgColor rgb="FFF8ECCE"/>
        <bgColor indexed="64"/>
      </patternFill>
    </fill>
    <fill>
      <patternFill patternType="solid">
        <fgColor rgb="FFF0D9DF"/>
        <bgColor indexed="64"/>
      </patternFill>
    </fill>
    <fill>
      <patternFill patternType="solid">
        <fgColor rgb="FFF9F3C9"/>
        <bgColor indexed="64"/>
      </patternFill>
    </fill>
  </fills>
  <borders count="6">
    <border>
      <left/>
      <right/>
      <top/>
      <bottom/>
      <diagonal/>
    </border>
    <border>
      <left style="thin">
        <color rgb="FFD8C3CB"/>
      </left>
      <right/>
      <top style="thin">
        <color rgb="FFD8C3CB"/>
      </top>
      <bottom style="thin">
        <color rgb="FFD8C3CB"/>
      </bottom>
      <diagonal/>
    </border>
    <border>
      <left style="medium">
        <color rgb="FF400020"/>
      </left>
      <right style="medium">
        <color rgb="FF400020"/>
      </right>
      <top style="medium">
        <color rgb="FF400020"/>
      </top>
      <bottom style="medium">
        <color rgb="FF400020"/>
      </bottom>
      <diagonal/>
    </border>
    <border>
      <left style="thin">
        <color rgb="FFD8C3CB"/>
      </left>
      <right style="thin">
        <color rgb="FFD8C3CB"/>
      </right>
      <top style="thin">
        <color rgb="FFD8C3CB"/>
      </top>
      <bottom style="thin">
        <color rgb="FFD8C3CB"/>
      </bottom>
      <diagonal/>
    </border>
    <border>
      <left/>
      <right/>
      <top style="thin">
        <color rgb="FFD8C3CB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15" fillId="0" borderId="0" xfId="0" applyFont="1"/>
    <xf numFmtId="14" fontId="16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6" fillId="8" borderId="3" xfId="0" applyFont="1" applyFill="1" applyBorder="1" applyAlignment="1" applyProtection="1">
      <alignment horizontal="center" vertical="center" wrapText="1"/>
      <protection locked="0"/>
    </xf>
    <xf numFmtId="1" fontId="16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3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0" fillId="5" borderId="3" xfId="0" applyFont="1" applyFill="1" applyBorder="1" applyAlignment="1">
      <alignment horizontal="center" vertical="center" wrapText="1"/>
    </xf>
    <xf numFmtId="0" fontId="12" fillId="0" borderId="3" xfId="0" applyFont="1" applyBorder="1" applyAlignment="1">
      <alignment horizontal="left" vertical="center" wrapText="1"/>
    </xf>
    <xf numFmtId="165" fontId="12" fillId="0" borderId="3" xfId="0" applyNumberFormat="1" applyFont="1" applyBorder="1" applyAlignment="1">
      <alignment horizontal="right" vertical="center"/>
    </xf>
    <xf numFmtId="164" fontId="12" fillId="0" borderId="3" xfId="0" applyNumberFormat="1" applyFont="1" applyBorder="1" applyAlignment="1">
      <alignment horizontal="right" vertical="center"/>
    </xf>
    <xf numFmtId="1" fontId="12" fillId="0" borderId="3" xfId="0" applyNumberFormat="1" applyFont="1" applyBorder="1" applyAlignment="1">
      <alignment horizontal="center" vertical="center" wrapText="1"/>
    </xf>
    <xf numFmtId="166" fontId="12" fillId="0" borderId="3" xfId="0" applyNumberFormat="1" applyFont="1" applyBorder="1" applyAlignment="1">
      <alignment horizontal="right" vertical="center"/>
    </xf>
    <xf numFmtId="0" fontId="18" fillId="0" borderId="0" xfId="0" applyFont="1"/>
    <xf numFmtId="0" fontId="13" fillId="0" borderId="3" xfId="0" applyFont="1" applyBorder="1"/>
    <xf numFmtId="0" fontId="0" fillId="0" borderId="3" xfId="0" applyBorder="1"/>
    <xf numFmtId="167" fontId="0" fillId="0" borderId="3" xfId="0" applyNumberFormat="1" applyBorder="1"/>
    <xf numFmtId="3" fontId="19" fillId="10" borderId="3" xfId="0" applyNumberFormat="1" applyFont="1" applyFill="1" applyBorder="1"/>
    <xf numFmtId="0" fontId="20" fillId="0" borderId="3" xfId="0" applyFont="1" applyBorder="1"/>
    <xf numFmtId="3" fontId="0" fillId="0" borderId="3" xfId="0" applyNumberFormat="1" applyBorder="1"/>
    <xf numFmtId="0" fontId="9" fillId="0" borderId="0" xfId="0" applyFont="1"/>
    <xf numFmtId="164" fontId="4" fillId="0" borderId="0" xfId="0" applyNumberFormat="1" applyFont="1"/>
    <xf numFmtId="164" fontId="13" fillId="0" borderId="3" xfId="0" applyNumberFormat="1" applyFont="1" applyBorder="1" applyAlignment="1">
      <alignment horizontal="right" vertical="center"/>
    </xf>
    <xf numFmtId="3" fontId="13" fillId="0" borderId="3" xfId="0" applyNumberFormat="1" applyFont="1" applyBorder="1" applyAlignment="1">
      <alignment horizontal="center" vertical="center"/>
    </xf>
    <xf numFmtId="0" fontId="10" fillId="5" borderId="3" xfId="0" applyFont="1" applyFill="1" applyBorder="1" applyAlignment="1">
      <alignment horizontal="left" vertical="center" wrapText="1"/>
    </xf>
    <xf numFmtId="164" fontId="13" fillId="4" borderId="3" xfId="0" applyNumberFormat="1" applyFont="1" applyFill="1" applyBorder="1" applyAlignment="1">
      <alignment horizontal="right" vertical="center"/>
    </xf>
    <xf numFmtId="3" fontId="13" fillId="4" borderId="3" xfId="0" applyNumberFormat="1" applyFont="1" applyFill="1" applyBorder="1" applyAlignment="1">
      <alignment horizontal="center" vertical="center"/>
    </xf>
    <xf numFmtId="0" fontId="21" fillId="0" borderId="0" xfId="0" applyFont="1"/>
    <xf numFmtId="168" fontId="12" fillId="0" borderId="3" xfId="0" applyNumberFormat="1" applyFont="1" applyBorder="1" applyAlignment="1">
      <alignment horizontal="center" vertical="center" wrapText="1"/>
    </xf>
    <xf numFmtId="164" fontId="12" fillId="0" borderId="3" xfId="0" applyNumberFormat="1" applyFont="1" applyBorder="1"/>
    <xf numFmtId="165" fontId="12" fillId="0" borderId="3" xfId="0" applyNumberFormat="1" applyFont="1" applyBorder="1"/>
    <xf numFmtId="164" fontId="7" fillId="4" borderId="3" xfId="0" applyNumberFormat="1" applyFont="1" applyFill="1" applyBorder="1" applyAlignment="1">
      <alignment horizontal="right" vertical="center"/>
    </xf>
    <xf numFmtId="165" fontId="7" fillId="4" borderId="3" xfId="0" applyNumberFormat="1" applyFont="1" applyFill="1" applyBorder="1" applyAlignment="1">
      <alignment horizontal="right" vertical="center"/>
    </xf>
    <xf numFmtId="0" fontId="20" fillId="0" borderId="0" xfId="0" applyFont="1"/>
    <xf numFmtId="14" fontId="22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22" fillId="8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/>
    <xf numFmtId="1" fontId="19" fillId="10" borderId="3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right" vertical="center"/>
    </xf>
    <xf numFmtId="1" fontId="19" fillId="10" borderId="0" xfId="0" applyNumberFormat="1" applyFont="1" applyFill="1"/>
    <xf numFmtId="1" fontId="12" fillId="0" borderId="3" xfId="0" applyNumberFormat="1" applyFont="1" applyBorder="1" applyAlignment="1">
      <alignment horizontal="left" vertical="center" wrapText="1"/>
    </xf>
    <xf numFmtId="165" fontId="26" fillId="6" borderId="3" xfId="0" applyNumberFormat="1" applyFont="1" applyFill="1" applyBorder="1" applyAlignment="1">
      <alignment horizontal="center" vertical="center" wrapText="1"/>
    </xf>
    <xf numFmtId="169" fontId="17" fillId="6" borderId="3" xfId="0" applyNumberFormat="1" applyFont="1" applyFill="1" applyBorder="1" applyAlignment="1">
      <alignment horizontal="center" vertical="center" wrapText="1"/>
    </xf>
    <xf numFmtId="0" fontId="10" fillId="5" borderId="0" xfId="0" applyFont="1" applyFill="1"/>
    <xf numFmtId="0" fontId="27" fillId="0" borderId="0" xfId="0" applyFont="1"/>
    <xf numFmtId="169" fontId="0" fillId="0" borderId="0" xfId="0" applyNumberFormat="1"/>
    <xf numFmtId="0" fontId="25" fillId="4" borderId="3" xfId="0" applyFont="1" applyFill="1" applyBorder="1" applyAlignment="1">
      <alignment horizontal="left" vertical="center" wrapText="1"/>
    </xf>
    <xf numFmtId="164" fontId="25" fillId="4" borderId="3" xfId="0" applyNumberFormat="1" applyFont="1" applyFill="1" applyBorder="1" applyAlignment="1">
      <alignment horizontal="right" vertical="center"/>
    </xf>
    <xf numFmtId="169" fontId="25" fillId="4" borderId="3" xfId="0" applyNumberFormat="1" applyFont="1" applyFill="1" applyBorder="1" applyAlignment="1">
      <alignment horizontal="right" vertical="center"/>
    </xf>
    <xf numFmtId="166" fontId="25" fillId="4" borderId="3" xfId="0" applyNumberFormat="1" applyFont="1" applyFill="1" applyBorder="1" applyAlignment="1">
      <alignment horizontal="right" vertical="center"/>
    </xf>
    <xf numFmtId="169" fontId="12" fillId="0" borderId="3" xfId="0" applyNumberFormat="1" applyFont="1" applyBorder="1" applyAlignment="1">
      <alignment horizontal="right" vertical="center"/>
    </xf>
    <xf numFmtId="0" fontId="19" fillId="10" borderId="0" xfId="0" applyFont="1" applyFill="1"/>
    <xf numFmtId="14" fontId="19" fillId="10" borderId="0" xfId="0" applyNumberFormat="1" applyFont="1" applyFill="1"/>
    <xf numFmtId="169" fontId="6" fillId="0" borderId="3" xfId="0" applyNumberFormat="1" applyFont="1" applyBorder="1"/>
    <xf numFmtId="169" fontId="0" fillId="0" borderId="3" xfId="0" applyNumberFormat="1" applyBorder="1"/>
    <xf numFmtId="0" fontId="19" fillId="10" borderId="3" xfId="0" applyFont="1" applyFill="1" applyBorder="1"/>
    <xf numFmtId="0" fontId="18" fillId="0" borderId="3" xfId="0" applyFont="1" applyBorder="1"/>
    <xf numFmtId="0" fontId="6" fillId="0" borderId="0" xfId="0" applyFont="1" applyAlignment="1">
      <alignment horizontal="right" vertical="center"/>
    </xf>
    <xf numFmtId="0" fontId="19" fillId="10" borderId="0" xfId="0" applyFont="1" applyFill="1" applyAlignment="1">
      <alignment horizontal="center" vertical="center" wrapText="1"/>
    </xf>
    <xf numFmtId="0" fontId="19" fillId="10" borderId="3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69" fontId="10" fillId="5" borderId="3" xfId="0" applyNumberFormat="1" applyFont="1" applyFill="1" applyBorder="1" applyAlignment="1">
      <alignment horizontal="center" vertical="center" wrapText="1"/>
    </xf>
    <xf numFmtId="169" fontId="13" fillId="4" borderId="3" xfId="0" applyNumberFormat="1" applyFont="1" applyFill="1" applyBorder="1" applyAlignment="1">
      <alignment horizontal="right" vertical="center"/>
    </xf>
    <xf numFmtId="166" fontId="9" fillId="4" borderId="3" xfId="0" applyNumberFormat="1" applyFont="1" applyFill="1" applyBorder="1" applyAlignment="1">
      <alignment horizontal="right" vertical="center"/>
    </xf>
    <xf numFmtId="0" fontId="12" fillId="0" borderId="3" xfId="0" applyFont="1" applyBorder="1" applyAlignment="1">
      <alignment horizontal="center" vertical="center" wrapText="1"/>
    </xf>
    <xf numFmtId="169" fontId="12" fillId="0" borderId="3" xfId="0" applyNumberFormat="1" applyFont="1" applyBorder="1"/>
    <xf numFmtId="169" fontId="13" fillId="0" borderId="3" xfId="0" applyNumberFormat="1" applyFont="1" applyBorder="1"/>
    <xf numFmtId="169" fontId="20" fillId="0" borderId="3" xfId="0" applyNumberFormat="1" applyFont="1" applyBorder="1" applyAlignment="1">
      <alignment horizontal="right" vertical="center"/>
    </xf>
    <xf numFmtId="166" fontId="9" fillId="0" borderId="3" xfId="0" applyNumberFormat="1" applyFont="1" applyBorder="1" applyAlignment="1">
      <alignment horizontal="right" vertical="center"/>
    </xf>
    <xf numFmtId="0" fontId="10" fillId="5" borderId="3" xfId="0" applyFont="1" applyFill="1" applyBorder="1"/>
    <xf numFmtId="169" fontId="13" fillId="4" borderId="3" xfId="0" applyNumberFormat="1" applyFont="1" applyFill="1" applyBorder="1"/>
    <xf numFmtId="0" fontId="6" fillId="0" borderId="0" xfId="0" applyFont="1"/>
    <xf numFmtId="14" fontId="19" fillId="10" borderId="0" xfId="0" applyNumberFormat="1" applyFont="1" applyFill="1" applyProtection="1">
      <protection locked="0"/>
    </xf>
    <xf numFmtId="169" fontId="13" fillId="0" borderId="3" xfId="0" applyNumberFormat="1" applyFont="1" applyBorder="1" applyAlignment="1">
      <alignment horizontal="right" vertical="center"/>
    </xf>
    <xf numFmtId="170" fontId="16" fillId="8" borderId="3" xfId="0" applyNumberFormat="1" applyFont="1" applyFill="1" applyBorder="1" applyAlignment="1" applyProtection="1">
      <alignment horizontal="right" vertical="center"/>
      <protection locked="0"/>
    </xf>
    <xf numFmtId="169" fontId="25" fillId="0" borderId="3" xfId="0" applyNumberFormat="1" applyFont="1" applyBorder="1" applyAlignment="1">
      <alignment horizontal="right" vertical="center"/>
    </xf>
    <xf numFmtId="164" fontId="16" fillId="8" borderId="3" xfId="0" applyNumberFormat="1" applyFont="1" applyFill="1" applyBorder="1" applyAlignment="1" applyProtection="1">
      <alignment horizontal="right" vertical="center"/>
      <protection locked="0"/>
    </xf>
    <xf numFmtId="0" fontId="18" fillId="0" borderId="0" xfId="0" applyFont="1" applyAlignment="1">
      <alignment horizontal="left" vertical="center"/>
    </xf>
    <xf numFmtId="165" fontId="16" fillId="8" borderId="3" xfId="0" applyNumberFormat="1" applyFont="1" applyFill="1" applyBorder="1" applyAlignment="1" applyProtection="1">
      <alignment horizontal="right" vertical="center"/>
      <protection locked="0"/>
    </xf>
    <xf numFmtId="164" fontId="25" fillId="0" borderId="3" xfId="0" applyNumberFormat="1" applyFont="1" applyBorder="1" applyAlignment="1">
      <alignment horizontal="right" vertical="center"/>
    </xf>
    <xf numFmtId="171" fontId="25" fillId="0" borderId="3" xfId="0" applyNumberFormat="1" applyFont="1" applyBorder="1" applyAlignment="1">
      <alignment horizontal="right" vertical="center"/>
    </xf>
    <xf numFmtId="171" fontId="16" fillId="8" borderId="3" xfId="0" applyNumberFormat="1" applyFont="1" applyFill="1" applyBorder="1" applyAlignment="1" applyProtection="1">
      <alignment horizontal="right" vertical="center"/>
      <protection locked="0"/>
    </xf>
    <xf numFmtId="165" fontId="25" fillId="0" borderId="3" xfId="0" applyNumberFormat="1" applyFont="1" applyBorder="1" applyAlignment="1">
      <alignment horizontal="right" vertical="center"/>
    </xf>
    <xf numFmtId="169" fontId="16" fillId="8" borderId="3" xfId="0" applyNumberFormat="1" applyFont="1" applyFill="1" applyBorder="1" applyAlignment="1" applyProtection="1">
      <alignment horizontal="right" vertical="center"/>
      <protection locked="0"/>
    </xf>
    <xf numFmtId="3" fontId="29" fillId="0" borderId="3" xfId="0" applyNumberFormat="1" applyFont="1" applyBorder="1" applyAlignment="1" applyProtection="1">
      <alignment horizontal="center" vertical="center" wrapText="1"/>
      <protection locked="0"/>
    </xf>
    <xf numFmtId="3" fontId="29" fillId="0" borderId="3" xfId="0" applyNumberFormat="1" applyFont="1" applyBorder="1" applyAlignment="1">
      <alignment horizontal="center" vertical="center" wrapText="1"/>
    </xf>
    <xf numFmtId="172" fontId="13" fillId="0" borderId="3" xfId="0" applyNumberFormat="1" applyFont="1" applyBorder="1" applyAlignment="1">
      <alignment horizontal="right" vertical="center"/>
    </xf>
    <xf numFmtId="173" fontId="13" fillId="0" borderId="3" xfId="0" applyNumberFormat="1" applyFont="1" applyBorder="1" applyAlignment="1">
      <alignment horizontal="right" vertical="center"/>
    </xf>
    <xf numFmtId="167" fontId="19" fillId="0" borderId="3" xfId="0" applyNumberFormat="1" applyFont="1" applyBorder="1"/>
    <xf numFmtId="0" fontId="12" fillId="0" borderId="3" xfId="0" applyFont="1" applyBorder="1"/>
    <xf numFmtId="14" fontId="12" fillId="0" borderId="3" xfId="0" applyNumberFormat="1" applyFont="1" applyBorder="1"/>
    <xf numFmtId="1" fontId="12" fillId="0" borderId="3" xfId="0" applyNumberFormat="1" applyFont="1" applyBorder="1"/>
    <xf numFmtId="14" fontId="0" fillId="0" borderId="0" xfId="0" applyNumberFormat="1"/>
    <xf numFmtId="4" fontId="0" fillId="0" borderId="0" xfId="0" applyNumberFormat="1"/>
    <xf numFmtId="0" fontId="14" fillId="3" borderId="0" xfId="0" applyFont="1" applyFill="1" applyAlignment="1">
      <alignment horizontal="left" vertical="center" indent="1"/>
    </xf>
    <xf numFmtId="0" fontId="10" fillId="5" borderId="1" xfId="0" applyFont="1" applyFill="1" applyBorder="1" applyAlignment="1">
      <alignment horizontal="center" vertical="center" wrapText="1"/>
    </xf>
    <xf numFmtId="0" fontId="30" fillId="2" borderId="0" xfId="0" applyFont="1" applyFill="1" applyAlignment="1">
      <alignment horizontal="left" vertical="center" indent="1"/>
    </xf>
    <xf numFmtId="0" fontId="10" fillId="0" borderId="0" xfId="0" applyFont="1" applyAlignment="1">
      <alignment horizontal="center" vertical="center" wrapText="1"/>
    </xf>
    <xf numFmtId="169" fontId="17" fillId="0" borderId="0" xfId="0" applyNumberFormat="1" applyFont="1" applyAlignment="1">
      <alignment horizontal="center" vertical="center" wrapText="1"/>
    </xf>
    <xf numFmtId="0" fontId="34" fillId="0" borderId="0" xfId="0" applyFont="1"/>
    <xf numFmtId="49" fontId="12" fillId="0" borderId="3" xfId="0" applyNumberFormat="1" applyFont="1" applyBorder="1"/>
    <xf numFmtId="49" fontId="0" fillId="0" borderId="0" xfId="0" applyNumberFormat="1"/>
    <xf numFmtId="0" fontId="39" fillId="13" borderId="5" xfId="0" applyFont="1" applyFill="1" applyBorder="1"/>
    <xf numFmtId="0" fontId="0" fillId="0" borderId="5" xfId="0" applyBorder="1"/>
    <xf numFmtId="0" fontId="34" fillId="14" borderId="0" xfId="0" applyFont="1" applyFill="1"/>
    <xf numFmtId="0" fontId="0" fillId="16" borderId="5" xfId="0" applyFill="1" applyBorder="1"/>
    <xf numFmtId="14" fontId="0" fillId="16" borderId="5" xfId="0" applyNumberFormat="1" applyFill="1" applyBorder="1"/>
    <xf numFmtId="0" fontId="34" fillId="0" borderId="5" xfId="0" applyFont="1" applyBorder="1"/>
    <xf numFmtId="0" fontId="37" fillId="0" borderId="5" xfId="0" applyFont="1" applyBorder="1"/>
    <xf numFmtId="0" fontId="38" fillId="0" borderId="5" xfId="0" applyFont="1" applyBorder="1"/>
    <xf numFmtId="174" fontId="0" fillId="18" borderId="5" xfId="0" applyNumberFormat="1" applyFill="1" applyBorder="1"/>
    <xf numFmtId="0" fontId="0" fillId="18" borderId="5" xfId="0" applyFill="1" applyBorder="1"/>
    <xf numFmtId="174" fontId="0" fillId="19" borderId="5" xfId="0" applyNumberFormat="1" applyFill="1" applyBorder="1"/>
    <xf numFmtId="0" fontId="0" fillId="19" borderId="5" xfId="0" applyFill="1" applyBorder="1"/>
    <xf numFmtId="174" fontId="0" fillId="20" borderId="5" xfId="0" applyNumberFormat="1" applyFill="1" applyBorder="1"/>
    <xf numFmtId="0" fontId="0" fillId="20" borderId="5" xfId="0" applyFill="1" applyBorder="1"/>
    <xf numFmtId="174" fontId="0" fillId="21" borderId="5" xfId="0" applyNumberFormat="1" applyFill="1" applyBorder="1"/>
    <xf numFmtId="0" fontId="0" fillId="21" borderId="5" xfId="0" applyFill="1" applyBorder="1"/>
    <xf numFmtId="0" fontId="41" fillId="0" borderId="3" xfId="0" applyFont="1" applyBorder="1"/>
    <xf numFmtId="0" fontId="10" fillId="5" borderId="3" xfId="0" applyFont="1" applyFill="1" applyBorder="1" applyAlignment="1">
      <alignment horizontal="center" vertical="center" wrapText="1"/>
    </xf>
    <xf numFmtId="0" fontId="14" fillId="3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14" fillId="2" borderId="0" xfId="0" applyFont="1" applyFill="1" applyAlignment="1">
      <alignment horizontal="left" vertical="center" indent="1"/>
    </xf>
    <xf numFmtId="0" fontId="14" fillId="11" borderId="0" xfId="0" applyFont="1" applyFill="1" applyAlignment="1">
      <alignment horizontal="left" vertical="center" indent="1"/>
    </xf>
    <xf numFmtId="0" fontId="11" fillId="6" borderId="3" xfId="0" applyFont="1" applyFill="1" applyBorder="1" applyAlignment="1">
      <alignment horizontal="left" vertical="center" wrapText="1" indent="1"/>
    </xf>
    <xf numFmtId="0" fontId="12" fillId="6" borderId="3" xfId="0" applyFont="1" applyFill="1" applyBorder="1" applyAlignment="1">
      <alignment horizontal="left" vertical="center" wrapText="1" indent="1"/>
    </xf>
    <xf numFmtId="0" fontId="13" fillId="7" borderId="0" xfId="0" applyFont="1" applyFill="1" applyAlignment="1">
      <alignment horizontal="left" vertical="center" indent="1"/>
    </xf>
    <xf numFmtId="0" fontId="11" fillId="4" borderId="3" xfId="0" applyFont="1" applyFill="1" applyBorder="1" applyAlignment="1">
      <alignment horizontal="left" vertical="center" wrapText="1" indent="1"/>
    </xf>
    <xf numFmtId="0" fontId="12" fillId="4" borderId="3" xfId="0" applyFont="1" applyFill="1" applyBorder="1" applyAlignment="1">
      <alignment horizontal="left" vertical="center" wrapText="1" indent="1"/>
    </xf>
    <xf numFmtId="0" fontId="40" fillId="6" borderId="3" xfId="0" applyFont="1" applyFill="1" applyBorder="1" applyAlignment="1">
      <alignment horizontal="left" vertical="center" wrapText="1" indent="1"/>
    </xf>
    <xf numFmtId="0" fontId="35" fillId="6" borderId="4" xfId="0" applyFont="1" applyFill="1" applyBorder="1" applyAlignment="1">
      <alignment horizontal="left" vertical="center" wrapText="1" indent="1"/>
    </xf>
    <xf numFmtId="0" fontId="11" fillId="6" borderId="4" xfId="0" applyFont="1" applyFill="1" applyBorder="1" applyAlignment="1">
      <alignment horizontal="left" vertical="center" wrapText="1" indent="1"/>
    </xf>
    <xf numFmtId="0" fontId="12" fillId="6" borderId="4" xfId="0" applyFont="1" applyFill="1" applyBorder="1" applyAlignment="1">
      <alignment horizontal="left" vertical="center" wrapText="1" indent="1"/>
    </xf>
    <xf numFmtId="0" fontId="8" fillId="5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0" fontId="3" fillId="3" borderId="0" xfId="0" applyFont="1" applyFill="1" applyAlignment="1">
      <alignment horizontal="left" vertical="center" indent="1"/>
    </xf>
    <xf numFmtId="0" fontId="10" fillId="5" borderId="0" xfId="0" applyFont="1" applyFill="1" applyAlignment="1">
      <alignment horizontal="center" vertical="center" wrapText="1"/>
    </xf>
    <xf numFmtId="0" fontId="10" fillId="5" borderId="0" xfId="0" applyFont="1" applyFill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7" fillId="0" borderId="0" xfId="0" applyFont="1"/>
    <xf numFmtId="0" fontId="0" fillId="2" borderId="0" xfId="0" applyFill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 wrapText="1"/>
    </xf>
    <xf numFmtId="164" fontId="17" fillId="6" borderId="3" xfId="0" applyNumberFormat="1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164" fontId="24" fillId="0" borderId="3" xfId="0" applyNumberFormat="1" applyFont="1" applyBorder="1" applyAlignment="1">
      <alignment horizontal="center" vertical="center" wrapText="1"/>
    </xf>
    <xf numFmtId="166" fontId="24" fillId="0" borderId="3" xfId="0" applyNumberFormat="1" applyFont="1" applyBorder="1" applyAlignment="1">
      <alignment horizontal="center" vertical="center" wrapText="1"/>
    </xf>
    <xf numFmtId="0" fontId="23" fillId="2" borderId="3" xfId="0" applyFont="1" applyFill="1" applyBorder="1" applyAlignment="1">
      <alignment horizontal="center" vertical="center" wrapText="1"/>
    </xf>
    <xf numFmtId="0" fontId="23" fillId="3" borderId="3" xfId="0" applyFont="1" applyFill="1" applyBorder="1" applyAlignment="1">
      <alignment horizontal="center" vertical="center" wrapText="1"/>
    </xf>
    <xf numFmtId="0" fontId="23" fillId="5" borderId="3" xfId="0" applyFont="1" applyFill="1" applyBorder="1" applyAlignment="1">
      <alignment horizontal="center" vertical="center" wrapText="1"/>
    </xf>
    <xf numFmtId="0" fontId="23" fillId="9" borderId="3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right" vertical="center"/>
    </xf>
    <xf numFmtId="166" fontId="17" fillId="6" borderId="3" xfId="0" applyNumberFormat="1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left" vertical="top" wrapText="1"/>
    </xf>
    <xf numFmtId="0" fontId="25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169" fontId="17" fillId="6" borderId="3" xfId="0" applyNumberFormat="1" applyFont="1" applyFill="1" applyBorder="1" applyAlignment="1">
      <alignment horizontal="center" vertical="center" wrapText="1"/>
    </xf>
    <xf numFmtId="0" fontId="12" fillId="0" borderId="3" xfId="0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33" fillId="3" borderId="3" xfId="0" applyFont="1" applyFill="1" applyBorder="1" applyAlignment="1">
      <alignment horizontal="left" vertical="center"/>
    </xf>
    <xf numFmtId="0" fontId="13" fillId="4" borderId="3" xfId="0" applyFont="1" applyFill="1" applyBorder="1" applyAlignment="1">
      <alignment horizontal="left" vertical="center"/>
    </xf>
    <xf numFmtId="0" fontId="32" fillId="3" borderId="3" xfId="0" applyFont="1" applyFill="1" applyBorder="1" applyAlignment="1">
      <alignment horizontal="left" vertical="center"/>
    </xf>
    <xf numFmtId="0" fontId="33" fillId="5" borderId="3" xfId="0" applyFont="1" applyFill="1" applyBorder="1" applyAlignment="1">
      <alignment horizontal="left" vertical="center"/>
    </xf>
    <xf numFmtId="0" fontId="12" fillId="4" borderId="3" xfId="0" applyFont="1" applyFill="1" applyBorder="1" applyAlignment="1">
      <alignment horizontal="left" vertical="center"/>
    </xf>
    <xf numFmtId="0" fontId="28" fillId="5" borderId="0" xfId="0" applyFont="1" applyFill="1" applyAlignment="1">
      <alignment horizontal="left" vertical="center" indent="1"/>
    </xf>
    <xf numFmtId="0" fontId="10" fillId="12" borderId="3" xfId="0" applyFont="1" applyFill="1" applyBorder="1" applyAlignment="1">
      <alignment horizontal="center" vertical="center" wrapText="1"/>
    </xf>
    <xf numFmtId="169" fontId="24" fillId="0" borderId="3" xfId="0" applyNumberFormat="1" applyFont="1" applyBorder="1" applyAlignment="1">
      <alignment horizontal="center" vertical="center" wrapText="1"/>
    </xf>
    <xf numFmtId="0" fontId="31" fillId="3" borderId="3" xfId="0" applyFont="1" applyFill="1" applyBorder="1" applyAlignment="1">
      <alignment horizontal="left" vertical="center" indent="1"/>
    </xf>
    <xf numFmtId="0" fontId="34" fillId="0" borderId="0" xfId="0" applyFont="1"/>
    <xf numFmtId="0" fontId="0" fillId="0" borderId="0" xfId="0"/>
    <xf numFmtId="0" fontId="13" fillId="0" borderId="3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171" fontId="25" fillId="0" borderId="3" xfId="0" applyNumberFormat="1" applyFont="1" applyBorder="1" applyAlignment="1">
      <alignment horizontal="right" vertical="center"/>
    </xf>
    <xf numFmtId="166" fontId="5" fillId="0" borderId="3" xfId="0" applyNumberFormat="1" applyFont="1" applyBorder="1" applyAlignment="1">
      <alignment horizontal="right" vertical="center"/>
    </xf>
    <xf numFmtId="0" fontId="15" fillId="4" borderId="3" xfId="0" applyFont="1" applyFill="1" applyBorder="1" applyAlignment="1">
      <alignment horizontal="left" vertical="center" wrapText="1"/>
    </xf>
    <xf numFmtId="171" fontId="25" fillId="4" borderId="3" xfId="0" applyNumberFormat="1" applyFont="1" applyFill="1" applyBorder="1" applyAlignment="1">
      <alignment horizontal="right" vertical="center"/>
    </xf>
    <xf numFmtId="166" fontId="5" fillId="4" borderId="3" xfId="0" applyNumberFormat="1" applyFont="1" applyFill="1" applyBorder="1" applyAlignment="1">
      <alignment horizontal="right" vertical="center"/>
    </xf>
    <xf numFmtId="0" fontId="36" fillId="13" borderId="0" xfId="0" applyFont="1" applyFill="1"/>
    <xf numFmtId="0" fontId="39" fillId="15" borderId="0" xfId="0" applyFont="1" applyFill="1"/>
    <xf numFmtId="0" fontId="39" fillId="17" borderId="5" xfId="0" applyFont="1" applyFill="1" applyBorder="1"/>
    <xf numFmtId="0" fontId="0" fillId="0" borderId="5" xfId="0" applyBorder="1"/>
    <xf numFmtId="0" fontId="39" fillId="17" borderId="0" xfId="0" applyFont="1" applyFill="1"/>
  </cellXfs>
  <cellStyles count="1">
    <cellStyle name="Normal" xfId="0" builtinId="0"/>
  </cellStyles>
  <dxfs count="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6E0B2A"/>
      <rgbColor rgb="FF008000"/>
      <rgbColor rgb="FF000080"/>
      <rgbColor rgb="FFB8860B"/>
      <rgbColor rgb="FF800080"/>
      <rgbColor rgb="FF4F81BD"/>
      <rgbColor rgb="FFB3B3B3"/>
      <rgbColor rgb="FF808080"/>
      <rgbColor rgb="FF93A9CE"/>
      <rgbColor rgb="FF8A2A45"/>
      <rgbColor rgb="FFFFF2CC"/>
      <rgbColor rgb="FFF6EEF1"/>
      <rgbColor rgb="FF5E1A2E"/>
      <rgbColor rgb="FFDC853E"/>
      <rgbColor rgb="FF0066CC"/>
      <rgbColor rgb="FFD9D9D9"/>
      <rgbColor rgb="FF000080"/>
      <rgbColor rgb="FFFF00FF"/>
      <rgbColor rgb="FFFFFF00"/>
      <rgbColor rgb="FF00FFFF"/>
      <rgbColor rgb="FF800080"/>
      <rgbColor rgb="FFB00020"/>
      <rgbColor rgb="FF008080"/>
      <rgbColor rgb="FF0000FF"/>
      <rgbColor rgb="FF00CCFF"/>
      <rgbColor rgb="FFCCFFFF"/>
      <rgbColor rgb="FFCCFFCC"/>
      <rgbColor rgb="FFFFF7E6"/>
      <rgbColor rgb="FFB8CD97"/>
      <rgbColor rgb="FFD09493"/>
      <rgbColor rgb="FFD8C3CB"/>
      <rgbColor rgb="FFEAD9DF"/>
      <rgbColor rgb="FF4672A8"/>
      <rgbColor rgb="FF4299B0"/>
      <rgbColor rgb="FF8AA64F"/>
      <rgbColor rgb="FFE8C33A"/>
      <rgbColor rgb="FFC8932B"/>
      <rgbColor rgb="FFC0504D"/>
      <rgbColor rgb="FF725990"/>
      <rgbColor rgb="FFA99BBD"/>
      <rgbColor rgb="FF00338D"/>
      <rgbColor rgb="FF3C7D5A"/>
      <rgbColor rgb="FF003300"/>
      <rgbColor rgb="FF400020"/>
      <rgbColor rgb="FFAB4744"/>
      <rgbColor rgb="FFA21C5A"/>
      <rgbColor rgb="FF6E5660"/>
      <rgbColor rgb="FF2B2B2B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Curva de lactação (kg por faixa de DEL)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'1·PRODUÇÃO'!$B$12</c:f>
              <c:strCache>
                <c:ptCount val="1"/>
                <c:pt idx="0">
                  <c:v>kg/controle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'1·PRODUÇÃO'!$A$13:$A$18</c:f>
              <c:strCache>
                <c:ptCount val="6"/>
                <c:pt idx="0">
                  <c:v>0–60</c:v>
                </c:pt>
                <c:pt idx="1">
                  <c:v>61–120</c:v>
                </c:pt>
                <c:pt idx="2">
                  <c:v>121–180</c:v>
                </c:pt>
                <c:pt idx="3">
                  <c:v>181–240</c:v>
                </c:pt>
                <c:pt idx="4">
                  <c:v>241–305</c:v>
                </c:pt>
                <c:pt idx="5">
                  <c:v>&gt;305</c:v>
                </c:pt>
              </c:strCache>
            </c:strRef>
          </c:cat>
          <c:val>
            <c:numRef>
              <c:f>'1·PRODUÇÃO'!$B$13:$B$18</c:f>
              <c:numCache>
                <c:formatCode>#,##0.0;[Red]\(#,##0.0\);\-</c:formatCode>
                <c:ptCount val="6"/>
                <c:pt idx="0">
                  <c:v>19.650769230769232</c:v>
                </c:pt>
                <c:pt idx="1">
                  <c:v>22.277310924369747</c:v>
                </c:pt>
                <c:pt idx="2">
                  <c:v>23.544247787610622</c:v>
                </c:pt>
                <c:pt idx="3">
                  <c:v>21.270000000000003</c:v>
                </c:pt>
                <c:pt idx="4">
                  <c:v>20.841538461538462</c:v>
                </c:pt>
                <c:pt idx="5">
                  <c:v>14.625999999999999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D-4407-8C17-7188754BD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614253"/>
        <c:axId val="12464544"/>
      </c:barChart>
      <c:catAx>
        <c:axId val="26614253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12464544"/>
        <c:crosses val="autoZero"/>
        <c:auto val="1"/>
        <c:lblAlgn val="ctr"/>
        <c:lblOffset val="100"/>
        <c:noMultiLvlLbl val="0"/>
      </c:catAx>
      <c:valAx>
        <c:axId val="12464544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26614253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Concepção (barras) × Produção (linha) por ordem de parto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'1·PRODUÇÃO'!$C$31</c:f>
              <c:strCache>
                <c:ptCount val="1"/>
                <c:pt idx="0">
                  <c:v>Méd. prod. leite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numRef>
              <c:f>'1·PRODUÇÃO'!$A$32:$A$35</c:f>
              <c:numCache>
                <c:formatCode>0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cat>
          <c:val>
            <c:numRef>
              <c:f>'1·PRODUÇÃO'!$C$32:$C$35</c:f>
              <c:numCache>
                <c:formatCode>#,##0.0;[Red]\(#,##0.0\);\-</c:formatCode>
                <c:ptCount val="4"/>
                <c:pt idx="0">
                  <c:v>0</c:v>
                </c:pt>
                <c:pt idx="1">
                  <c:v>8096.6996356589134</c:v>
                </c:pt>
                <c:pt idx="2">
                  <c:v>6889.8257884615368</c:v>
                </c:pt>
                <c:pt idx="3">
                  <c:v>3534.2916666666665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ED-42FF-8309-922D489FB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437363"/>
        <c:axId val="63880541"/>
      </c:barChart>
      <c:lineChart>
        <c:grouping val="standard"/>
        <c:varyColors val="0"/>
        <c:ser>
          <c:idx val="1"/>
          <c:order val="1"/>
          <c:tx>
            <c:strRef>
              <c:f>'1·PRODUÇÃO'!$B$31</c:f>
              <c:strCache>
                <c:ptCount val="1"/>
                <c:pt idx="0">
                  <c:v>Taxa concepção</c:v>
                </c:pt>
              </c:strCache>
            </c:strRef>
          </c:tx>
          <c:spPr>
            <a:ln w="28080">
              <a:solidFill>
                <a:srgbClr val="B8860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08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numRef>
              <c:f>'1·PRODUÇÃO'!$A$32:$A$35</c:f>
              <c:numCache>
                <c:formatCode>0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cat>
          <c:val>
            <c:numRef>
              <c:f>'1·PRODUÇÃO'!$B$32:$B$35</c:f>
              <c:numCache>
                <c:formatCode>0.0%</c:formatCode>
                <c:ptCount val="4"/>
                <c:pt idx="0">
                  <c:v>0.65193370165745856</c:v>
                </c:pt>
                <c:pt idx="1">
                  <c:v>0.375</c:v>
                </c:pt>
                <c:pt idx="2">
                  <c:v>0.29166666666666669</c:v>
                </c:pt>
                <c:pt idx="3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ED-42FF-8309-922D489FB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94972786"/>
        <c:axId val="31860321"/>
      </c:lineChart>
      <c:catAx>
        <c:axId val="47437363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63880541"/>
        <c:crosses val="autoZero"/>
        <c:auto val="1"/>
        <c:lblAlgn val="ctr"/>
        <c:lblOffset val="100"/>
        <c:noMultiLvlLbl val="0"/>
      </c:catAx>
      <c:valAx>
        <c:axId val="63880541"/>
        <c:scaling>
          <c:orientation val="minMax"/>
        </c:scaling>
        <c:delete val="0"/>
        <c:axPos val="l"/>
        <c:numFmt formatCode="#,##0.0;[Red]\(#,##0.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47437363"/>
        <c:crosses val="autoZero"/>
        <c:crossBetween val="between"/>
      </c:valAx>
      <c:catAx>
        <c:axId val="9497278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31860321"/>
        <c:crosses val="autoZero"/>
        <c:auto val="1"/>
        <c:lblAlgn val="ctr"/>
        <c:lblOffset val="100"/>
        <c:noMultiLvlLbl val="0"/>
      </c:catAx>
      <c:valAx>
        <c:axId val="31860321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94972786"/>
        <c:crosses val="max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Produção média da 1ª lactação por categoria (kg)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'1·PRODUÇÃO'!$B$50</c:f>
              <c:strCache>
                <c:ptCount val="1"/>
                <c:pt idx="0">
                  <c:v>Méd. total 1ªL (kg)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'1·PRODUÇÃO'!$A$51:$A$52</c:f>
              <c:strCache>
                <c:ptCount val="2"/>
                <c:pt idx="0">
                  <c:v>Vaca</c:v>
                </c:pt>
                <c:pt idx="1">
                  <c:v>Novilha</c:v>
                </c:pt>
              </c:strCache>
            </c:strRef>
          </c:cat>
          <c:val>
            <c:numRef>
              <c:f>'1·PRODUÇÃO'!$B$51:$B$52</c:f>
              <c:numCache>
                <c:formatCode>#,##0.0;[Red]\(#,##0.0\);\-</c:formatCode>
                <c:ptCount val="2"/>
                <c:pt idx="0">
                  <c:v>6035.4758627450974</c:v>
                </c:pt>
                <c:pt idx="1">
                  <c:v>2000.8879999999999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52-4149-89F9-F9CBAD0E2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550151"/>
        <c:axId val="94380012"/>
      </c:barChart>
      <c:catAx>
        <c:axId val="6255015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94380012"/>
        <c:crosses val="autoZero"/>
        <c:auto val="1"/>
        <c:lblAlgn val="ctr"/>
        <c:lblOffset val="100"/>
        <c:noMultiLvlLbl val="0"/>
      </c:catAx>
      <c:valAx>
        <c:axId val="94380012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62550151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Concentrados por dia (kg) — exceto silagem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'2·DIETA'!$A$8:$A$13</c:f>
              <c:strCache>
                <c:ptCount val="6"/>
                <c:pt idx="0">
                  <c:v>Teck Milk 24%</c:v>
                </c:pt>
                <c:pt idx="1">
                  <c:v>Milk Proteico</c:v>
                </c:pt>
                <c:pt idx="2">
                  <c:v>Ração Pré-parto</c:v>
                </c:pt>
                <c:pt idx="3">
                  <c:v>Ração Bezerro 1</c:v>
                </c:pt>
                <c:pt idx="4">
                  <c:v>Ração Bezerro 2</c:v>
                </c:pt>
                <c:pt idx="5">
                  <c:v>Corte 21</c:v>
                </c:pt>
              </c:strCache>
            </c:strRef>
          </c:cat>
          <c:val>
            <c:numRef>
              <c:f>'2·DIETA'!$B$8:$B$13</c:f>
              <c:numCache>
                <c:formatCode>#,##0.0;[Red]\(#,##0.0\);\-</c:formatCode>
                <c:ptCount val="6"/>
                <c:pt idx="0">
                  <c:v>144</c:v>
                </c:pt>
                <c:pt idx="1">
                  <c:v>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3-4787-B8F8-27959D241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9058"/>
        <c:axId val="12979087"/>
      </c:barChart>
      <c:catAx>
        <c:axId val="1883905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12979087"/>
        <c:crosses val="autoZero"/>
        <c:auto val="1"/>
        <c:lblAlgn val="ctr"/>
        <c:lblOffset val="100"/>
        <c:noMultiLvlLbl val="0"/>
      </c:catAx>
      <c:valAx>
        <c:axId val="12979087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numFmt formatCode="#,##0.0;[Red]\(#,##0.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18839058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Concepção / Perda por MÊS do serviço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'3·REPRODUÇÃO'!$C$16</c:f>
              <c:strCache>
                <c:ptCount val="1"/>
                <c:pt idx="0">
                  <c:v>Posit.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'3·REPRODUÇÃO'!$A$17:$A$60</c:f>
              <c:strCache>
                <c:ptCount val="44"/>
                <c:pt idx="0">
                  <c:v>2022-09</c:v>
                </c:pt>
                <c:pt idx="1">
                  <c:v>2022-10</c:v>
                </c:pt>
                <c:pt idx="2">
                  <c:v>2022-11</c:v>
                </c:pt>
                <c:pt idx="3">
                  <c:v>2022-12</c:v>
                </c:pt>
                <c:pt idx="4">
                  <c:v>2023-01</c:v>
                </c:pt>
                <c:pt idx="5">
                  <c:v>2023-02</c:v>
                </c:pt>
                <c:pt idx="6">
                  <c:v>2023-04</c:v>
                </c:pt>
                <c:pt idx="7">
                  <c:v>2023-05</c:v>
                </c:pt>
                <c:pt idx="8">
                  <c:v>2023-06</c:v>
                </c:pt>
                <c:pt idx="9">
                  <c:v>2023-07</c:v>
                </c:pt>
                <c:pt idx="10">
                  <c:v>2023-08</c:v>
                </c:pt>
                <c:pt idx="11">
                  <c:v>2023-09</c:v>
                </c:pt>
                <c:pt idx="12">
                  <c:v>2023-10</c:v>
                </c:pt>
                <c:pt idx="13">
                  <c:v>2023-11</c:v>
                </c:pt>
                <c:pt idx="14">
                  <c:v>2023-12</c:v>
                </c:pt>
                <c:pt idx="15">
                  <c:v>2024-01</c:v>
                </c:pt>
                <c:pt idx="16">
                  <c:v>2024-02</c:v>
                </c:pt>
                <c:pt idx="17">
                  <c:v>2024-03</c:v>
                </c:pt>
                <c:pt idx="18">
                  <c:v>2024-04</c:v>
                </c:pt>
                <c:pt idx="19">
                  <c:v>2024-05</c:v>
                </c:pt>
                <c:pt idx="20">
                  <c:v>2024-06</c:v>
                </c:pt>
                <c:pt idx="21">
                  <c:v>2024-07</c:v>
                </c:pt>
                <c:pt idx="22">
                  <c:v>2024-08</c:v>
                </c:pt>
                <c:pt idx="23">
                  <c:v>2024-09</c:v>
                </c:pt>
                <c:pt idx="24">
                  <c:v>2024-10</c:v>
                </c:pt>
                <c:pt idx="25">
                  <c:v>2024-11</c:v>
                </c:pt>
                <c:pt idx="26">
                  <c:v>2024-12</c:v>
                </c:pt>
                <c:pt idx="27">
                  <c:v>2025-01</c:v>
                </c:pt>
                <c:pt idx="28">
                  <c:v>2025-02</c:v>
                </c:pt>
                <c:pt idx="29">
                  <c:v>2025-03</c:v>
                </c:pt>
                <c:pt idx="30">
                  <c:v>2025-04</c:v>
                </c:pt>
                <c:pt idx="31">
                  <c:v>2025-05</c:v>
                </c:pt>
                <c:pt idx="32">
                  <c:v>2025-07</c:v>
                </c:pt>
                <c:pt idx="33">
                  <c:v>2025-08</c:v>
                </c:pt>
                <c:pt idx="34">
                  <c:v>2025-09</c:v>
                </c:pt>
                <c:pt idx="35">
                  <c:v>2025-10</c:v>
                </c:pt>
                <c:pt idx="36">
                  <c:v>2025-11</c:v>
                </c:pt>
                <c:pt idx="37">
                  <c:v>2025-12</c:v>
                </c:pt>
                <c:pt idx="38">
                  <c:v>2026-01</c:v>
                </c:pt>
                <c:pt idx="39">
                  <c:v>2026-02</c:v>
                </c:pt>
                <c:pt idx="40">
                  <c:v>2026-03</c:v>
                </c:pt>
                <c:pt idx="41">
                  <c:v>2026-04</c:v>
                </c:pt>
                <c:pt idx="42">
                  <c:v>2026-05</c:v>
                </c:pt>
                <c:pt idx="43">
                  <c:v>2026-06</c:v>
                </c:pt>
              </c:strCache>
            </c:strRef>
          </c:cat>
          <c:val>
            <c:numRef>
              <c:f>'3·REPRODUÇÃO'!$C$17:$C$60</c:f>
              <c:numCache>
                <c:formatCode>#,##0;[Red]\(#,##0\);\-</c:formatCode>
                <c:ptCount val="44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6</c:v>
                </c:pt>
                <c:pt idx="14">
                  <c:v>2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0</c:v>
                </c:pt>
                <c:pt idx="24">
                  <c:v>6</c:v>
                </c:pt>
                <c:pt idx="25">
                  <c:v>9</c:v>
                </c:pt>
                <c:pt idx="26">
                  <c:v>3</c:v>
                </c:pt>
                <c:pt idx="27">
                  <c:v>2</c:v>
                </c:pt>
                <c:pt idx="28">
                  <c:v>7</c:v>
                </c:pt>
                <c:pt idx="29">
                  <c:v>3</c:v>
                </c:pt>
                <c:pt idx="30">
                  <c:v>5</c:v>
                </c:pt>
                <c:pt idx="31">
                  <c:v>7</c:v>
                </c:pt>
                <c:pt idx="32">
                  <c:v>7</c:v>
                </c:pt>
                <c:pt idx="33">
                  <c:v>6</c:v>
                </c:pt>
                <c:pt idx="34">
                  <c:v>2</c:v>
                </c:pt>
                <c:pt idx="35">
                  <c:v>6</c:v>
                </c:pt>
                <c:pt idx="36">
                  <c:v>11</c:v>
                </c:pt>
                <c:pt idx="37">
                  <c:v>8</c:v>
                </c:pt>
                <c:pt idx="38">
                  <c:v>12</c:v>
                </c:pt>
                <c:pt idx="39">
                  <c:v>8</c:v>
                </c:pt>
                <c:pt idx="40">
                  <c:v>13</c:v>
                </c:pt>
                <c:pt idx="41">
                  <c:v>3</c:v>
                </c:pt>
                <c:pt idx="42">
                  <c:v>6</c:v>
                </c:pt>
                <c:pt idx="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00-4307-8C0F-3120BABEC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858545"/>
        <c:axId val="83383852"/>
      </c:barChart>
      <c:lineChart>
        <c:grouping val="standard"/>
        <c:varyColors val="0"/>
        <c:ser>
          <c:idx val="1"/>
          <c:order val="1"/>
          <c:tx>
            <c:strRef>
              <c:f>'3·REPRODUÇÃO'!$D$16</c:f>
              <c:strCache>
                <c:ptCount val="1"/>
                <c:pt idx="0">
                  <c:v>Taxa conc.</c:v>
                </c:pt>
              </c:strCache>
            </c:strRef>
          </c:tx>
          <c:spPr>
            <a:ln w="28080">
              <a:solidFill>
                <a:srgbClr val="B8860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08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'3·REPRODUÇÃO'!$A$17:$A$60</c:f>
              <c:strCache>
                <c:ptCount val="44"/>
                <c:pt idx="0">
                  <c:v>2022-09</c:v>
                </c:pt>
                <c:pt idx="1">
                  <c:v>2022-10</c:v>
                </c:pt>
                <c:pt idx="2">
                  <c:v>2022-11</c:v>
                </c:pt>
                <c:pt idx="3">
                  <c:v>2022-12</c:v>
                </c:pt>
                <c:pt idx="4">
                  <c:v>2023-01</c:v>
                </c:pt>
                <c:pt idx="5">
                  <c:v>2023-02</c:v>
                </c:pt>
                <c:pt idx="6">
                  <c:v>2023-04</c:v>
                </c:pt>
                <c:pt idx="7">
                  <c:v>2023-05</c:v>
                </c:pt>
                <c:pt idx="8">
                  <c:v>2023-06</c:v>
                </c:pt>
                <c:pt idx="9">
                  <c:v>2023-07</c:v>
                </c:pt>
                <c:pt idx="10">
                  <c:v>2023-08</c:v>
                </c:pt>
                <c:pt idx="11">
                  <c:v>2023-09</c:v>
                </c:pt>
                <c:pt idx="12">
                  <c:v>2023-10</c:v>
                </c:pt>
                <c:pt idx="13">
                  <c:v>2023-11</c:v>
                </c:pt>
                <c:pt idx="14">
                  <c:v>2023-12</c:v>
                </c:pt>
                <c:pt idx="15">
                  <c:v>2024-01</c:v>
                </c:pt>
                <c:pt idx="16">
                  <c:v>2024-02</c:v>
                </c:pt>
                <c:pt idx="17">
                  <c:v>2024-03</c:v>
                </c:pt>
                <c:pt idx="18">
                  <c:v>2024-04</c:v>
                </c:pt>
                <c:pt idx="19">
                  <c:v>2024-05</c:v>
                </c:pt>
                <c:pt idx="20">
                  <c:v>2024-06</c:v>
                </c:pt>
                <c:pt idx="21">
                  <c:v>2024-07</c:v>
                </c:pt>
                <c:pt idx="22">
                  <c:v>2024-08</c:v>
                </c:pt>
                <c:pt idx="23">
                  <c:v>2024-09</c:v>
                </c:pt>
                <c:pt idx="24">
                  <c:v>2024-10</c:v>
                </c:pt>
                <c:pt idx="25">
                  <c:v>2024-11</c:v>
                </c:pt>
                <c:pt idx="26">
                  <c:v>2024-12</c:v>
                </c:pt>
                <c:pt idx="27">
                  <c:v>2025-01</c:v>
                </c:pt>
                <c:pt idx="28">
                  <c:v>2025-02</c:v>
                </c:pt>
                <c:pt idx="29">
                  <c:v>2025-03</c:v>
                </c:pt>
                <c:pt idx="30">
                  <c:v>2025-04</c:v>
                </c:pt>
                <c:pt idx="31">
                  <c:v>2025-05</c:v>
                </c:pt>
                <c:pt idx="32">
                  <c:v>2025-07</c:v>
                </c:pt>
                <c:pt idx="33">
                  <c:v>2025-08</c:v>
                </c:pt>
                <c:pt idx="34">
                  <c:v>2025-09</c:v>
                </c:pt>
                <c:pt idx="35">
                  <c:v>2025-10</c:v>
                </c:pt>
                <c:pt idx="36">
                  <c:v>2025-11</c:v>
                </c:pt>
                <c:pt idx="37">
                  <c:v>2025-12</c:v>
                </c:pt>
                <c:pt idx="38">
                  <c:v>2026-01</c:v>
                </c:pt>
                <c:pt idx="39">
                  <c:v>2026-02</c:v>
                </c:pt>
                <c:pt idx="40">
                  <c:v>2026-03</c:v>
                </c:pt>
                <c:pt idx="41">
                  <c:v>2026-04</c:v>
                </c:pt>
                <c:pt idx="42">
                  <c:v>2026-05</c:v>
                </c:pt>
                <c:pt idx="43">
                  <c:v>2026-06</c:v>
                </c:pt>
              </c:strCache>
            </c:strRef>
          </c:cat>
          <c:val>
            <c:numRef>
              <c:f>'3·REPRODUÇÃO'!$D$17:$D$60</c:f>
              <c:numCache>
                <c:formatCode>0.0%</c:formatCode>
                <c:ptCount val="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0.4</c:v>
                </c:pt>
                <c:pt idx="7">
                  <c:v>0.5</c:v>
                </c:pt>
                <c:pt idx="8">
                  <c:v>0.5</c:v>
                </c:pt>
                <c:pt idx="9">
                  <c:v>0.25</c:v>
                </c:pt>
                <c:pt idx="10">
                  <c:v>0</c:v>
                </c:pt>
                <c:pt idx="11">
                  <c:v>0.25</c:v>
                </c:pt>
                <c:pt idx="12">
                  <c:v>0.5</c:v>
                </c:pt>
                <c:pt idx="13">
                  <c:v>0.66666666666666663</c:v>
                </c:pt>
                <c:pt idx="14">
                  <c:v>0.18181818181818182</c:v>
                </c:pt>
                <c:pt idx="15">
                  <c:v>0</c:v>
                </c:pt>
                <c:pt idx="16">
                  <c:v>0.36363636363636365</c:v>
                </c:pt>
                <c:pt idx="17">
                  <c:v>0</c:v>
                </c:pt>
                <c:pt idx="18">
                  <c:v>0.27272727272727271</c:v>
                </c:pt>
                <c:pt idx="19">
                  <c:v>0.2</c:v>
                </c:pt>
                <c:pt idx="20">
                  <c:v>0.75</c:v>
                </c:pt>
                <c:pt idx="21">
                  <c:v>0.5</c:v>
                </c:pt>
                <c:pt idx="22">
                  <c:v>0.44444444444444442</c:v>
                </c:pt>
                <c:pt idx="23">
                  <c:v>0</c:v>
                </c:pt>
                <c:pt idx="24">
                  <c:v>0.8571428571428571</c:v>
                </c:pt>
                <c:pt idx="25">
                  <c:v>0.75</c:v>
                </c:pt>
                <c:pt idx="26">
                  <c:v>0.75</c:v>
                </c:pt>
                <c:pt idx="27">
                  <c:v>0.5</c:v>
                </c:pt>
                <c:pt idx="28">
                  <c:v>0.63636363636363635</c:v>
                </c:pt>
                <c:pt idx="29">
                  <c:v>1</c:v>
                </c:pt>
                <c:pt idx="30">
                  <c:v>0.625</c:v>
                </c:pt>
                <c:pt idx="31">
                  <c:v>0.53846153846153844</c:v>
                </c:pt>
                <c:pt idx="32">
                  <c:v>0.46666666666666667</c:v>
                </c:pt>
                <c:pt idx="33">
                  <c:v>0.375</c:v>
                </c:pt>
                <c:pt idx="34">
                  <c:v>0.5</c:v>
                </c:pt>
                <c:pt idx="35">
                  <c:v>0.33333333333333331</c:v>
                </c:pt>
                <c:pt idx="36">
                  <c:v>0.44</c:v>
                </c:pt>
                <c:pt idx="37">
                  <c:v>0.47058823529411764</c:v>
                </c:pt>
                <c:pt idx="38">
                  <c:v>0.75</c:v>
                </c:pt>
                <c:pt idx="39">
                  <c:v>0.72727272727272729</c:v>
                </c:pt>
                <c:pt idx="40">
                  <c:v>0.68421052631578949</c:v>
                </c:pt>
                <c:pt idx="41">
                  <c:v>0.3</c:v>
                </c:pt>
                <c:pt idx="42">
                  <c:v>0.5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00-4307-8C0F-3120BABEC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42205651"/>
        <c:axId val="88920053"/>
      </c:lineChart>
      <c:catAx>
        <c:axId val="3585854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83383852"/>
        <c:crosses val="autoZero"/>
        <c:auto val="1"/>
        <c:lblAlgn val="ctr"/>
        <c:lblOffset val="100"/>
        <c:noMultiLvlLbl val="0"/>
      </c:catAx>
      <c:valAx>
        <c:axId val="83383852"/>
        <c:scaling>
          <c:orientation val="minMax"/>
        </c:scaling>
        <c:delete val="0"/>
        <c:axPos val="l"/>
        <c:numFmt formatCode="#,##0;[Red]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35858545"/>
        <c:crosses val="autoZero"/>
        <c:crossBetween val="between"/>
      </c:valAx>
      <c:catAx>
        <c:axId val="4220565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88920053"/>
        <c:crosses val="autoZero"/>
        <c:auto val="1"/>
        <c:lblAlgn val="ctr"/>
        <c:lblOffset val="100"/>
        <c:noMultiLvlLbl val="0"/>
      </c:catAx>
      <c:valAx>
        <c:axId val="88920053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42205651"/>
        <c:crosses val="max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por TIPO DE SERVIÇO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'3·REPRODUÇÃO'!$C$63</c:f>
              <c:strCache>
                <c:ptCount val="1"/>
                <c:pt idx="0">
                  <c:v>Posit.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'3·REPRODUÇÃO'!$A$64:$A$65</c:f>
              <c:strCache>
                <c:ptCount val="2"/>
                <c:pt idx="0">
                  <c:v>Cobertura</c:v>
                </c:pt>
                <c:pt idx="1">
                  <c:v>Inseminação Artificial</c:v>
                </c:pt>
              </c:strCache>
            </c:strRef>
          </c:cat>
          <c:val>
            <c:numRef>
              <c:f>'3·REPRODUÇÃO'!$C$64:$C$65</c:f>
              <c:numCache>
                <c:formatCode>#,##0;[Red]\(#,##0\);\-</c:formatCode>
                <c:ptCount val="2"/>
                <c:pt idx="0">
                  <c:v>55</c:v>
                </c:pt>
                <c:pt idx="1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0-4D1D-A44F-38550888F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86608"/>
        <c:axId val="38665079"/>
      </c:barChart>
      <c:lineChart>
        <c:grouping val="standard"/>
        <c:varyColors val="0"/>
        <c:ser>
          <c:idx val="1"/>
          <c:order val="1"/>
          <c:tx>
            <c:strRef>
              <c:f>'3·REPRODUÇÃO'!$D$63</c:f>
              <c:strCache>
                <c:ptCount val="1"/>
                <c:pt idx="0">
                  <c:v>Taxa conc.</c:v>
                </c:pt>
              </c:strCache>
            </c:strRef>
          </c:tx>
          <c:spPr>
            <a:ln w="28080">
              <a:solidFill>
                <a:srgbClr val="B8860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08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'3·REPRODUÇÃO'!$A$64:$A$65</c:f>
              <c:strCache>
                <c:ptCount val="2"/>
                <c:pt idx="0">
                  <c:v>Cobertura</c:v>
                </c:pt>
                <c:pt idx="1">
                  <c:v>Inseminação Artificial</c:v>
                </c:pt>
              </c:strCache>
            </c:strRef>
          </c:cat>
          <c:val>
            <c:numRef>
              <c:f>'3·REPRODUÇÃO'!$D$64:$D$65</c:f>
              <c:numCache>
                <c:formatCode>0.0%</c:formatCode>
                <c:ptCount val="2"/>
                <c:pt idx="0">
                  <c:v>0.88709677419354838</c:v>
                </c:pt>
                <c:pt idx="1">
                  <c:v>0.42465753424657532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A0-4D1D-A44F-38550888F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16487575"/>
        <c:axId val="15277976"/>
      </c:lineChart>
      <c:catAx>
        <c:axId val="136866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38665079"/>
        <c:crosses val="autoZero"/>
        <c:auto val="1"/>
        <c:lblAlgn val="ctr"/>
        <c:lblOffset val="100"/>
        <c:noMultiLvlLbl val="0"/>
      </c:catAx>
      <c:valAx>
        <c:axId val="38665079"/>
        <c:scaling>
          <c:orientation val="minMax"/>
        </c:scaling>
        <c:delete val="0"/>
        <c:axPos val="l"/>
        <c:numFmt formatCode="#,##0;[Red]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13686608"/>
        <c:crosses val="autoZero"/>
        <c:crossBetween val="between"/>
      </c:valAx>
      <c:catAx>
        <c:axId val="1648757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15277976"/>
        <c:crosses val="autoZero"/>
        <c:auto val="1"/>
        <c:lblAlgn val="ctr"/>
        <c:lblOffset val="100"/>
        <c:noMultiLvlLbl val="0"/>
      </c:catAx>
      <c:valAx>
        <c:axId val="15277976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16487575"/>
        <c:crosses val="max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por CONDIÇÃO DE IA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'3·REPRODUÇÃO'!$C$82</c:f>
              <c:strCache>
                <c:ptCount val="1"/>
                <c:pt idx="0">
                  <c:v>Posit.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'3·REPRODUÇÃO'!$A$83:$A$84</c:f>
              <c:strCache>
                <c:ptCount val="2"/>
                <c:pt idx="0">
                  <c:v>CIO NATURAL</c:v>
                </c:pt>
                <c:pt idx="1">
                  <c:v>PROTOCOLO IATF</c:v>
                </c:pt>
              </c:strCache>
            </c:strRef>
          </c:cat>
          <c:val>
            <c:numRef>
              <c:f>'3·REPRODUÇÃO'!$C$83:$C$84</c:f>
              <c:numCache>
                <c:formatCode>#,##0;[Red]\(#,##0\);\-</c:formatCode>
                <c:ptCount val="2"/>
                <c:pt idx="0">
                  <c:v>123</c:v>
                </c:pt>
                <c:pt idx="1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EE-4E87-9498-D7009246D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8537"/>
        <c:axId val="95883173"/>
      </c:barChart>
      <c:lineChart>
        <c:grouping val="standard"/>
        <c:varyColors val="0"/>
        <c:ser>
          <c:idx val="1"/>
          <c:order val="1"/>
          <c:tx>
            <c:strRef>
              <c:f>'3·REPRODUÇÃO'!$D$82</c:f>
              <c:strCache>
                <c:ptCount val="1"/>
                <c:pt idx="0">
                  <c:v>Taxa conc.</c:v>
                </c:pt>
              </c:strCache>
            </c:strRef>
          </c:tx>
          <c:spPr>
            <a:ln w="28080">
              <a:solidFill>
                <a:srgbClr val="B8860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08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'3·REPRODUÇÃO'!$A$83:$A$84</c:f>
              <c:strCache>
                <c:ptCount val="2"/>
                <c:pt idx="0">
                  <c:v>CIO NATURAL</c:v>
                </c:pt>
                <c:pt idx="1">
                  <c:v>PROTOCOLO IATF</c:v>
                </c:pt>
              </c:strCache>
            </c:strRef>
          </c:cat>
          <c:val>
            <c:numRef>
              <c:f>'3·REPRODUÇÃO'!$D$83:$D$84</c:f>
              <c:numCache>
                <c:formatCode>0.0%</c:formatCode>
                <c:ptCount val="2"/>
                <c:pt idx="0">
                  <c:v>0.46415094339622642</c:v>
                </c:pt>
                <c:pt idx="1">
                  <c:v>0.625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EE-4E87-9498-D7009246D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75728878"/>
        <c:axId val="29759885"/>
      </c:lineChart>
      <c:catAx>
        <c:axId val="105853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95883173"/>
        <c:crosses val="autoZero"/>
        <c:auto val="1"/>
        <c:lblAlgn val="ctr"/>
        <c:lblOffset val="100"/>
        <c:noMultiLvlLbl val="0"/>
      </c:catAx>
      <c:valAx>
        <c:axId val="95883173"/>
        <c:scaling>
          <c:orientation val="minMax"/>
        </c:scaling>
        <c:delete val="0"/>
        <c:axPos val="l"/>
        <c:numFmt formatCode="#,##0;[Red]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1058537"/>
        <c:crosses val="autoZero"/>
        <c:crossBetween val="between"/>
      </c:valAx>
      <c:catAx>
        <c:axId val="7572887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29759885"/>
        <c:crosses val="autoZero"/>
        <c:auto val="1"/>
        <c:lblAlgn val="ctr"/>
        <c:lblOffset val="100"/>
        <c:noMultiLvlLbl val="0"/>
      </c:catAx>
      <c:valAx>
        <c:axId val="29759885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75728878"/>
        <c:crosses val="max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por ORDEM DE TENTATIVA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'3·REPRODUÇÃO'!$C$101</c:f>
              <c:strCache>
                <c:ptCount val="1"/>
                <c:pt idx="0">
                  <c:v>Posit.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numRef>
              <c:f>'3·REPRODUÇÃO'!$A$102:$A$111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'3·REPRODUÇÃO'!$C$102:$C$111</c:f>
              <c:numCache>
                <c:formatCode>#,##0;[Red]\(#,##0\);\-</c:formatCode>
                <c:ptCount val="10"/>
                <c:pt idx="0">
                  <c:v>117</c:v>
                </c:pt>
                <c:pt idx="1">
                  <c:v>26</c:v>
                </c:pt>
                <c:pt idx="2">
                  <c:v>15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6C-4738-BB77-2268E1DE9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586780"/>
        <c:axId val="55033531"/>
      </c:barChart>
      <c:lineChart>
        <c:grouping val="standard"/>
        <c:varyColors val="0"/>
        <c:ser>
          <c:idx val="1"/>
          <c:order val="1"/>
          <c:tx>
            <c:strRef>
              <c:f>'3·REPRODUÇÃO'!$D$101</c:f>
              <c:strCache>
                <c:ptCount val="1"/>
                <c:pt idx="0">
                  <c:v>Taxa conc.</c:v>
                </c:pt>
              </c:strCache>
            </c:strRef>
          </c:tx>
          <c:spPr>
            <a:ln w="28080">
              <a:solidFill>
                <a:srgbClr val="B8860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08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numRef>
              <c:f>'3·REPRODUÇÃO'!$A$102:$A$111</c:f>
              <c:numCache>
                <c:formatCode>0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'3·REPRODUÇÃO'!$D$102:$D$111</c:f>
              <c:numCache>
                <c:formatCode>0.0%</c:formatCode>
                <c:ptCount val="10"/>
                <c:pt idx="0">
                  <c:v>0.63934426229508201</c:v>
                </c:pt>
                <c:pt idx="1">
                  <c:v>0.39393939393939392</c:v>
                </c:pt>
                <c:pt idx="2">
                  <c:v>0.375</c:v>
                </c:pt>
                <c:pt idx="3">
                  <c:v>0.30434782608695654</c:v>
                </c:pt>
                <c:pt idx="4">
                  <c:v>0.375</c:v>
                </c:pt>
                <c:pt idx="5">
                  <c:v>0.27272727272727271</c:v>
                </c:pt>
                <c:pt idx="6">
                  <c:v>0</c:v>
                </c:pt>
                <c:pt idx="7">
                  <c:v>0.6</c:v>
                </c:pt>
                <c:pt idx="8">
                  <c:v>0.5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6C-4738-BB77-2268E1DE9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54434927"/>
        <c:axId val="70190447"/>
      </c:lineChart>
      <c:catAx>
        <c:axId val="6058678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55033531"/>
        <c:crosses val="autoZero"/>
        <c:auto val="1"/>
        <c:lblAlgn val="ctr"/>
        <c:lblOffset val="100"/>
        <c:noMultiLvlLbl val="0"/>
      </c:catAx>
      <c:valAx>
        <c:axId val="55033531"/>
        <c:scaling>
          <c:orientation val="minMax"/>
        </c:scaling>
        <c:delete val="0"/>
        <c:axPos val="l"/>
        <c:numFmt formatCode="#,##0;[Red]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60586780"/>
        <c:crosses val="autoZero"/>
        <c:crossBetween val="between"/>
      </c:valAx>
      <c:catAx>
        <c:axId val="5443492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70190447"/>
        <c:crosses val="autoZero"/>
        <c:auto val="1"/>
        <c:lblAlgn val="ctr"/>
        <c:lblOffset val="100"/>
        <c:noMultiLvlLbl val="0"/>
      </c:catAx>
      <c:valAx>
        <c:axId val="70190447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54434927"/>
        <c:crosses val="max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800" b="1" u="none" strike="noStrike">
                <a:solidFill>
                  <a:srgbClr val="000000"/>
                </a:solidFill>
                <a:uFillTx/>
                <a:latin typeface="Calibri"/>
              </a:rPr>
              <a:t>por RAÇA DA MATRIZ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'3·REPRODUÇÃO'!$C$120</c:f>
              <c:strCache>
                <c:ptCount val="1"/>
                <c:pt idx="0">
                  <c:v>Posit.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'3·REPRODUÇÃO'!$A$121:$A$124</c:f>
              <c:strCache>
                <c:ptCount val="4"/>
                <c:pt idx="0">
                  <c:v>5/8 HO, GL</c:v>
                </c:pt>
                <c:pt idx="1">
                  <c:v>Girolando</c:v>
                </c:pt>
                <c:pt idx="2">
                  <c:v>Holandês</c:v>
                </c:pt>
                <c:pt idx="3">
                  <c:v>Jersey</c:v>
                </c:pt>
              </c:strCache>
            </c:strRef>
          </c:cat>
          <c:val>
            <c:numRef>
              <c:f>'3·REPRODUÇÃO'!$C$121:$C$124</c:f>
              <c:numCache>
                <c:formatCode>#,##0;[Red]\(#,##0\);\-</c:formatCode>
                <c:ptCount val="4"/>
                <c:pt idx="0">
                  <c:v>1</c:v>
                </c:pt>
                <c:pt idx="1">
                  <c:v>123</c:v>
                </c:pt>
                <c:pt idx="2">
                  <c:v>53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CD-45E1-B092-81722961E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674035"/>
        <c:axId val="24565452"/>
      </c:barChart>
      <c:lineChart>
        <c:grouping val="standard"/>
        <c:varyColors val="0"/>
        <c:ser>
          <c:idx val="1"/>
          <c:order val="1"/>
          <c:tx>
            <c:strRef>
              <c:f>'3·REPRODUÇÃO'!$D$120</c:f>
              <c:strCache>
                <c:ptCount val="1"/>
                <c:pt idx="0">
                  <c:v>Taxa conc.</c:v>
                </c:pt>
              </c:strCache>
            </c:strRef>
          </c:tx>
          <c:spPr>
            <a:ln w="28080">
              <a:solidFill>
                <a:srgbClr val="B8860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08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'3·REPRODUÇÃO'!$A$121:$A$124</c:f>
              <c:strCache>
                <c:ptCount val="4"/>
                <c:pt idx="0">
                  <c:v>5/8 HO, GL</c:v>
                </c:pt>
                <c:pt idx="1">
                  <c:v>Girolando</c:v>
                </c:pt>
                <c:pt idx="2">
                  <c:v>Holandês</c:v>
                </c:pt>
                <c:pt idx="3">
                  <c:v>Jersey</c:v>
                </c:pt>
              </c:strCache>
            </c:strRef>
          </c:cat>
          <c:val>
            <c:numRef>
              <c:f>'3·REPRODUÇÃO'!$D$121:$D$124</c:f>
              <c:numCache>
                <c:formatCode>0.0%</c:formatCode>
                <c:ptCount val="4"/>
                <c:pt idx="0">
                  <c:v>1</c:v>
                </c:pt>
                <c:pt idx="1">
                  <c:v>0.52564102564102566</c:v>
                </c:pt>
                <c:pt idx="2">
                  <c:v>0.49074074074074076</c:v>
                </c:pt>
                <c:pt idx="3">
                  <c:v>0.18181818181818182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CD-45E1-B092-81722961E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24309834"/>
        <c:axId val="15688518"/>
      </c:lineChart>
      <c:catAx>
        <c:axId val="2167403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24565452"/>
        <c:crosses val="autoZero"/>
        <c:auto val="1"/>
        <c:lblAlgn val="ctr"/>
        <c:lblOffset val="100"/>
        <c:noMultiLvlLbl val="0"/>
      </c:catAx>
      <c:valAx>
        <c:axId val="24565452"/>
        <c:scaling>
          <c:orientation val="minMax"/>
        </c:scaling>
        <c:delete val="0"/>
        <c:axPos val="l"/>
        <c:numFmt formatCode="#,##0;[Red]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21674035"/>
        <c:crosses val="autoZero"/>
        <c:crossBetween val="between"/>
      </c:valAx>
      <c:catAx>
        <c:axId val="2430983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15688518"/>
        <c:crosses val="autoZero"/>
        <c:auto val="1"/>
        <c:lblAlgn val="ctr"/>
        <c:lblOffset val="100"/>
        <c:noMultiLvlLbl val="0"/>
      </c:catAx>
      <c:valAx>
        <c:axId val="15688518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24309834"/>
        <c:crosses val="max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800" b="1" u="none" strike="noStrike">
                <a:solidFill>
                  <a:srgbClr val="000000"/>
                </a:solidFill>
                <a:uFillTx/>
                <a:latin typeface="Calibri"/>
              </a:rPr>
              <a:t>por ORDEM DE PARTO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'3·REPRODUÇÃO'!$C$139</c:f>
              <c:strCache>
                <c:ptCount val="1"/>
                <c:pt idx="0">
                  <c:v>Posit.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numRef>
              <c:f>'3·REPRODUÇÃO'!$A$140:$A$143</c:f>
              <c:numCache>
                <c:formatCode>0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cat>
          <c:val>
            <c:numRef>
              <c:f>'3·REPRODUÇÃO'!$C$140:$C$143</c:f>
              <c:numCache>
                <c:formatCode>#,##0;[Red]\(#,##0\);\-</c:formatCode>
                <c:ptCount val="4"/>
                <c:pt idx="0">
                  <c:v>118</c:v>
                </c:pt>
                <c:pt idx="1">
                  <c:v>45</c:v>
                </c:pt>
                <c:pt idx="2">
                  <c:v>14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A-4850-82D4-1A854D9EE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802385"/>
        <c:axId val="79000609"/>
      </c:barChart>
      <c:lineChart>
        <c:grouping val="standard"/>
        <c:varyColors val="0"/>
        <c:ser>
          <c:idx val="1"/>
          <c:order val="1"/>
          <c:tx>
            <c:strRef>
              <c:f>'3·REPRODUÇÃO'!$D$139</c:f>
              <c:strCache>
                <c:ptCount val="1"/>
                <c:pt idx="0">
                  <c:v>Taxa conc.</c:v>
                </c:pt>
              </c:strCache>
            </c:strRef>
          </c:tx>
          <c:spPr>
            <a:ln w="28080">
              <a:solidFill>
                <a:srgbClr val="B8860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08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numRef>
              <c:f>'3·REPRODUÇÃO'!$A$140:$A$143</c:f>
              <c:numCache>
                <c:formatCode>0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cat>
          <c:val>
            <c:numRef>
              <c:f>'3·REPRODUÇÃO'!$D$140:$D$143</c:f>
              <c:numCache>
                <c:formatCode>0.0%</c:formatCode>
                <c:ptCount val="4"/>
                <c:pt idx="0">
                  <c:v>0.65193370165745856</c:v>
                </c:pt>
                <c:pt idx="1">
                  <c:v>0.375</c:v>
                </c:pt>
                <c:pt idx="2">
                  <c:v>0.29166666666666669</c:v>
                </c:pt>
                <c:pt idx="3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EA-4850-82D4-1A854D9EE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82386377"/>
        <c:axId val="48697825"/>
      </c:lineChart>
      <c:catAx>
        <c:axId val="28802385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79000609"/>
        <c:crosses val="autoZero"/>
        <c:auto val="1"/>
        <c:lblAlgn val="ctr"/>
        <c:lblOffset val="100"/>
        <c:noMultiLvlLbl val="0"/>
      </c:catAx>
      <c:valAx>
        <c:axId val="79000609"/>
        <c:scaling>
          <c:orientation val="minMax"/>
        </c:scaling>
        <c:delete val="0"/>
        <c:axPos val="l"/>
        <c:numFmt formatCode="#,##0;[Red]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28802385"/>
        <c:crosses val="autoZero"/>
        <c:crossBetween val="between"/>
      </c:valAx>
      <c:catAx>
        <c:axId val="823863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48697825"/>
        <c:crosses val="autoZero"/>
        <c:auto val="1"/>
        <c:lblAlgn val="ctr"/>
        <c:lblOffset val="100"/>
        <c:noMultiLvlLbl val="0"/>
      </c:catAx>
      <c:valAx>
        <c:axId val="48697825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82386377"/>
        <c:crosses val="max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800" b="1" u="none" strike="noStrike">
                <a:solidFill>
                  <a:srgbClr val="000000"/>
                </a:solidFill>
                <a:uFillTx/>
                <a:latin typeface="Calibri"/>
              </a:rPr>
              <a:t>por INSEMINADOR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'3·REPRODUÇÃO'!$C$158</c:f>
              <c:strCache>
                <c:ptCount val="1"/>
                <c:pt idx="0">
                  <c:v>Posit.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'3·REPRODUÇÃO'!$A$159:$A$161</c:f>
              <c:strCache>
                <c:ptCount val="3"/>
                <c:pt idx="0">
                  <c:v>JORBESON NUNES</c:v>
                </c:pt>
                <c:pt idx="1">
                  <c:v>LEOMIR BONFIM</c:v>
                </c:pt>
                <c:pt idx="2">
                  <c:v>THIAGO ALPHA ABS</c:v>
                </c:pt>
              </c:strCache>
            </c:strRef>
          </c:cat>
          <c:val>
            <c:numRef>
              <c:f>'3·REPRODUÇÃO'!$C$159:$C$161</c:f>
              <c:numCache>
                <c:formatCode>#,##0;[Red]\(#,##0\);\-</c:formatCode>
                <c:ptCount val="3"/>
                <c:pt idx="0">
                  <c:v>45</c:v>
                </c:pt>
                <c:pt idx="1">
                  <c:v>29</c:v>
                </c:pt>
                <c:pt idx="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31-47DE-B4DA-FC90D796F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89863"/>
        <c:axId val="18222675"/>
      </c:barChart>
      <c:lineChart>
        <c:grouping val="standard"/>
        <c:varyColors val="0"/>
        <c:ser>
          <c:idx val="1"/>
          <c:order val="1"/>
          <c:tx>
            <c:strRef>
              <c:f>'3·REPRODUÇÃO'!$D$158</c:f>
              <c:strCache>
                <c:ptCount val="1"/>
                <c:pt idx="0">
                  <c:v>Taxa conc.</c:v>
                </c:pt>
              </c:strCache>
            </c:strRef>
          </c:tx>
          <c:spPr>
            <a:ln w="28080">
              <a:solidFill>
                <a:srgbClr val="B8860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08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'3·REPRODUÇÃO'!$A$159:$A$161</c:f>
              <c:strCache>
                <c:ptCount val="3"/>
                <c:pt idx="0">
                  <c:v>JORBESON NUNES</c:v>
                </c:pt>
                <c:pt idx="1">
                  <c:v>LEOMIR BONFIM</c:v>
                </c:pt>
                <c:pt idx="2">
                  <c:v>THIAGO ALPHA ABS</c:v>
                </c:pt>
              </c:strCache>
            </c:strRef>
          </c:cat>
          <c:val>
            <c:numRef>
              <c:f>'3·REPRODUÇÃO'!$D$159:$D$161</c:f>
              <c:numCache>
                <c:formatCode>0.0%</c:formatCode>
                <c:ptCount val="3"/>
                <c:pt idx="0">
                  <c:v>0.33333333333333331</c:v>
                </c:pt>
                <c:pt idx="1">
                  <c:v>0.40845070422535212</c:v>
                </c:pt>
                <c:pt idx="2">
                  <c:v>0.6216216216216216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31-47DE-B4DA-FC90D796F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7545579"/>
        <c:axId val="85039373"/>
      </c:lineChart>
      <c:catAx>
        <c:axId val="3298986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18222675"/>
        <c:crosses val="autoZero"/>
        <c:auto val="1"/>
        <c:lblAlgn val="ctr"/>
        <c:lblOffset val="100"/>
        <c:noMultiLvlLbl val="0"/>
      </c:catAx>
      <c:valAx>
        <c:axId val="18222675"/>
        <c:scaling>
          <c:orientation val="minMax"/>
        </c:scaling>
        <c:delete val="0"/>
        <c:axPos val="l"/>
        <c:numFmt formatCode="#,##0;[Red]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32989863"/>
        <c:crosses val="autoZero"/>
        <c:crossBetween val="between"/>
      </c:valAx>
      <c:catAx>
        <c:axId val="754557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85039373"/>
        <c:crosses val="autoZero"/>
        <c:auto val="1"/>
        <c:lblAlgn val="ctr"/>
        <c:lblOffset val="100"/>
        <c:noMultiLvlLbl val="0"/>
      </c:catAx>
      <c:valAx>
        <c:axId val="85039373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7545579"/>
        <c:crosses val="max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800" b="1" u="none" strike="noStrike">
                <a:solidFill>
                  <a:srgbClr val="000000"/>
                </a:solidFill>
                <a:uFillTx/>
                <a:latin typeface="Calibri"/>
              </a:rPr>
              <a:t>por RAÇA DO REPRODUTOR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'3·REPRODUÇÃO'!$C$177</c:f>
              <c:strCache>
                <c:ptCount val="1"/>
                <c:pt idx="0">
                  <c:v>Posit.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'3·REPRODUÇÃO'!$A$178:$A$180</c:f>
              <c:strCache>
                <c:ptCount val="3"/>
                <c:pt idx="0">
                  <c:v>Girolando</c:v>
                </c:pt>
                <c:pt idx="1">
                  <c:v>Holandês</c:v>
                </c:pt>
                <c:pt idx="2">
                  <c:v>Nelore</c:v>
                </c:pt>
              </c:strCache>
            </c:strRef>
          </c:cat>
          <c:val>
            <c:numRef>
              <c:f>'3·REPRODUÇÃO'!$C$178:$C$180</c:f>
              <c:numCache>
                <c:formatCode>#,##0;[Red]\(#,##0\);\-</c:formatCode>
                <c:ptCount val="3"/>
                <c:pt idx="0">
                  <c:v>142</c:v>
                </c:pt>
                <c:pt idx="1">
                  <c:v>35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6-499A-8B77-44E6F765A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95345"/>
        <c:axId val="32529747"/>
      </c:barChart>
      <c:lineChart>
        <c:grouping val="standard"/>
        <c:varyColors val="0"/>
        <c:ser>
          <c:idx val="1"/>
          <c:order val="1"/>
          <c:tx>
            <c:strRef>
              <c:f>'3·REPRODUÇÃO'!$D$177</c:f>
              <c:strCache>
                <c:ptCount val="1"/>
                <c:pt idx="0">
                  <c:v>Taxa conc.</c:v>
                </c:pt>
              </c:strCache>
            </c:strRef>
          </c:tx>
          <c:spPr>
            <a:ln w="28080">
              <a:solidFill>
                <a:srgbClr val="B8860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08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'3·REPRODUÇÃO'!$A$178:$A$180</c:f>
              <c:strCache>
                <c:ptCount val="3"/>
                <c:pt idx="0">
                  <c:v>Girolando</c:v>
                </c:pt>
                <c:pt idx="1">
                  <c:v>Holandês</c:v>
                </c:pt>
                <c:pt idx="2">
                  <c:v>Nelore</c:v>
                </c:pt>
              </c:strCache>
            </c:strRef>
          </c:cat>
          <c:val>
            <c:numRef>
              <c:f>'3·REPRODUÇÃO'!$D$178:$D$180</c:f>
              <c:numCache>
                <c:formatCode>0.0%</c:formatCode>
                <c:ptCount val="3"/>
                <c:pt idx="0">
                  <c:v>0.5220588235294118</c:v>
                </c:pt>
                <c:pt idx="1">
                  <c:v>0.4375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16-499A-8B77-44E6F765A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22617939"/>
        <c:axId val="38184244"/>
      </c:lineChart>
      <c:catAx>
        <c:axId val="2079534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32529747"/>
        <c:crosses val="autoZero"/>
        <c:auto val="1"/>
        <c:lblAlgn val="ctr"/>
        <c:lblOffset val="100"/>
        <c:noMultiLvlLbl val="0"/>
      </c:catAx>
      <c:valAx>
        <c:axId val="32529747"/>
        <c:scaling>
          <c:orientation val="minMax"/>
        </c:scaling>
        <c:delete val="0"/>
        <c:axPos val="l"/>
        <c:numFmt formatCode="#,##0;[Red]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20795345"/>
        <c:crosses val="autoZero"/>
        <c:crossBetween val="between"/>
      </c:valAx>
      <c:catAx>
        <c:axId val="2261793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38184244"/>
        <c:crosses val="autoZero"/>
        <c:auto val="1"/>
        <c:lblAlgn val="ctr"/>
        <c:lblOffset val="100"/>
        <c:noMultiLvlLbl val="0"/>
      </c:catAx>
      <c:valAx>
        <c:axId val="38184244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22617939"/>
        <c:crosses val="max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800" b="1" u="none" strike="noStrike">
                <a:solidFill>
                  <a:srgbClr val="000000"/>
                </a:solidFill>
                <a:uFillTx/>
                <a:latin typeface="Calibri"/>
              </a:rPr>
              <a:t>por TOURO / SÊMEN (top 15)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'3·REPRODUÇÃO'!$C$196</c:f>
              <c:strCache>
                <c:ptCount val="1"/>
                <c:pt idx="0">
                  <c:v>Posit.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'3·REPRODUÇÃO'!$A$197:$A$211</c:f>
              <c:strCache>
                <c:ptCount val="15"/>
                <c:pt idx="0">
                  <c:v>-53431</c:v>
                </c:pt>
                <c:pt idx="1">
                  <c:v>-867</c:v>
                </c:pt>
                <c:pt idx="2">
                  <c:v>A.R.K. MYTYME HILLUX</c:v>
                </c:pt>
                <c:pt idx="3">
                  <c:v>A.R.K. STARGAZER MES</c:v>
                </c:pt>
                <c:pt idx="4">
                  <c:v>CAMPEAO FIV RIO DO L</c:v>
                </c:pt>
                <c:pt idx="5">
                  <c:v>COORS</c:v>
                </c:pt>
                <c:pt idx="6">
                  <c:v>DESCONHECIDO 0</c:v>
                </c:pt>
                <c:pt idx="7">
                  <c:v>GUINESS</c:v>
                </c:pt>
                <c:pt idx="8">
                  <c:v>METEORO</c:v>
                </c:pt>
                <c:pt idx="9">
                  <c:v>N. INF</c:v>
                </c:pt>
                <c:pt idx="10">
                  <c:v>NABIL</c:v>
                </c:pt>
                <c:pt idx="11">
                  <c:v>ROBO</c:v>
                </c:pt>
                <c:pt idx="12">
                  <c:v>SEVAVERDE</c:v>
                </c:pt>
                <c:pt idx="13">
                  <c:v>SUCESSOR</c:v>
                </c:pt>
                <c:pt idx="14">
                  <c:v>TOURO</c:v>
                </c:pt>
              </c:strCache>
            </c:strRef>
          </c:cat>
          <c:val>
            <c:numRef>
              <c:f>'3·REPRODUÇÃO'!$C$197:$C$211</c:f>
              <c:numCache>
                <c:formatCode>#,##0;[Red]\(#,##0\);\-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16</c:v>
                </c:pt>
                <c:pt idx="4">
                  <c:v>1</c:v>
                </c:pt>
                <c:pt idx="5">
                  <c:v>6</c:v>
                </c:pt>
                <c:pt idx="6">
                  <c:v>19</c:v>
                </c:pt>
                <c:pt idx="7">
                  <c:v>0</c:v>
                </c:pt>
                <c:pt idx="8">
                  <c:v>2</c:v>
                </c:pt>
                <c:pt idx="9">
                  <c:v>31</c:v>
                </c:pt>
                <c:pt idx="10">
                  <c:v>1</c:v>
                </c:pt>
                <c:pt idx="11">
                  <c:v>33</c:v>
                </c:pt>
                <c:pt idx="12">
                  <c:v>1</c:v>
                </c:pt>
                <c:pt idx="13">
                  <c:v>2</c:v>
                </c:pt>
                <c:pt idx="1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F8-4FAA-B855-4503026D0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896409"/>
        <c:axId val="93948354"/>
      </c:barChart>
      <c:lineChart>
        <c:grouping val="standard"/>
        <c:varyColors val="0"/>
        <c:ser>
          <c:idx val="1"/>
          <c:order val="1"/>
          <c:tx>
            <c:strRef>
              <c:f>'3·REPRODUÇÃO'!$D$196</c:f>
              <c:strCache>
                <c:ptCount val="1"/>
                <c:pt idx="0">
                  <c:v>Taxa conc.</c:v>
                </c:pt>
              </c:strCache>
            </c:strRef>
          </c:tx>
          <c:spPr>
            <a:ln w="28080">
              <a:solidFill>
                <a:srgbClr val="B8860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08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'3·REPRODUÇÃO'!$A$197:$A$211</c:f>
              <c:strCache>
                <c:ptCount val="15"/>
                <c:pt idx="0">
                  <c:v>-53431</c:v>
                </c:pt>
                <c:pt idx="1">
                  <c:v>-867</c:v>
                </c:pt>
                <c:pt idx="2">
                  <c:v>A.R.K. MYTYME HILLUX</c:v>
                </c:pt>
                <c:pt idx="3">
                  <c:v>A.R.K. STARGAZER MES</c:v>
                </c:pt>
                <c:pt idx="4">
                  <c:v>CAMPEAO FIV RIO DO L</c:v>
                </c:pt>
                <c:pt idx="5">
                  <c:v>COORS</c:v>
                </c:pt>
                <c:pt idx="6">
                  <c:v>DESCONHECIDO 0</c:v>
                </c:pt>
                <c:pt idx="7">
                  <c:v>GUINESS</c:v>
                </c:pt>
                <c:pt idx="8">
                  <c:v>METEORO</c:v>
                </c:pt>
                <c:pt idx="9">
                  <c:v>N. INF</c:v>
                </c:pt>
                <c:pt idx="10">
                  <c:v>NABIL</c:v>
                </c:pt>
                <c:pt idx="11">
                  <c:v>ROBO</c:v>
                </c:pt>
                <c:pt idx="12">
                  <c:v>SEVAVERDE</c:v>
                </c:pt>
                <c:pt idx="13">
                  <c:v>SUCESSOR</c:v>
                </c:pt>
                <c:pt idx="14">
                  <c:v>TOURO</c:v>
                </c:pt>
              </c:strCache>
            </c:strRef>
          </c:cat>
          <c:val>
            <c:numRef>
              <c:f>'3·REPRODUÇÃO'!$D$197:$D$211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0.21739130434782608</c:v>
                </c:pt>
                <c:pt idx="3">
                  <c:v>0.8</c:v>
                </c:pt>
                <c:pt idx="4">
                  <c:v>0.125</c:v>
                </c:pt>
                <c:pt idx="5">
                  <c:v>0.35294117647058826</c:v>
                </c:pt>
                <c:pt idx="6">
                  <c:v>0.6785714285714286</c:v>
                </c:pt>
                <c:pt idx="7">
                  <c:v>0</c:v>
                </c:pt>
                <c:pt idx="8">
                  <c:v>0.2</c:v>
                </c:pt>
                <c:pt idx="9">
                  <c:v>0.93939393939393945</c:v>
                </c:pt>
                <c:pt idx="10">
                  <c:v>0.1111111111111111</c:v>
                </c:pt>
                <c:pt idx="11">
                  <c:v>0.44</c:v>
                </c:pt>
                <c:pt idx="12">
                  <c:v>0.16666666666666666</c:v>
                </c:pt>
                <c:pt idx="13">
                  <c:v>0.22222222222222221</c:v>
                </c:pt>
                <c:pt idx="14">
                  <c:v>0.88235294117647056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F8-4FAA-B855-4503026D0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17368065"/>
        <c:axId val="58934371"/>
      </c:lineChart>
      <c:catAx>
        <c:axId val="4589640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93948354"/>
        <c:crosses val="autoZero"/>
        <c:auto val="1"/>
        <c:lblAlgn val="ctr"/>
        <c:lblOffset val="100"/>
        <c:noMultiLvlLbl val="0"/>
      </c:catAx>
      <c:valAx>
        <c:axId val="93948354"/>
        <c:scaling>
          <c:orientation val="minMax"/>
        </c:scaling>
        <c:delete val="0"/>
        <c:axPos val="l"/>
        <c:numFmt formatCode="#,##0;[Red]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45896409"/>
        <c:crosses val="autoZero"/>
        <c:crossBetween val="between"/>
      </c:valAx>
      <c:catAx>
        <c:axId val="1736806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58934371"/>
        <c:crosses val="autoZero"/>
        <c:auto val="1"/>
        <c:lblAlgn val="ctr"/>
        <c:lblOffset val="100"/>
        <c:noMultiLvlLbl val="0"/>
      </c:catAx>
      <c:valAx>
        <c:axId val="58934371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17368065"/>
        <c:crosses val="max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800" b="1" u="none" strike="noStrike">
                <a:solidFill>
                  <a:srgbClr val="000000"/>
                </a:solidFill>
                <a:uFillTx/>
                <a:latin typeface="Calibri"/>
              </a:rPr>
              <a:t>por FAIXA DE DEL no serviço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'3·REPRODUÇÃO'!$C$215</c:f>
              <c:strCache>
                <c:ptCount val="1"/>
                <c:pt idx="0">
                  <c:v>Posit.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'3·REPRODUÇÃO'!$A$216:$A$236</c:f>
              <c:strCache>
                <c:ptCount val="21"/>
                <c:pt idx="0">
                  <c:v>022-042</c:v>
                </c:pt>
                <c:pt idx="1">
                  <c:v>043-063</c:v>
                </c:pt>
                <c:pt idx="2">
                  <c:v>064-084</c:v>
                </c:pt>
                <c:pt idx="3">
                  <c:v>085-105</c:v>
                </c:pt>
                <c:pt idx="4">
                  <c:v>106-126</c:v>
                </c:pt>
                <c:pt idx="5">
                  <c:v>127-147</c:v>
                </c:pt>
                <c:pt idx="6">
                  <c:v>148-168</c:v>
                </c:pt>
                <c:pt idx="7">
                  <c:v>169-189</c:v>
                </c:pt>
                <c:pt idx="8">
                  <c:v>190-210</c:v>
                </c:pt>
                <c:pt idx="9">
                  <c:v>211-231</c:v>
                </c:pt>
                <c:pt idx="10">
                  <c:v>232-252</c:v>
                </c:pt>
                <c:pt idx="11">
                  <c:v>253-273</c:v>
                </c:pt>
                <c:pt idx="12">
                  <c:v>274-294</c:v>
                </c:pt>
                <c:pt idx="13">
                  <c:v>295-315</c:v>
                </c:pt>
                <c:pt idx="14">
                  <c:v>316-336</c:v>
                </c:pt>
                <c:pt idx="15">
                  <c:v>337-357</c:v>
                </c:pt>
                <c:pt idx="16">
                  <c:v>358-378</c:v>
                </c:pt>
                <c:pt idx="17">
                  <c:v>379-399</c:v>
                </c:pt>
                <c:pt idx="18">
                  <c:v>400-420</c:v>
                </c:pt>
                <c:pt idx="19">
                  <c:v>421-441</c:v>
                </c:pt>
                <c:pt idx="20">
                  <c:v>442-462</c:v>
                </c:pt>
              </c:strCache>
            </c:strRef>
          </c:cat>
          <c:val>
            <c:numRef>
              <c:f>'3·REPRODUÇÃO'!$C$216:$C$236</c:f>
              <c:numCache>
                <c:formatCode>#,##0;[Red]\(#,##0\);\-</c:formatCode>
                <c:ptCount val="21"/>
                <c:pt idx="0">
                  <c:v>3</c:v>
                </c:pt>
                <c:pt idx="1">
                  <c:v>11</c:v>
                </c:pt>
                <c:pt idx="2">
                  <c:v>6</c:v>
                </c:pt>
                <c:pt idx="3">
                  <c:v>11</c:v>
                </c:pt>
                <c:pt idx="4">
                  <c:v>4</c:v>
                </c:pt>
                <c:pt idx="5">
                  <c:v>7</c:v>
                </c:pt>
                <c:pt idx="6">
                  <c:v>2</c:v>
                </c:pt>
                <c:pt idx="7">
                  <c:v>5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DA-4DF7-8D53-1C728CE85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49585"/>
        <c:axId val="39145470"/>
      </c:barChart>
      <c:lineChart>
        <c:grouping val="standard"/>
        <c:varyColors val="0"/>
        <c:ser>
          <c:idx val="1"/>
          <c:order val="1"/>
          <c:tx>
            <c:strRef>
              <c:f>'3·REPRODUÇÃO'!$D$215</c:f>
              <c:strCache>
                <c:ptCount val="1"/>
                <c:pt idx="0">
                  <c:v>Taxa conc.</c:v>
                </c:pt>
              </c:strCache>
            </c:strRef>
          </c:tx>
          <c:spPr>
            <a:ln w="28080">
              <a:solidFill>
                <a:srgbClr val="B8860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08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'3·REPRODUÇÃO'!$A$216:$A$236</c:f>
              <c:strCache>
                <c:ptCount val="21"/>
                <c:pt idx="0">
                  <c:v>022-042</c:v>
                </c:pt>
                <c:pt idx="1">
                  <c:v>043-063</c:v>
                </c:pt>
                <c:pt idx="2">
                  <c:v>064-084</c:v>
                </c:pt>
                <c:pt idx="3">
                  <c:v>085-105</c:v>
                </c:pt>
                <c:pt idx="4">
                  <c:v>106-126</c:v>
                </c:pt>
                <c:pt idx="5">
                  <c:v>127-147</c:v>
                </c:pt>
                <c:pt idx="6">
                  <c:v>148-168</c:v>
                </c:pt>
                <c:pt idx="7">
                  <c:v>169-189</c:v>
                </c:pt>
                <c:pt idx="8">
                  <c:v>190-210</c:v>
                </c:pt>
                <c:pt idx="9">
                  <c:v>211-231</c:v>
                </c:pt>
                <c:pt idx="10">
                  <c:v>232-252</c:v>
                </c:pt>
                <c:pt idx="11">
                  <c:v>253-273</c:v>
                </c:pt>
                <c:pt idx="12">
                  <c:v>274-294</c:v>
                </c:pt>
                <c:pt idx="13">
                  <c:v>295-315</c:v>
                </c:pt>
                <c:pt idx="14">
                  <c:v>316-336</c:v>
                </c:pt>
                <c:pt idx="15">
                  <c:v>337-357</c:v>
                </c:pt>
                <c:pt idx="16">
                  <c:v>358-378</c:v>
                </c:pt>
                <c:pt idx="17">
                  <c:v>379-399</c:v>
                </c:pt>
                <c:pt idx="18">
                  <c:v>400-420</c:v>
                </c:pt>
                <c:pt idx="19">
                  <c:v>421-441</c:v>
                </c:pt>
                <c:pt idx="20">
                  <c:v>442-462</c:v>
                </c:pt>
              </c:strCache>
            </c:strRef>
          </c:cat>
          <c:val>
            <c:numRef>
              <c:f>'3·REPRODUÇÃO'!$D$216:$D$236</c:f>
              <c:numCache>
                <c:formatCode>0.0%</c:formatCode>
                <c:ptCount val="21"/>
                <c:pt idx="0">
                  <c:v>0.25</c:v>
                </c:pt>
                <c:pt idx="1">
                  <c:v>0.47826086956521741</c:v>
                </c:pt>
                <c:pt idx="2">
                  <c:v>0.22222222222222221</c:v>
                </c:pt>
                <c:pt idx="3">
                  <c:v>0.5</c:v>
                </c:pt>
                <c:pt idx="4">
                  <c:v>0.2857142857142857</c:v>
                </c:pt>
                <c:pt idx="5">
                  <c:v>0.53846153846153844</c:v>
                </c:pt>
                <c:pt idx="6">
                  <c:v>0.25</c:v>
                </c:pt>
                <c:pt idx="7">
                  <c:v>0.41666666666666669</c:v>
                </c:pt>
                <c:pt idx="8">
                  <c:v>0.5</c:v>
                </c:pt>
                <c:pt idx="9">
                  <c:v>0.2857142857142857</c:v>
                </c:pt>
                <c:pt idx="10">
                  <c:v>0.33333333333333331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0.25</c:v>
                </c:pt>
                <c:pt idx="16">
                  <c:v>0</c:v>
                </c:pt>
                <c:pt idx="17">
                  <c:v>1</c:v>
                </c:pt>
                <c:pt idx="18">
                  <c:v>0.5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DA-4DF7-8D53-1C728CE85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50640803"/>
        <c:axId val="46473228"/>
      </c:lineChart>
      <c:catAx>
        <c:axId val="2104958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39145470"/>
        <c:crosses val="autoZero"/>
        <c:auto val="1"/>
        <c:lblAlgn val="ctr"/>
        <c:lblOffset val="100"/>
        <c:noMultiLvlLbl val="0"/>
      </c:catAx>
      <c:valAx>
        <c:axId val="39145470"/>
        <c:scaling>
          <c:orientation val="minMax"/>
        </c:scaling>
        <c:delete val="0"/>
        <c:axPos val="l"/>
        <c:numFmt formatCode="#,##0;[Red]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21049585"/>
        <c:crosses val="autoZero"/>
        <c:crossBetween val="between"/>
      </c:valAx>
      <c:catAx>
        <c:axId val="5064080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46473228"/>
        <c:crosses val="autoZero"/>
        <c:auto val="1"/>
        <c:lblAlgn val="ctr"/>
        <c:lblOffset val="100"/>
        <c:noMultiLvlLbl val="0"/>
      </c:catAx>
      <c:valAx>
        <c:axId val="46473228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50640803"/>
        <c:crosses val="max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800" b="1" u="none" strike="noStrike">
                <a:solidFill>
                  <a:srgbClr val="000000"/>
                </a:solidFill>
                <a:uFillTx/>
                <a:latin typeface="Calibri"/>
              </a:rPr>
              <a:t>por RETENÇÃO DE PLACENTA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'3·REPRODUÇÃO'!$C$239</c:f>
              <c:strCache>
                <c:ptCount val="1"/>
                <c:pt idx="0">
                  <c:v>Posit.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'3·REPRODUÇÃO'!$A$240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'3·REPRODUÇÃO'!$C$240</c:f>
              <c:numCache>
                <c:formatCode>#,##0;[Red]\(#,##0\);\-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4-47ED-B996-3DB7D9F29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879788"/>
        <c:axId val="26100739"/>
      </c:barChart>
      <c:lineChart>
        <c:grouping val="standard"/>
        <c:varyColors val="0"/>
        <c:ser>
          <c:idx val="1"/>
          <c:order val="1"/>
          <c:tx>
            <c:strRef>
              <c:f>'3·REPRODUÇÃO'!$D$239</c:f>
              <c:strCache>
                <c:ptCount val="1"/>
                <c:pt idx="0">
                  <c:v>Taxa conc.</c:v>
                </c:pt>
              </c:strCache>
            </c:strRef>
          </c:tx>
          <c:spPr>
            <a:ln w="28080">
              <a:solidFill>
                <a:srgbClr val="B8860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08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'3·REPRODUÇÃO'!$A$240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'3·REPRODUÇÃO'!$D$240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4-47ED-B996-3DB7D9F29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57901723"/>
        <c:axId val="99650008"/>
      </c:lineChart>
      <c:catAx>
        <c:axId val="988797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26100739"/>
        <c:crosses val="autoZero"/>
        <c:auto val="1"/>
        <c:lblAlgn val="ctr"/>
        <c:lblOffset val="100"/>
        <c:noMultiLvlLbl val="0"/>
      </c:catAx>
      <c:valAx>
        <c:axId val="26100739"/>
        <c:scaling>
          <c:orientation val="minMax"/>
        </c:scaling>
        <c:delete val="0"/>
        <c:axPos val="l"/>
        <c:numFmt formatCode="#,##0;[Red]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98879788"/>
        <c:crosses val="autoZero"/>
        <c:crossBetween val="between"/>
      </c:valAx>
      <c:catAx>
        <c:axId val="5790172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99650008"/>
        <c:crosses val="autoZero"/>
        <c:auto val="1"/>
        <c:lblAlgn val="ctr"/>
        <c:lblOffset val="100"/>
        <c:noMultiLvlLbl val="0"/>
      </c:catAx>
      <c:valAx>
        <c:axId val="99650008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57901723"/>
        <c:crosses val="max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Taxa de concepção × Perda de prenhez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'3.1·REP-RESUMO'!$C$8</c:f>
              <c:strCache>
                <c:ptCount val="1"/>
                <c:pt idx="0">
                  <c:v>Taxa conc.</c:v>
                </c:pt>
              </c:strCache>
            </c:strRef>
          </c:tx>
          <c:spPr>
            <a:ln w="25920">
              <a:solidFill>
                <a:srgbClr val="8A2A45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592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'3.1·REP-RESUMO'!$A$9:$A$52</c15:sqref>
                  </c15:fullRef>
                </c:ext>
              </c:extLst>
              <c:f>'3.1·REP-RESUMO'!$A$47:$A$52</c:f>
              <c:strCache>
                <c:ptCount val="6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'3.1·REP-RESUMO'!$C$9:$C$52</c15:sqref>
                  </c15:fullRef>
                </c:ext>
              </c:extLst>
              <c:f>'3.1·REP-RESUMO'!$C$47:$C$52</c:f>
              <c:numCache>
                <c:formatCode>0.0%</c:formatCode>
                <c:ptCount val="6"/>
                <c:pt idx="0">
                  <c:v>0.75</c:v>
                </c:pt>
                <c:pt idx="1">
                  <c:v>0.72727272727272729</c:v>
                </c:pt>
                <c:pt idx="2">
                  <c:v>0.68421052631578949</c:v>
                </c:pt>
                <c:pt idx="3">
                  <c:v>0.3</c:v>
                </c:pt>
                <c:pt idx="4">
                  <c:v>0.5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77-4138-8B72-D63A5A946CFE}"/>
            </c:ext>
          </c:extLst>
        </c:ser>
        <c:ser>
          <c:idx val="1"/>
          <c:order val="1"/>
          <c:tx>
            <c:strRef>
              <c:f>'3.1·REP-RESUMO'!$D$8</c:f>
              <c:strCache>
                <c:ptCount val="1"/>
                <c:pt idx="0">
                  <c:v>Perda %</c:v>
                </c:pt>
              </c:strCache>
            </c:strRef>
          </c:tx>
          <c:spPr>
            <a:ln w="25920">
              <a:solidFill>
                <a:srgbClr val="B8860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592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'3.1·REP-RESUMO'!$A$9:$A$52</c15:sqref>
                  </c15:fullRef>
                </c:ext>
              </c:extLst>
              <c:f>'3.1·REP-RESUMO'!$A$47:$A$52</c:f>
              <c:strCache>
                <c:ptCount val="6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'3.1·REP-RESUMO'!$D$9:$D$52</c15:sqref>
                  </c15:fullRef>
                </c:ext>
              </c:extLst>
              <c:f>'3.1·REP-RESUMO'!$D$47:$D$52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7.6923076923076927E-2</c:v>
                </c:pt>
                <c:pt idx="3">
                  <c:v>0</c:v>
                </c:pt>
                <c:pt idx="4">
                  <c:v>0.16666666666666666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77-4138-8B72-D63A5A946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79857317"/>
        <c:axId val="61752695"/>
      </c:lineChart>
      <c:catAx>
        <c:axId val="7985731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61752695"/>
        <c:crosses val="autoZero"/>
        <c:auto val="1"/>
        <c:lblAlgn val="ctr"/>
        <c:lblOffset val="100"/>
        <c:noMultiLvlLbl val="0"/>
      </c:catAx>
      <c:valAx>
        <c:axId val="61752695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79857317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Cobertura × Inseminação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'3.1·REP-RESUMO'!$E$8</c:f>
              <c:strCache>
                <c:ptCount val="1"/>
                <c:pt idx="0">
                  <c:v>% Cobertura</c:v>
                </c:pt>
              </c:strCache>
            </c:strRef>
          </c:tx>
          <c:spPr>
            <a:ln w="25920">
              <a:solidFill>
                <a:srgbClr val="8A2A45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592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'3.1·REP-RESUMO'!$A$9:$A$52</c:f>
              <c:strCache>
                <c:ptCount val="44"/>
                <c:pt idx="0">
                  <c:v>2022-09</c:v>
                </c:pt>
                <c:pt idx="1">
                  <c:v>2022-10</c:v>
                </c:pt>
                <c:pt idx="2">
                  <c:v>2022-11</c:v>
                </c:pt>
                <c:pt idx="3">
                  <c:v>2022-12</c:v>
                </c:pt>
                <c:pt idx="4">
                  <c:v>2023-01</c:v>
                </c:pt>
                <c:pt idx="5">
                  <c:v>2023-02</c:v>
                </c:pt>
                <c:pt idx="6">
                  <c:v>2023-04</c:v>
                </c:pt>
                <c:pt idx="7">
                  <c:v>2023-05</c:v>
                </c:pt>
                <c:pt idx="8">
                  <c:v>2023-06</c:v>
                </c:pt>
                <c:pt idx="9">
                  <c:v>2023-07</c:v>
                </c:pt>
                <c:pt idx="10">
                  <c:v>2023-08</c:v>
                </c:pt>
                <c:pt idx="11">
                  <c:v>2023-09</c:v>
                </c:pt>
                <c:pt idx="12">
                  <c:v>2023-10</c:v>
                </c:pt>
                <c:pt idx="13">
                  <c:v>2023-11</c:v>
                </c:pt>
                <c:pt idx="14">
                  <c:v>2023-12</c:v>
                </c:pt>
                <c:pt idx="15">
                  <c:v>2024-01</c:v>
                </c:pt>
                <c:pt idx="16">
                  <c:v>2024-02</c:v>
                </c:pt>
                <c:pt idx="17">
                  <c:v>2024-03</c:v>
                </c:pt>
                <c:pt idx="18">
                  <c:v>2024-04</c:v>
                </c:pt>
                <c:pt idx="19">
                  <c:v>2024-05</c:v>
                </c:pt>
                <c:pt idx="20">
                  <c:v>2024-06</c:v>
                </c:pt>
                <c:pt idx="21">
                  <c:v>2024-07</c:v>
                </c:pt>
                <c:pt idx="22">
                  <c:v>2024-08</c:v>
                </c:pt>
                <c:pt idx="23">
                  <c:v>2024-09</c:v>
                </c:pt>
                <c:pt idx="24">
                  <c:v>2024-10</c:v>
                </c:pt>
                <c:pt idx="25">
                  <c:v>2024-11</c:v>
                </c:pt>
                <c:pt idx="26">
                  <c:v>2024-12</c:v>
                </c:pt>
                <c:pt idx="27">
                  <c:v>2025-01</c:v>
                </c:pt>
                <c:pt idx="28">
                  <c:v>2025-02</c:v>
                </c:pt>
                <c:pt idx="29">
                  <c:v>2025-03</c:v>
                </c:pt>
                <c:pt idx="30">
                  <c:v>2025-04</c:v>
                </c:pt>
                <c:pt idx="31">
                  <c:v>2025-05</c:v>
                </c:pt>
                <c:pt idx="32">
                  <c:v>2025-07</c:v>
                </c:pt>
                <c:pt idx="33">
                  <c:v>2025-08</c:v>
                </c:pt>
                <c:pt idx="34">
                  <c:v>2025-09</c:v>
                </c:pt>
                <c:pt idx="35">
                  <c:v>2025-10</c:v>
                </c:pt>
                <c:pt idx="36">
                  <c:v>2025-11</c:v>
                </c:pt>
                <c:pt idx="37">
                  <c:v>2025-12</c:v>
                </c:pt>
                <c:pt idx="38">
                  <c:v>2026-01</c:v>
                </c:pt>
                <c:pt idx="39">
                  <c:v>2026-02</c:v>
                </c:pt>
                <c:pt idx="40">
                  <c:v>2026-03</c:v>
                </c:pt>
                <c:pt idx="41">
                  <c:v>2026-04</c:v>
                </c:pt>
                <c:pt idx="42">
                  <c:v>2026-05</c:v>
                </c:pt>
                <c:pt idx="43">
                  <c:v>2026-06</c:v>
                </c:pt>
              </c:strCache>
            </c:strRef>
          </c:cat>
          <c:val>
            <c:numRef>
              <c:f>'3.1·REP-RESUMO'!$E$9:$E$52</c:f>
              <c:numCache>
                <c:formatCode>0.0%</c:formatCode>
                <c:ptCount val="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9.0909090909090912E-2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0.22222222222222221</c:v>
                </c:pt>
                <c:pt idx="23">
                  <c:v>0</c:v>
                </c:pt>
                <c:pt idx="24">
                  <c:v>0.2857142857142857</c:v>
                </c:pt>
                <c:pt idx="25">
                  <c:v>0.5</c:v>
                </c:pt>
                <c:pt idx="26">
                  <c:v>0.25</c:v>
                </c:pt>
                <c:pt idx="27">
                  <c:v>0.25</c:v>
                </c:pt>
                <c:pt idx="28">
                  <c:v>9.0909090909090912E-2</c:v>
                </c:pt>
                <c:pt idx="29">
                  <c:v>0</c:v>
                </c:pt>
                <c:pt idx="30">
                  <c:v>0.125</c:v>
                </c:pt>
                <c:pt idx="31">
                  <c:v>0</c:v>
                </c:pt>
                <c:pt idx="32">
                  <c:v>6.6666666666666666E-2</c:v>
                </c:pt>
                <c:pt idx="33">
                  <c:v>5.8823529411764705E-2</c:v>
                </c:pt>
                <c:pt idx="34">
                  <c:v>0.2</c:v>
                </c:pt>
                <c:pt idx="35">
                  <c:v>0.15789473684210525</c:v>
                </c:pt>
                <c:pt idx="36">
                  <c:v>0.04</c:v>
                </c:pt>
                <c:pt idx="37">
                  <c:v>0.16666666666666666</c:v>
                </c:pt>
                <c:pt idx="38">
                  <c:v>0.25</c:v>
                </c:pt>
                <c:pt idx="39">
                  <c:v>0.18181818181818182</c:v>
                </c:pt>
                <c:pt idx="40">
                  <c:v>0.47368421052631576</c:v>
                </c:pt>
                <c:pt idx="41">
                  <c:v>0.2</c:v>
                </c:pt>
                <c:pt idx="42">
                  <c:v>0.25</c:v>
                </c:pt>
                <c:pt idx="43">
                  <c:v>0.11764705882352941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BB-441B-BCCA-1EB8D9ADAB66}"/>
            </c:ext>
          </c:extLst>
        </c:ser>
        <c:ser>
          <c:idx val="1"/>
          <c:order val="1"/>
          <c:tx>
            <c:strRef>
              <c:f>'3.1·REP-RESUMO'!$F$8</c:f>
              <c:strCache>
                <c:ptCount val="1"/>
                <c:pt idx="0">
                  <c:v>% Inseminação</c:v>
                </c:pt>
              </c:strCache>
            </c:strRef>
          </c:tx>
          <c:spPr>
            <a:ln w="25920">
              <a:solidFill>
                <a:srgbClr val="B8860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592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'3.1·REP-RESUMO'!$A$9:$A$52</c:f>
              <c:strCache>
                <c:ptCount val="44"/>
                <c:pt idx="0">
                  <c:v>2022-09</c:v>
                </c:pt>
                <c:pt idx="1">
                  <c:v>2022-10</c:v>
                </c:pt>
                <c:pt idx="2">
                  <c:v>2022-11</c:v>
                </c:pt>
                <c:pt idx="3">
                  <c:v>2022-12</c:v>
                </c:pt>
                <c:pt idx="4">
                  <c:v>2023-01</c:v>
                </c:pt>
                <c:pt idx="5">
                  <c:v>2023-02</c:v>
                </c:pt>
                <c:pt idx="6">
                  <c:v>2023-04</c:v>
                </c:pt>
                <c:pt idx="7">
                  <c:v>2023-05</c:v>
                </c:pt>
                <c:pt idx="8">
                  <c:v>2023-06</c:v>
                </c:pt>
                <c:pt idx="9">
                  <c:v>2023-07</c:v>
                </c:pt>
                <c:pt idx="10">
                  <c:v>2023-08</c:v>
                </c:pt>
                <c:pt idx="11">
                  <c:v>2023-09</c:v>
                </c:pt>
                <c:pt idx="12">
                  <c:v>2023-10</c:v>
                </c:pt>
                <c:pt idx="13">
                  <c:v>2023-11</c:v>
                </c:pt>
                <c:pt idx="14">
                  <c:v>2023-12</c:v>
                </c:pt>
                <c:pt idx="15">
                  <c:v>2024-01</c:v>
                </c:pt>
                <c:pt idx="16">
                  <c:v>2024-02</c:v>
                </c:pt>
                <c:pt idx="17">
                  <c:v>2024-03</c:v>
                </c:pt>
                <c:pt idx="18">
                  <c:v>2024-04</c:v>
                </c:pt>
                <c:pt idx="19">
                  <c:v>2024-05</c:v>
                </c:pt>
                <c:pt idx="20">
                  <c:v>2024-06</c:v>
                </c:pt>
                <c:pt idx="21">
                  <c:v>2024-07</c:v>
                </c:pt>
                <c:pt idx="22">
                  <c:v>2024-08</c:v>
                </c:pt>
                <c:pt idx="23">
                  <c:v>2024-09</c:v>
                </c:pt>
                <c:pt idx="24">
                  <c:v>2024-10</c:v>
                </c:pt>
                <c:pt idx="25">
                  <c:v>2024-11</c:v>
                </c:pt>
                <c:pt idx="26">
                  <c:v>2024-12</c:v>
                </c:pt>
                <c:pt idx="27">
                  <c:v>2025-01</c:v>
                </c:pt>
                <c:pt idx="28">
                  <c:v>2025-02</c:v>
                </c:pt>
                <c:pt idx="29">
                  <c:v>2025-03</c:v>
                </c:pt>
                <c:pt idx="30">
                  <c:v>2025-04</c:v>
                </c:pt>
                <c:pt idx="31">
                  <c:v>2025-05</c:v>
                </c:pt>
                <c:pt idx="32">
                  <c:v>2025-07</c:v>
                </c:pt>
                <c:pt idx="33">
                  <c:v>2025-08</c:v>
                </c:pt>
                <c:pt idx="34">
                  <c:v>2025-09</c:v>
                </c:pt>
                <c:pt idx="35">
                  <c:v>2025-10</c:v>
                </c:pt>
                <c:pt idx="36">
                  <c:v>2025-11</c:v>
                </c:pt>
                <c:pt idx="37">
                  <c:v>2025-12</c:v>
                </c:pt>
                <c:pt idx="38">
                  <c:v>2026-01</c:v>
                </c:pt>
                <c:pt idx="39">
                  <c:v>2026-02</c:v>
                </c:pt>
                <c:pt idx="40">
                  <c:v>2026-03</c:v>
                </c:pt>
                <c:pt idx="41">
                  <c:v>2026-04</c:v>
                </c:pt>
                <c:pt idx="42">
                  <c:v>2026-05</c:v>
                </c:pt>
                <c:pt idx="43">
                  <c:v>2026-06</c:v>
                </c:pt>
              </c:strCache>
            </c:strRef>
          </c:cat>
          <c:val>
            <c:numRef>
              <c:f>'3.1·REP-RESUMO'!$F$9:$F$52</c:f>
              <c:numCache>
                <c:formatCode>0.0%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0.75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0.90909090909090906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0.77777777777777779</c:v>
                </c:pt>
                <c:pt idx="23">
                  <c:v>1</c:v>
                </c:pt>
                <c:pt idx="24">
                  <c:v>0.7142857142857143</c:v>
                </c:pt>
                <c:pt idx="25">
                  <c:v>0.5</c:v>
                </c:pt>
                <c:pt idx="26">
                  <c:v>0.75</c:v>
                </c:pt>
                <c:pt idx="27">
                  <c:v>0.75</c:v>
                </c:pt>
                <c:pt idx="28">
                  <c:v>0.90909090909090906</c:v>
                </c:pt>
                <c:pt idx="29">
                  <c:v>1</c:v>
                </c:pt>
                <c:pt idx="30">
                  <c:v>0.875</c:v>
                </c:pt>
                <c:pt idx="31">
                  <c:v>1</c:v>
                </c:pt>
                <c:pt idx="32">
                  <c:v>0.93333333333333335</c:v>
                </c:pt>
                <c:pt idx="33">
                  <c:v>0.94117647058823528</c:v>
                </c:pt>
                <c:pt idx="34">
                  <c:v>0.8</c:v>
                </c:pt>
                <c:pt idx="35">
                  <c:v>0.84210526315789469</c:v>
                </c:pt>
                <c:pt idx="36">
                  <c:v>0.96</c:v>
                </c:pt>
                <c:pt idx="37">
                  <c:v>0.83333333333333337</c:v>
                </c:pt>
                <c:pt idx="38">
                  <c:v>0.75</c:v>
                </c:pt>
                <c:pt idx="39">
                  <c:v>0.81818181818181823</c:v>
                </c:pt>
                <c:pt idx="40">
                  <c:v>0.52631578947368418</c:v>
                </c:pt>
                <c:pt idx="41">
                  <c:v>0.8</c:v>
                </c:pt>
                <c:pt idx="42">
                  <c:v>0.75</c:v>
                </c:pt>
                <c:pt idx="43">
                  <c:v>0.88235294117647056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BB-441B-BCCA-1EB8D9ADA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41925835"/>
        <c:axId val="38825636"/>
      </c:lineChart>
      <c:catAx>
        <c:axId val="4192583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38825636"/>
        <c:crosses val="autoZero"/>
        <c:auto val="1"/>
        <c:lblAlgn val="ctr"/>
        <c:lblOffset val="100"/>
        <c:noMultiLvlLbl val="0"/>
      </c:catAx>
      <c:valAx>
        <c:axId val="38825636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41925835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Cio natural × IATF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'3.1·REP-RESUMO'!$G$8</c:f>
              <c:strCache>
                <c:ptCount val="1"/>
                <c:pt idx="0">
                  <c:v>% Cio natural</c:v>
                </c:pt>
              </c:strCache>
            </c:strRef>
          </c:tx>
          <c:spPr>
            <a:ln w="25920">
              <a:solidFill>
                <a:srgbClr val="8A2A45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592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'3.1·REP-RESUMO'!$A$9:$A$52</c:f>
              <c:strCache>
                <c:ptCount val="44"/>
                <c:pt idx="0">
                  <c:v>2022-09</c:v>
                </c:pt>
                <c:pt idx="1">
                  <c:v>2022-10</c:v>
                </c:pt>
                <c:pt idx="2">
                  <c:v>2022-11</c:v>
                </c:pt>
                <c:pt idx="3">
                  <c:v>2022-12</c:v>
                </c:pt>
                <c:pt idx="4">
                  <c:v>2023-01</c:v>
                </c:pt>
                <c:pt idx="5">
                  <c:v>2023-02</c:v>
                </c:pt>
                <c:pt idx="6">
                  <c:v>2023-04</c:v>
                </c:pt>
                <c:pt idx="7">
                  <c:v>2023-05</c:v>
                </c:pt>
                <c:pt idx="8">
                  <c:v>2023-06</c:v>
                </c:pt>
                <c:pt idx="9">
                  <c:v>2023-07</c:v>
                </c:pt>
                <c:pt idx="10">
                  <c:v>2023-08</c:v>
                </c:pt>
                <c:pt idx="11">
                  <c:v>2023-09</c:v>
                </c:pt>
                <c:pt idx="12">
                  <c:v>2023-10</c:v>
                </c:pt>
                <c:pt idx="13">
                  <c:v>2023-11</c:v>
                </c:pt>
                <c:pt idx="14">
                  <c:v>2023-12</c:v>
                </c:pt>
                <c:pt idx="15">
                  <c:v>2024-01</c:v>
                </c:pt>
                <c:pt idx="16">
                  <c:v>2024-02</c:v>
                </c:pt>
                <c:pt idx="17">
                  <c:v>2024-03</c:v>
                </c:pt>
                <c:pt idx="18">
                  <c:v>2024-04</c:v>
                </c:pt>
                <c:pt idx="19">
                  <c:v>2024-05</c:v>
                </c:pt>
                <c:pt idx="20">
                  <c:v>2024-06</c:v>
                </c:pt>
                <c:pt idx="21">
                  <c:v>2024-07</c:v>
                </c:pt>
                <c:pt idx="22">
                  <c:v>2024-08</c:v>
                </c:pt>
                <c:pt idx="23">
                  <c:v>2024-09</c:v>
                </c:pt>
                <c:pt idx="24">
                  <c:v>2024-10</c:v>
                </c:pt>
                <c:pt idx="25">
                  <c:v>2024-11</c:v>
                </c:pt>
                <c:pt idx="26">
                  <c:v>2024-12</c:v>
                </c:pt>
                <c:pt idx="27">
                  <c:v>2025-01</c:v>
                </c:pt>
                <c:pt idx="28">
                  <c:v>2025-02</c:v>
                </c:pt>
                <c:pt idx="29">
                  <c:v>2025-03</c:v>
                </c:pt>
                <c:pt idx="30">
                  <c:v>2025-04</c:v>
                </c:pt>
                <c:pt idx="31">
                  <c:v>2025-05</c:v>
                </c:pt>
                <c:pt idx="32">
                  <c:v>2025-07</c:v>
                </c:pt>
                <c:pt idx="33">
                  <c:v>2025-08</c:v>
                </c:pt>
                <c:pt idx="34">
                  <c:v>2025-09</c:v>
                </c:pt>
                <c:pt idx="35">
                  <c:v>2025-10</c:v>
                </c:pt>
                <c:pt idx="36">
                  <c:v>2025-11</c:v>
                </c:pt>
                <c:pt idx="37">
                  <c:v>2025-12</c:v>
                </c:pt>
                <c:pt idx="38">
                  <c:v>2026-01</c:v>
                </c:pt>
                <c:pt idx="39">
                  <c:v>2026-02</c:v>
                </c:pt>
                <c:pt idx="40">
                  <c:v>2026-03</c:v>
                </c:pt>
                <c:pt idx="41">
                  <c:v>2026-04</c:v>
                </c:pt>
                <c:pt idx="42">
                  <c:v>2026-05</c:v>
                </c:pt>
                <c:pt idx="43">
                  <c:v>2026-06</c:v>
                </c:pt>
              </c:strCache>
            </c:strRef>
          </c:cat>
          <c:val>
            <c:numRef>
              <c:f>'3.1·REP-RESUMO'!$G$9:$G$52</c:f>
              <c:numCache>
                <c:formatCode>0.0%</c:formatCode>
                <c:ptCount val="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0.66666666666666663</c:v>
                </c:pt>
                <c:pt idx="30">
                  <c:v>0.5</c:v>
                </c:pt>
                <c:pt idx="31">
                  <c:v>0.69230769230769229</c:v>
                </c:pt>
                <c:pt idx="32">
                  <c:v>0.8666666666666667</c:v>
                </c:pt>
                <c:pt idx="33">
                  <c:v>1</c:v>
                </c:pt>
                <c:pt idx="34">
                  <c:v>0.6</c:v>
                </c:pt>
                <c:pt idx="35">
                  <c:v>0.63157894736842102</c:v>
                </c:pt>
                <c:pt idx="36">
                  <c:v>0.48</c:v>
                </c:pt>
                <c:pt idx="37">
                  <c:v>0.83333333333333337</c:v>
                </c:pt>
                <c:pt idx="38">
                  <c:v>6.25E-2</c:v>
                </c:pt>
                <c:pt idx="39">
                  <c:v>0.36363636363636365</c:v>
                </c:pt>
                <c:pt idx="40">
                  <c:v>0.21052631578947367</c:v>
                </c:pt>
                <c:pt idx="41">
                  <c:v>0.8</c:v>
                </c:pt>
                <c:pt idx="42">
                  <c:v>0.25</c:v>
                </c:pt>
                <c:pt idx="43">
                  <c:v>0.47058823529411764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AB-4D72-9BB8-94EFDC1CB6F9}"/>
            </c:ext>
          </c:extLst>
        </c:ser>
        <c:ser>
          <c:idx val="1"/>
          <c:order val="1"/>
          <c:tx>
            <c:strRef>
              <c:f>'3.1·REP-RESUMO'!$H$8</c:f>
              <c:strCache>
                <c:ptCount val="1"/>
                <c:pt idx="0">
                  <c:v>% IATF</c:v>
                </c:pt>
              </c:strCache>
            </c:strRef>
          </c:tx>
          <c:spPr>
            <a:ln w="25920">
              <a:solidFill>
                <a:srgbClr val="B8860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592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'3.1·REP-RESUMO'!$A$9:$A$52</c:f>
              <c:strCache>
                <c:ptCount val="44"/>
                <c:pt idx="0">
                  <c:v>2022-09</c:v>
                </c:pt>
                <c:pt idx="1">
                  <c:v>2022-10</c:v>
                </c:pt>
                <c:pt idx="2">
                  <c:v>2022-11</c:v>
                </c:pt>
                <c:pt idx="3">
                  <c:v>2022-12</c:v>
                </c:pt>
                <c:pt idx="4">
                  <c:v>2023-01</c:v>
                </c:pt>
                <c:pt idx="5">
                  <c:v>2023-02</c:v>
                </c:pt>
                <c:pt idx="6">
                  <c:v>2023-04</c:v>
                </c:pt>
                <c:pt idx="7">
                  <c:v>2023-05</c:v>
                </c:pt>
                <c:pt idx="8">
                  <c:v>2023-06</c:v>
                </c:pt>
                <c:pt idx="9">
                  <c:v>2023-07</c:v>
                </c:pt>
                <c:pt idx="10">
                  <c:v>2023-08</c:v>
                </c:pt>
                <c:pt idx="11">
                  <c:v>2023-09</c:v>
                </c:pt>
                <c:pt idx="12">
                  <c:v>2023-10</c:v>
                </c:pt>
                <c:pt idx="13">
                  <c:v>2023-11</c:v>
                </c:pt>
                <c:pt idx="14">
                  <c:v>2023-12</c:v>
                </c:pt>
                <c:pt idx="15">
                  <c:v>2024-01</c:v>
                </c:pt>
                <c:pt idx="16">
                  <c:v>2024-02</c:v>
                </c:pt>
                <c:pt idx="17">
                  <c:v>2024-03</c:v>
                </c:pt>
                <c:pt idx="18">
                  <c:v>2024-04</c:v>
                </c:pt>
                <c:pt idx="19">
                  <c:v>2024-05</c:v>
                </c:pt>
                <c:pt idx="20">
                  <c:v>2024-06</c:v>
                </c:pt>
                <c:pt idx="21">
                  <c:v>2024-07</c:v>
                </c:pt>
                <c:pt idx="22">
                  <c:v>2024-08</c:v>
                </c:pt>
                <c:pt idx="23">
                  <c:v>2024-09</c:v>
                </c:pt>
                <c:pt idx="24">
                  <c:v>2024-10</c:v>
                </c:pt>
                <c:pt idx="25">
                  <c:v>2024-11</c:v>
                </c:pt>
                <c:pt idx="26">
                  <c:v>2024-12</c:v>
                </c:pt>
                <c:pt idx="27">
                  <c:v>2025-01</c:v>
                </c:pt>
                <c:pt idx="28">
                  <c:v>2025-02</c:v>
                </c:pt>
                <c:pt idx="29">
                  <c:v>2025-03</c:v>
                </c:pt>
                <c:pt idx="30">
                  <c:v>2025-04</c:v>
                </c:pt>
                <c:pt idx="31">
                  <c:v>2025-05</c:v>
                </c:pt>
                <c:pt idx="32">
                  <c:v>2025-07</c:v>
                </c:pt>
                <c:pt idx="33">
                  <c:v>2025-08</c:v>
                </c:pt>
                <c:pt idx="34">
                  <c:v>2025-09</c:v>
                </c:pt>
                <c:pt idx="35">
                  <c:v>2025-10</c:v>
                </c:pt>
                <c:pt idx="36">
                  <c:v>2025-11</c:v>
                </c:pt>
                <c:pt idx="37">
                  <c:v>2025-12</c:v>
                </c:pt>
                <c:pt idx="38">
                  <c:v>2026-01</c:v>
                </c:pt>
                <c:pt idx="39">
                  <c:v>2026-02</c:v>
                </c:pt>
                <c:pt idx="40">
                  <c:v>2026-03</c:v>
                </c:pt>
                <c:pt idx="41">
                  <c:v>2026-04</c:v>
                </c:pt>
                <c:pt idx="42">
                  <c:v>2026-05</c:v>
                </c:pt>
                <c:pt idx="43">
                  <c:v>2026-06</c:v>
                </c:pt>
              </c:strCache>
            </c:strRef>
          </c:cat>
          <c:val>
            <c:numRef>
              <c:f>'3.1·REP-RESUMO'!$H$9:$H$52</c:f>
              <c:numCache>
                <c:formatCode>0.0%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0.33333333333333331</c:v>
                </c:pt>
                <c:pt idx="30">
                  <c:v>0.5</c:v>
                </c:pt>
                <c:pt idx="31">
                  <c:v>0.30769230769230771</c:v>
                </c:pt>
                <c:pt idx="32">
                  <c:v>0.13333333333333333</c:v>
                </c:pt>
                <c:pt idx="33">
                  <c:v>0</c:v>
                </c:pt>
                <c:pt idx="34">
                  <c:v>0.4</c:v>
                </c:pt>
                <c:pt idx="35">
                  <c:v>0.36842105263157893</c:v>
                </c:pt>
                <c:pt idx="36">
                  <c:v>0.52</c:v>
                </c:pt>
                <c:pt idx="37">
                  <c:v>0.16666666666666666</c:v>
                </c:pt>
                <c:pt idx="38">
                  <c:v>0.9375</c:v>
                </c:pt>
                <c:pt idx="39">
                  <c:v>0.54545454545454541</c:v>
                </c:pt>
                <c:pt idx="40">
                  <c:v>0.78947368421052633</c:v>
                </c:pt>
                <c:pt idx="41">
                  <c:v>0.2</c:v>
                </c:pt>
                <c:pt idx="42">
                  <c:v>0.75</c:v>
                </c:pt>
                <c:pt idx="43">
                  <c:v>0.52941176470588236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AB-4D72-9BB8-94EFDC1CB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56215309"/>
        <c:axId val="10044003"/>
      </c:lineChart>
      <c:catAx>
        <c:axId val="5621530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10044003"/>
        <c:crosses val="autoZero"/>
        <c:auto val="1"/>
        <c:lblAlgn val="ctr"/>
        <c:lblOffset val="100"/>
        <c:noMultiLvlLbl val="0"/>
      </c:catAx>
      <c:valAx>
        <c:axId val="10044003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56215309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Tipo de parto (último parto)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'4·REBANHO'!$B$9</c:f>
              <c:strCache>
                <c:ptCount val="1"/>
                <c:pt idx="0">
                  <c:v>Qtde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'4·REBANHO'!$A$10:$A$12</c:f>
              <c:strCache>
                <c:ptCount val="3"/>
                <c:pt idx="0">
                  <c:v>Auxiliado</c:v>
                </c:pt>
                <c:pt idx="1">
                  <c:v>Natimorto</c:v>
                </c:pt>
                <c:pt idx="2">
                  <c:v>Normal</c:v>
                </c:pt>
              </c:strCache>
            </c:strRef>
          </c:cat>
          <c:val>
            <c:numRef>
              <c:f>'4·REBANHO'!$B$10:$B$12</c:f>
              <c:numCache>
                <c:formatCode>#,##0;[Red]\(#,##0\);\-</c:formatCode>
                <c:ptCount val="3"/>
                <c:pt idx="0">
                  <c:v>1</c:v>
                </c:pt>
                <c:pt idx="1">
                  <c:v>4</c:v>
                </c:pt>
                <c:pt idx="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E-4239-B9EB-B6B340B13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416897"/>
        <c:axId val="51101872"/>
      </c:barChart>
      <c:catAx>
        <c:axId val="70416897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51101872"/>
        <c:crosses val="autoZero"/>
        <c:auto val="1"/>
        <c:lblAlgn val="ctr"/>
        <c:lblOffset val="100"/>
        <c:noMultiLvlLbl val="0"/>
      </c:catAx>
      <c:valAx>
        <c:axId val="51101872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numFmt formatCode="#,##0;[Red]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70416897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Sexo da cria (último parto)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'4·REBANHO'!$B$24</c:f>
              <c:strCache>
                <c:ptCount val="1"/>
                <c:pt idx="0">
                  <c:v>Qtde</c:v>
                </c:pt>
              </c:strCache>
            </c:strRef>
          </c:tx>
          <c:spPr>
            <a:solidFill>
              <a:srgbClr val="4F81BD"/>
            </a:solidFill>
            <a:ln w="12600"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9D2F-4F57-9D3D-C90F0DCA0BE2}"/>
              </c:ext>
            </c:extLst>
          </c:dPt>
          <c:dPt>
            <c:idx val="1"/>
            <c:bubble3D val="0"/>
            <c:spPr>
              <a:solidFill>
                <a:srgbClr val="C0504D"/>
              </a:solidFill>
              <a:ln w="12600">
                <a:noFill/>
              </a:ln>
            </c:spPr>
            <c:extLst>
              <c:ext xmlns:c16="http://schemas.microsoft.com/office/drawing/2014/chart" uri="{C3380CC4-5D6E-409C-BE32-E72D297353CC}">
                <c16:uniqueId val="{00000003-9D2F-4F57-9D3D-C90F0DCA0BE2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1000" b="0" u="none" strike="noStrik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D2F-4F57-9D3D-C90F0DCA0BE2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1000" b="0" u="none" strike="noStrik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2F-4F57-9D3D-C90F0DCA0B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1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'4·REBANHO'!$A$25:$A$26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'4·REBANHO'!$B$25:$B$26</c:f>
              <c:numCache>
                <c:formatCode>#,##0;[Red]\(#,##0\);\-</c:formatCode>
                <c:ptCount val="2"/>
                <c:pt idx="0">
                  <c:v>10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2F-4F57-9D3D-C90F0DCA0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Ordem de parto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'4·REBANHO'!$B$40</c:f>
              <c:strCache>
                <c:ptCount val="1"/>
                <c:pt idx="0">
                  <c:v>Matrizes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numRef>
              <c:f>'4·REBANHO'!$A$41:$A$44</c:f>
              <c:numCache>
                <c:formatCode>0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cat>
          <c:val>
            <c:numRef>
              <c:f>'4·REBANHO'!$B$41:$B$44</c:f>
              <c:numCache>
                <c:formatCode>#,##0;[Red]\(#,##0\);\-</c:formatCode>
                <c:ptCount val="4"/>
                <c:pt idx="0">
                  <c:v>54</c:v>
                </c:pt>
                <c:pt idx="1">
                  <c:v>26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69-4DED-9C1C-461B3F05D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659245"/>
        <c:axId val="66605565"/>
      </c:barChart>
      <c:catAx>
        <c:axId val="25659245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66605565"/>
        <c:crosses val="autoZero"/>
        <c:auto val="1"/>
        <c:lblAlgn val="ctr"/>
        <c:lblOffset val="100"/>
        <c:noMultiLvlLbl val="0"/>
      </c:catAx>
      <c:valAx>
        <c:axId val="6660556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#,##0;[Red]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25659245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Baixas por MOTIVO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'4·REBANHO'!$B$56</c:f>
              <c:strCache>
                <c:ptCount val="1"/>
                <c:pt idx="0">
                  <c:v>Qtde</c:v>
                </c:pt>
              </c:strCache>
            </c:strRef>
          </c:tx>
          <c:spPr>
            <a:solidFill>
              <a:srgbClr val="4F81BD"/>
            </a:solidFill>
            <a:ln w="12600">
              <a:noFill/>
            </a:ln>
          </c:spPr>
          <c:dPt>
            <c:idx val="0"/>
            <c:bubble3D val="0"/>
            <c:spPr>
              <a:solidFill>
                <a:srgbClr val="4672A8"/>
              </a:solidFill>
              <a:ln w="126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8E5-4618-9561-CA02B6B1E467}"/>
              </c:ext>
            </c:extLst>
          </c:dPt>
          <c:dPt>
            <c:idx val="1"/>
            <c:bubble3D val="0"/>
            <c:spPr>
              <a:solidFill>
                <a:srgbClr val="AB4744"/>
              </a:solidFill>
              <a:ln w="126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8E5-4618-9561-CA02B6B1E467}"/>
              </c:ext>
            </c:extLst>
          </c:dPt>
          <c:dPt>
            <c:idx val="2"/>
            <c:bubble3D val="0"/>
            <c:spPr>
              <a:solidFill>
                <a:srgbClr val="8AA64F"/>
              </a:solidFill>
              <a:ln w="126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8E5-4618-9561-CA02B6B1E467}"/>
              </c:ext>
            </c:extLst>
          </c:dPt>
          <c:dPt>
            <c:idx val="3"/>
            <c:bubble3D val="0"/>
            <c:spPr>
              <a:solidFill>
                <a:srgbClr val="725990"/>
              </a:solidFill>
              <a:ln w="126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8E5-4618-9561-CA02B6B1E467}"/>
              </c:ext>
            </c:extLst>
          </c:dPt>
          <c:dPt>
            <c:idx val="4"/>
            <c:bubble3D val="0"/>
            <c:spPr>
              <a:solidFill>
                <a:srgbClr val="4299B0"/>
              </a:solidFill>
              <a:ln w="12600">
                <a:noFill/>
              </a:ln>
            </c:spPr>
            <c:extLst>
              <c:ext xmlns:c16="http://schemas.microsoft.com/office/drawing/2014/chart" uri="{C3380CC4-5D6E-409C-BE32-E72D297353CC}">
                <c16:uniqueId val="{00000009-28E5-4618-9561-CA02B6B1E467}"/>
              </c:ext>
            </c:extLst>
          </c:dPt>
          <c:dPt>
            <c:idx val="5"/>
            <c:bubble3D val="0"/>
            <c:spPr>
              <a:solidFill>
                <a:srgbClr val="DC853E"/>
              </a:solidFill>
              <a:ln w="12600">
                <a:noFill/>
              </a:ln>
            </c:spPr>
            <c:extLst>
              <c:ext xmlns:c16="http://schemas.microsoft.com/office/drawing/2014/chart" uri="{C3380CC4-5D6E-409C-BE32-E72D297353CC}">
                <c16:uniqueId val="{0000000B-28E5-4618-9561-CA02B6B1E467}"/>
              </c:ext>
            </c:extLst>
          </c:dPt>
          <c:dPt>
            <c:idx val="6"/>
            <c:bubble3D val="0"/>
            <c:spPr>
              <a:solidFill>
                <a:srgbClr val="93A9CE"/>
              </a:solidFill>
              <a:ln w="12600">
                <a:noFill/>
              </a:ln>
            </c:spPr>
            <c:extLst>
              <c:ext xmlns:c16="http://schemas.microsoft.com/office/drawing/2014/chart" uri="{C3380CC4-5D6E-409C-BE32-E72D297353CC}">
                <c16:uniqueId val="{0000000D-28E5-4618-9561-CA02B6B1E467}"/>
              </c:ext>
            </c:extLst>
          </c:dPt>
          <c:dPt>
            <c:idx val="7"/>
            <c:bubble3D val="0"/>
            <c:spPr>
              <a:solidFill>
                <a:srgbClr val="D09493"/>
              </a:solidFill>
              <a:ln w="12600">
                <a:noFill/>
              </a:ln>
            </c:spPr>
            <c:extLst>
              <c:ext xmlns:c16="http://schemas.microsoft.com/office/drawing/2014/chart" uri="{C3380CC4-5D6E-409C-BE32-E72D297353CC}">
                <c16:uniqueId val="{0000000F-28E5-4618-9561-CA02B6B1E467}"/>
              </c:ext>
            </c:extLst>
          </c:dPt>
          <c:dPt>
            <c:idx val="8"/>
            <c:bubble3D val="0"/>
            <c:spPr>
              <a:solidFill>
                <a:srgbClr val="B8CD97"/>
              </a:solidFill>
              <a:ln w="12600">
                <a:noFill/>
              </a:ln>
            </c:spPr>
            <c:extLst>
              <c:ext xmlns:c16="http://schemas.microsoft.com/office/drawing/2014/chart" uri="{C3380CC4-5D6E-409C-BE32-E72D297353CC}">
                <c16:uniqueId val="{00000011-28E5-4618-9561-CA02B6B1E467}"/>
              </c:ext>
            </c:extLst>
          </c:dPt>
          <c:dPt>
            <c:idx val="9"/>
            <c:bubble3D val="0"/>
            <c:spPr>
              <a:solidFill>
                <a:srgbClr val="A99BBD"/>
              </a:solidFill>
              <a:ln w="12600">
                <a:noFill/>
              </a:ln>
            </c:spPr>
            <c:extLst>
              <c:ext xmlns:c16="http://schemas.microsoft.com/office/drawing/2014/chart" uri="{C3380CC4-5D6E-409C-BE32-E72D297353CC}">
                <c16:uniqueId val="{00000013-28E5-4618-9561-CA02B6B1E467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1000" b="0" u="none" strike="noStrik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E5-4618-9561-CA02B6B1E467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1000" b="0" u="none" strike="noStrik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E5-4618-9561-CA02B6B1E467}"/>
                </c:ext>
              </c:extLst>
            </c:dLbl>
            <c:dLbl>
              <c:idx val="2"/>
              <c:spPr/>
              <c:txPr>
                <a:bodyPr wrap="square"/>
                <a:lstStyle/>
                <a:p>
                  <a:pPr>
                    <a:defRPr sz="1000" b="0" u="none" strike="noStrik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E5-4618-9561-CA02B6B1E467}"/>
                </c:ext>
              </c:extLst>
            </c:dLbl>
            <c:dLbl>
              <c:idx val="3"/>
              <c:spPr/>
              <c:txPr>
                <a:bodyPr wrap="square"/>
                <a:lstStyle/>
                <a:p>
                  <a:pPr>
                    <a:defRPr sz="1000" b="0" u="none" strike="noStrik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E5-4618-9561-CA02B6B1E467}"/>
                </c:ext>
              </c:extLst>
            </c:dLbl>
            <c:dLbl>
              <c:idx val="4"/>
              <c:spPr/>
              <c:txPr>
                <a:bodyPr wrap="square"/>
                <a:lstStyle/>
                <a:p>
                  <a:pPr>
                    <a:defRPr sz="1000" b="0" u="none" strike="noStrik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8E5-4618-9561-CA02B6B1E467}"/>
                </c:ext>
              </c:extLst>
            </c:dLbl>
            <c:dLbl>
              <c:idx val="5"/>
              <c:spPr/>
              <c:txPr>
                <a:bodyPr wrap="square"/>
                <a:lstStyle/>
                <a:p>
                  <a:pPr>
                    <a:defRPr sz="1000" b="0" u="none" strike="noStrik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E5-4618-9561-CA02B6B1E467}"/>
                </c:ext>
              </c:extLst>
            </c:dLbl>
            <c:dLbl>
              <c:idx val="6"/>
              <c:spPr/>
              <c:txPr>
                <a:bodyPr wrap="square"/>
                <a:lstStyle/>
                <a:p>
                  <a:pPr>
                    <a:defRPr sz="1000" b="0" u="none" strike="noStrik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8E5-4618-9561-CA02B6B1E467}"/>
                </c:ext>
              </c:extLst>
            </c:dLbl>
            <c:dLbl>
              <c:idx val="7"/>
              <c:spPr/>
              <c:txPr>
                <a:bodyPr wrap="square"/>
                <a:lstStyle/>
                <a:p>
                  <a:pPr>
                    <a:defRPr sz="1000" b="0" u="none" strike="noStrik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8E5-4618-9561-CA02B6B1E467}"/>
                </c:ext>
              </c:extLst>
            </c:dLbl>
            <c:dLbl>
              <c:idx val="8"/>
              <c:spPr/>
              <c:txPr>
                <a:bodyPr wrap="square"/>
                <a:lstStyle/>
                <a:p>
                  <a:pPr>
                    <a:defRPr sz="1000" b="0" u="none" strike="noStrik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8E5-4618-9561-CA02B6B1E467}"/>
                </c:ext>
              </c:extLst>
            </c:dLbl>
            <c:dLbl>
              <c:idx val="9"/>
              <c:spPr/>
              <c:txPr>
                <a:bodyPr wrap="square"/>
                <a:lstStyle/>
                <a:p>
                  <a:pPr>
                    <a:defRPr sz="1000" b="0" u="none" strike="noStrike">
                      <a:solidFill>
                        <a:srgbClr val="000000"/>
                      </a:solidFill>
                      <a:uFillTx/>
                      <a:latin typeface="Calibri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8E5-4618-9561-CA02B6B1E4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1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'4·REBANHO'!$A$57:$A$66</c:f>
              <c:strCache>
                <c:ptCount val="10"/>
                <c:pt idx="0">
                  <c:v>Abate</c:v>
                </c:pt>
                <c:pt idx="1">
                  <c:v>Casco</c:v>
                </c:pt>
                <c:pt idx="2">
                  <c:v>Desconhecida/Indefinida</c:v>
                </c:pt>
                <c:pt idx="3">
                  <c:v>Doenças bacterianas</c:v>
                </c:pt>
                <c:pt idx="4">
                  <c:v>Hipocalcemia</c:v>
                </c:pt>
                <c:pt idx="5">
                  <c:v>Intoxicação com plantas tóxicas</c:v>
                </c:pt>
                <c:pt idx="6">
                  <c:v>Mastite ambiental</c:v>
                </c:pt>
                <c:pt idx="7">
                  <c:v>Neosporose</c:v>
                </c:pt>
                <c:pt idx="8">
                  <c:v>Outras</c:v>
                </c:pt>
                <c:pt idx="9">
                  <c:v>Venda</c:v>
                </c:pt>
              </c:strCache>
            </c:strRef>
          </c:cat>
          <c:val>
            <c:numRef>
              <c:f>'4·REBANHO'!$B$57:$B$66</c:f>
              <c:numCache>
                <c:formatCode>#,##0;[Red]\(#,##0\);\-</c:formatCode>
                <c:ptCount val="10"/>
                <c:pt idx="0">
                  <c:v>7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8E5-4618-9561-CA02B6B1E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Baixas por TIPO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'4·REBANHO'!$B$72</c:f>
              <c:strCache>
                <c:ptCount val="1"/>
                <c:pt idx="0">
                  <c:v>Qtde</c:v>
                </c:pt>
              </c:strCache>
            </c:strRef>
          </c:tx>
          <c:spPr>
            <a:solidFill>
              <a:srgbClr val="B00020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'4·REBANHO'!$A$73:$A$75</c:f>
              <c:strCache>
                <c:ptCount val="3"/>
                <c:pt idx="0">
                  <c:v>Descarte involuntário</c:v>
                </c:pt>
                <c:pt idx="1">
                  <c:v>Morte</c:v>
                </c:pt>
                <c:pt idx="2">
                  <c:v>Voluntária</c:v>
                </c:pt>
              </c:strCache>
            </c:strRef>
          </c:cat>
          <c:val>
            <c:numRef>
              <c:f>'4·REBANHO'!$B$73:$B$75</c:f>
              <c:numCache>
                <c:formatCode>#,##0;[Red]\(#,##0\);\-</c:formatCode>
                <c:ptCount val="3"/>
                <c:pt idx="0">
                  <c:v>4</c:v>
                </c:pt>
                <c:pt idx="1">
                  <c:v>15</c:v>
                </c:pt>
                <c:pt idx="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D9-4944-9A06-CBF9C1818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419148"/>
        <c:axId val="19196259"/>
      </c:barChart>
      <c:catAx>
        <c:axId val="9741914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19196259"/>
        <c:crosses val="autoZero"/>
        <c:auto val="1"/>
        <c:lblAlgn val="ctr"/>
        <c:lblOffset val="100"/>
        <c:noMultiLvlLbl val="0"/>
      </c:catAx>
      <c:valAx>
        <c:axId val="19196259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numFmt formatCode="#,##0;[Red]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97419148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Valor imobilizado por grupo (R$)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'5·ESTOQUE'!$I$8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8A2A45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'5·ESTOQUE'!$H$9:$H$11</c:f>
              <c:strCache>
                <c:ptCount val="2"/>
                <c:pt idx="0">
                  <c:v>Ingrediente para alimentação animal</c:v>
                </c:pt>
                <c:pt idx="1">
                  <c:v>Produtos veterinários</c:v>
                </c:pt>
              </c:strCache>
            </c:strRef>
          </c:cat>
          <c:val>
            <c:numRef>
              <c:f>'5·ESTOQUE'!$I$9:$I$11</c:f>
              <c:numCache>
                <c:formatCode>"R$ "#,##0;[Red]"-R$ "#,##0;\-</c:formatCode>
                <c:ptCount val="2"/>
                <c:pt idx="0">
                  <c:v>138558.10999999999</c:v>
                </c:pt>
                <c:pt idx="1">
                  <c:v>25079.170000000006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A-4227-9A75-BC160B15E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835059"/>
        <c:axId val="1411240"/>
      </c:barChart>
      <c:catAx>
        <c:axId val="98835059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1411240"/>
        <c:crosses val="autoZero"/>
        <c:auto val="1"/>
        <c:lblAlgn val="ctr"/>
        <c:lblOffset val="100"/>
        <c:noMultiLvlLbl val="0"/>
      </c:catAx>
      <c:valAx>
        <c:axId val="1411240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numFmt formatCode="&quot;R$ &quot;#,##0;[Red]&quot;-R$ &quot;#,##0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98835059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Entradas × Saídas por mês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'6·FINANCEIRO'!$I$11</c:f>
              <c:strCache>
                <c:ptCount val="1"/>
                <c:pt idx="0">
                  <c:v>Entradas</c:v>
                </c:pt>
              </c:strCache>
            </c:strRef>
          </c:tx>
          <c:spPr>
            <a:solidFill>
              <a:srgbClr val="3C7D5A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'6·FINANCEIRO'!$H$12:$H$19</c:f>
              <c:strCache>
                <c:ptCount val="8"/>
                <c:pt idx="0">
                  <c:v>2025-12</c:v>
                </c:pt>
                <c:pt idx="1">
                  <c:v>2026-01</c:v>
                </c:pt>
                <c:pt idx="2">
                  <c:v>2026-02</c:v>
                </c:pt>
                <c:pt idx="3">
                  <c:v>2026-03</c:v>
                </c:pt>
                <c:pt idx="4">
                  <c:v>2026-04</c:v>
                </c:pt>
                <c:pt idx="5">
                  <c:v>2026-05</c:v>
                </c:pt>
                <c:pt idx="6">
                  <c:v>2026-06</c:v>
                </c:pt>
                <c:pt idx="7">
                  <c:v>2026-07</c:v>
                </c:pt>
              </c:strCache>
            </c:strRef>
          </c:cat>
          <c:val>
            <c:numRef>
              <c:f>'6·FINANCEIRO'!$I$12:$I$19</c:f>
              <c:numCache>
                <c:formatCode>"R$ "#,##0;[Red]"-R$ "#,##0;\-</c:formatCode>
                <c:ptCount val="8"/>
                <c:pt idx="0">
                  <c:v>216296.52</c:v>
                </c:pt>
                <c:pt idx="1">
                  <c:v>145386.02000000002</c:v>
                </c:pt>
                <c:pt idx="2">
                  <c:v>449902.54</c:v>
                </c:pt>
                <c:pt idx="3">
                  <c:v>218942.88</c:v>
                </c:pt>
                <c:pt idx="4">
                  <c:v>35776.32</c:v>
                </c:pt>
                <c:pt idx="5">
                  <c:v>49070.79</c:v>
                </c:pt>
                <c:pt idx="6">
                  <c:v>58609.19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6-4BB0-8F5F-DE9F51CD808E}"/>
            </c:ext>
          </c:extLst>
        </c:ser>
        <c:ser>
          <c:idx val="1"/>
          <c:order val="1"/>
          <c:tx>
            <c:strRef>
              <c:f>'6·FINANCEIRO'!$J$11</c:f>
              <c:strCache>
                <c:ptCount val="1"/>
                <c:pt idx="0">
                  <c:v>Saídas</c:v>
                </c:pt>
              </c:strCache>
            </c:strRef>
          </c:tx>
          <c:spPr>
            <a:solidFill>
              <a:srgbClr val="B00020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'6·FINANCEIRO'!$H$12:$H$19</c:f>
              <c:strCache>
                <c:ptCount val="8"/>
                <c:pt idx="0">
                  <c:v>2025-12</c:v>
                </c:pt>
                <c:pt idx="1">
                  <c:v>2026-01</c:v>
                </c:pt>
                <c:pt idx="2">
                  <c:v>2026-02</c:v>
                </c:pt>
                <c:pt idx="3">
                  <c:v>2026-03</c:v>
                </c:pt>
                <c:pt idx="4">
                  <c:v>2026-04</c:v>
                </c:pt>
                <c:pt idx="5">
                  <c:v>2026-05</c:v>
                </c:pt>
                <c:pt idx="6">
                  <c:v>2026-06</c:v>
                </c:pt>
                <c:pt idx="7">
                  <c:v>2026-07</c:v>
                </c:pt>
              </c:strCache>
            </c:strRef>
          </c:cat>
          <c:val>
            <c:numRef>
              <c:f>'6·FINANCEIRO'!$J$12:$J$19</c:f>
              <c:numCache>
                <c:formatCode>"R$ "#,##0;[Red]"-R$ "#,##0;\-</c:formatCode>
                <c:ptCount val="8"/>
                <c:pt idx="0">
                  <c:v>152192.63</c:v>
                </c:pt>
                <c:pt idx="1">
                  <c:v>59367.750000000007</c:v>
                </c:pt>
                <c:pt idx="2">
                  <c:v>96195.310000000012</c:v>
                </c:pt>
                <c:pt idx="3">
                  <c:v>132891.38</c:v>
                </c:pt>
                <c:pt idx="4">
                  <c:v>459569.27</c:v>
                </c:pt>
                <c:pt idx="5">
                  <c:v>281197.04999999993</c:v>
                </c:pt>
                <c:pt idx="6">
                  <c:v>454765.87999999989</c:v>
                </c:pt>
                <c:pt idx="7">
                  <c:v>58886.349999999991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A6-4BB0-8F5F-DE9F51CD8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56219"/>
        <c:axId val="53405636"/>
      </c:barChart>
      <c:catAx>
        <c:axId val="955621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53405636"/>
        <c:crosses val="autoZero"/>
        <c:auto val="1"/>
        <c:lblAlgn val="ctr"/>
        <c:lblOffset val="100"/>
        <c:noMultiLvlLbl val="0"/>
      </c:catAx>
      <c:valAx>
        <c:axId val="53405636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9556219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pt-BR" sz="1800" b="1" u="none" strike="noStrike">
                <a:solidFill>
                  <a:srgbClr val="000000"/>
                </a:solidFill>
                <a:uFillTx/>
                <a:latin typeface="Calibri"/>
              </a:rPr>
              <a:t>Entradas x Saidas por mes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'6.1·LIVRO CAIXA'!$B$11</c:f>
              <c:strCache>
                <c:ptCount val="1"/>
                <c:pt idx="0">
                  <c:v>Entradas (R$)</c:v>
                </c:pt>
              </c:strCache>
            </c:strRef>
          </c:tx>
          <c:spPr>
            <a:solidFill>
              <a:srgbClr val="3C7D5A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'6.1·LIVRO CAIXA'!$A$12:$A$17</c:f>
              <c:strCache>
                <c:ptCount val="6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</c:strCache>
            </c:strRef>
          </c:cat>
          <c:val>
            <c:numRef>
              <c:f>'6.1·LIVRO CAIXA'!$B$12:$B$17</c:f>
              <c:numCache>
                <c:formatCode>"R$ "#,##0;[Red]"-R$ "#,##0;\-</c:formatCode>
                <c:ptCount val="6"/>
                <c:pt idx="0">
                  <c:v>156386.01999999999</c:v>
                </c:pt>
                <c:pt idx="1">
                  <c:v>449902.54</c:v>
                </c:pt>
                <c:pt idx="2">
                  <c:v>218942.88</c:v>
                </c:pt>
                <c:pt idx="3">
                  <c:v>35776.32</c:v>
                </c:pt>
                <c:pt idx="4">
                  <c:v>43070.79</c:v>
                </c:pt>
                <c:pt idx="5">
                  <c:v>23000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AE-421E-B6EE-A73511D9CBFD}"/>
            </c:ext>
          </c:extLst>
        </c:ser>
        <c:ser>
          <c:idx val="1"/>
          <c:order val="1"/>
          <c:tx>
            <c:strRef>
              <c:f>'6.1·LIVRO CAIXA'!$C$11</c:f>
              <c:strCache>
                <c:ptCount val="1"/>
                <c:pt idx="0">
                  <c:v>Saidas (R$)</c:v>
                </c:pt>
              </c:strCache>
            </c:strRef>
          </c:tx>
          <c:spPr>
            <a:solidFill>
              <a:srgbClr val="B00020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Calibri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'6.1·LIVRO CAIXA'!$A$12:$A$17</c:f>
              <c:strCache>
                <c:ptCount val="6"/>
                <c:pt idx="0">
                  <c:v>2026-01</c:v>
                </c:pt>
                <c:pt idx="1">
                  <c:v>2026-02</c:v>
                </c:pt>
                <c:pt idx="2">
                  <c:v>2026-03</c:v>
                </c:pt>
                <c:pt idx="3">
                  <c:v>2026-04</c:v>
                </c:pt>
                <c:pt idx="4">
                  <c:v>2026-05</c:v>
                </c:pt>
                <c:pt idx="5">
                  <c:v>2026-06</c:v>
                </c:pt>
              </c:strCache>
            </c:strRef>
          </c:cat>
          <c:val>
            <c:numRef>
              <c:f>'6.1·LIVRO CAIXA'!$C$12:$C$17</c:f>
              <c:numCache>
                <c:formatCode>"R$ "#,##0;[Red]"-R$ "#,##0;\-</c:formatCode>
                <c:ptCount val="6"/>
                <c:pt idx="0">
                  <c:v>74320.250000000015</c:v>
                </c:pt>
                <c:pt idx="1">
                  <c:v>77239.260000000009</c:v>
                </c:pt>
                <c:pt idx="2">
                  <c:v>105090.91</c:v>
                </c:pt>
                <c:pt idx="3">
                  <c:v>446889.50999999995</c:v>
                </c:pt>
                <c:pt idx="4">
                  <c:v>234965.33999999997</c:v>
                </c:pt>
                <c:pt idx="5">
                  <c:v>142338.14000000001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AE-421E-B6EE-A73511D9C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588824"/>
        <c:axId val="54277072"/>
      </c:barChart>
      <c:catAx>
        <c:axId val="875888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54277072"/>
        <c:crosses val="autoZero"/>
        <c:auto val="1"/>
        <c:lblAlgn val="ctr"/>
        <c:lblOffset val="100"/>
        <c:noMultiLvlLbl val="0"/>
      </c:catAx>
      <c:valAx>
        <c:axId val="54277072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solidFill>
                  <a:srgbClr val="000000"/>
                </a:solidFill>
                <a:uFillTx/>
                <a:latin typeface="Calibri"/>
              </a:defRPr>
            </a:pPr>
            <a:endParaRPr lang="pt-BR"/>
          </a:p>
        </c:txPr>
        <c:crossAx val="87588824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u="none" strike="noStrike">
              <a:solidFill>
                <a:srgbClr val="000000"/>
              </a:solidFill>
              <a:uFillTx/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image" Target="../media/image3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image" Target="../media/image3.png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2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0</xdr:rowOff>
    </xdr:from>
    <xdr:to>
      <xdr:col>3</xdr:col>
      <xdr:colOff>1007985</xdr:colOff>
      <xdr:row>4</xdr:row>
      <xdr:rowOff>173670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3562350" y="95250"/>
          <a:ext cx="2800590" cy="9166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1</xdr:col>
      <xdr:colOff>0</xdr:colOff>
      <xdr:row>19</xdr:row>
      <xdr:rowOff>0</xdr:rowOff>
    </xdr:from>
    <xdr:to>
      <xdr:col>3</xdr:col>
      <xdr:colOff>1278405</xdr:colOff>
      <xdr:row>26</xdr:row>
      <xdr:rowOff>34560</xdr:rowOff>
    </xdr:to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832760" y="4743360"/>
          <a:ext cx="4949280" cy="15966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1</xdr:col>
      <xdr:colOff>0</xdr:colOff>
      <xdr:row>26</xdr:row>
      <xdr:rowOff>0</xdr:rowOff>
    </xdr:from>
    <xdr:to>
      <xdr:col>5</xdr:col>
      <xdr:colOff>0</xdr:colOff>
      <xdr:row>29</xdr:row>
      <xdr:rowOff>0</xdr:rowOff>
    </xdr:to>
    <xdr:sp macro="AtualizarDados" textlink="">
      <xdr:nvSpPr>
        <xdr:cNvPr id="4" name="btnAtualizar">
          <a:extLst>
            <a:ext uri="{FF2B5EF4-FFF2-40B4-BE49-F238E27FC236}">
              <a16:creationId xmlns:a16="http://schemas.microsoft.com/office/drawing/2014/main" id="{224563AD-E4EC-8E58-26A1-9101C5670D1D}"/>
            </a:ext>
          </a:extLst>
        </xdr:cNvPr>
        <xdr:cNvSpPr/>
      </xdr:nvSpPr>
      <xdr:spPr>
        <a:xfrm>
          <a:off x="1783080" y="6225540"/>
          <a:ext cx="7132320" cy="960120"/>
        </a:xfrm>
        <a:prstGeom prst="roundRect">
          <a:avLst/>
        </a:prstGeom>
        <a:solidFill>
          <a:srgbClr val="5E1A2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200" b="1">
              <a:solidFill>
                <a:srgbClr val="FFFFFF"/>
              </a:solidFill>
            </a:rPr>
            <a:t>ATUALIZAR DADOS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10</xdr:row>
      <xdr:rowOff>0</xdr:rowOff>
    </xdr:from>
    <xdr:to>
      <xdr:col>12</xdr:col>
      <xdr:colOff>878400</xdr:colOff>
      <xdr:row>22</xdr:row>
      <xdr:rowOff>187200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0</xdr:colOff>
      <xdr:row>29</xdr:row>
      <xdr:rowOff>0</xdr:rowOff>
    </xdr:from>
    <xdr:to>
      <xdr:col>12</xdr:col>
      <xdr:colOff>878400</xdr:colOff>
      <xdr:row>42</xdr:row>
      <xdr:rowOff>187200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5</xdr:col>
      <xdr:colOff>0</xdr:colOff>
      <xdr:row>48</xdr:row>
      <xdr:rowOff>0</xdr:rowOff>
    </xdr:from>
    <xdr:to>
      <xdr:col>12</xdr:col>
      <xdr:colOff>878400</xdr:colOff>
      <xdr:row>59</xdr:row>
      <xdr:rowOff>187200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0</xdr:colOff>
      <xdr:row>0</xdr:row>
      <xdr:rowOff>0</xdr:rowOff>
    </xdr:from>
    <xdr:to>
      <xdr:col>13</xdr:col>
      <xdr:colOff>544320</xdr:colOff>
      <xdr:row>0</xdr:row>
      <xdr:rowOff>454320</xdr:rowOff>
    </xdr:to>
    <xdr:pic>
      <xdr:nvPicPr>
        <xdr:cNvPr id="6" name="Image 4" descr="Pictur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/>
      </xdr:nvPicPr>
      <xdr:blipFill>
        <a:blip xmlns:r="http://schemas.openxmlformats.org/officeDocument/2006/relationships" r:embed="rId4"/>
        <a:stretch/>
      </xdr:blipFill>
      <xdr:spPr>
        <a:xfrm>
          <a:off x="10576440" y="0"/>
          <a:ext cx="1425960" cy="4543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54</xdr:row>
      <xdr:rowOff>0</xdr:rowOff>
    </xdr:from>
    <xdr:to>
      <xdr:col>9</xdr:col>
      <xdr:colOff>842400</xdr:colOff>
      <xdr:row>70</xdr:row>
      <xdr:rowOff>187200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12</xdr:col>
      <xdr:colOff>0</xdr:colOff>
      <xdr:row>0</xdr:row>
      <xdr:rowOff>0</xdr:rowOff>
    </xdr:from>
    <xdr:to>
      <xdr:col>13</xdr:col>
      <xdr:colOff>579960</xdr:colOff>
      <xdr:row>0</xdr:row>
      <xdr:rowOff>454320</xdr:rowOff>
    </xdr:to>
    <xdr:pic>
      <xdr:nvPicPr>
        <xdr:cNvPr id="8" name="Image 2" descr="Pictur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0149840" y="0"/>
          <a:ext cx="1425960" cy="4543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14</xdr:row>
      <xdr:rowOff>0</xdr:rowOff>
    </xdr:from>
    <xdr:to>
      <xdr:col>24</xdr:col>
      <xdr:colOff>12960</xdr:colOff>
      <xdr:row>28</xdr:row>
      <xdr:rowOff>162360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61</xdr:row>
      <xdr:rowOff>0</xdr:rowOff>
    </xdr:from>
    <xdr:to>
      <xdr:col>14</xdr:col>
      <xdr:colOff>236520</xdr:colOff>
      <xdr:row>75</xdr:row>
      <xdr:rowOff>106560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0</xdr:colOff>
      <xdr:row>80</xdr:row>
      <xdr:rowOff>0</xdr:rowOff>
    </xdr:from>
    <xdr:to>
      <xdr:col>14</xdr:col>
      <xdr:colOff>236520</xdr:colOff>
      <xdr:row>94</xdr:row>
      <xdr:rowOff>162720</xdr:rowOff>
    </xdr:to>
    <xdr:graphicFrame macro="">
      <xdr:nvGraphicFramePr>
        <xdr:cNvPr id="11" name="Chart 3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7</xdr:col>
      <xdr:colOff>0</xdr:colOff>
      <xdr:row>99</xdr:row>
      <xdr:rowOff>0</xdr:rowOff>
    </xdr:from>
    <xdr:to>
      <xdr:col>14</xdr:col>
      <xdr:colOff>236520</xdr:colOff>
      <xdr:row>113</xdr:row>
      <xdr:rowOff>162360</xdr:rowOff>
    </xdr:to>
    <xdr:graphicFrame macro="">
      <xdr:nvGraphicFramePr>
        <xdr:cNvPr id="12" name="Chart 4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7</xdr:col>
      <xdr:colOff>0</xdr:colOff>
      <xdr:row>118</xdr:row>
      <xdr:rowOff>0</xdr:rowOff>
    </xdr:from>
    <xdr:to>
      <xdr:col>14</xdr:col>
      <xdr:colOff>236520</xdr:colOff>
      <xdr:row>132</xdr:row>
      <xdr:rowOff>162720</xdr:rowOff>
    </xdr:to>
    <xdr:graphicFrame macro="">
      <xdr:nvGraphicFramePr>
        <xdr:cNvPr id="13" name="Chart 5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</xdr:col>
      <xdr:colOff>0</xdr:colOff>
      <xdr:row>137</xdr:row>
      <xdr:rowOff>0</xdr:rowOff>
    </xdr:from>
    <xdr:to>
      <xdr:col>14</xdr:col>
      <xdr:colOff>236520</xdr:colOff>
      <xdr:row>151</xdr:row>
      <xdr:rowOff>162360</xdr:rowOff>
    </xdr:to>
    <xdr:graphicFrame macro="">
      <xdr:nvGraphicFramePr>
        <xdr:cNvPr id="14" name="Chart 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0</xdr:colOff>
      <xdr:row>156</xdr:row>
      <xdr:rowOff>0</xdr:rowOff>
    </xdr:from>
    <xdr:to>
      <xdr:col>14</xdr:col>
      <xdr:colOff>236520</xdr:colOff>
      <xdr:row>170</xdr:row>
      <xdr:rowOff>50760</xdr:rowOff>
    </xdr:to>
    <xdr:graphicFrame macro="">
      <xdr:nvGraphicFramePr>
        <xdr:cNvPr id="15" name="Chart 7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7</xdr:col>
      <xdr:colOff>0</xdr:colOff>
      <xdr:row>175</xdr:row>
      <xdr:rowOff>0</xdr:rowOff>
    </xdr:from>
    <xdr:to>
      <xdr:col>14</xdr:col>
      <xdr:colOff>236520</xdr:colOff>
      <xdr:row>189</xdr:row>
      <xdr:rowOff>162720</xdr:rowOff>
    </xdr:to>
    <xdr:graphicFrame macro="">
      <xdr:nvGraphicFramePr>
        <xdr:cNvPr id="16" name="Chart 8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7</xdr:col>
      <xdr:colOff>0</xdr:colOff>
      <xdr:row>194</xdr:row>
      <xdr:rowOff>0</xdr:rowOff>
    </xdr:from>
    <xdr:to>
      <xdr:col>16</xdr:col>
      <xdr:colOff>497880</xdr:colOff>
      <xdr:row>207</xdr:row>
      <xdr:rowOff>129600</xdr:rowOff>
    </xdr:to>
    <xdr:graphicFrame macro="">
      <xdr:nvGraphicFramePr>
        <xdr:cNvPr id="17" name="Chart 9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7</xdr:col>
      <xdr:colOff>0</xdr:colOff>
      <xdr:row>213</xdr:row>
      <xdr:rowOff>0</xdr:rowOff>
    </xdr:from>
    <xdr:to>
      <xdr:col>20</xdr:col>
      <xdr:colOff>444240</xdr:colOff>
      <xdr:row>227</xdr:row>
      <xdr:rowOff>162360</xdr:rowOff>
    </xdr:to>
    <xdr:graphicFrame macro="">
      <xdr:nvGraphicFramePr>
        <xdr:cNvPr id="18" name="Chart 10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7</xdr:col>
      <xdr:colOff>0</xdr:colOff>
      <xdr:row>237</xdr:row>
      <xdr:rowOff>0</xdr:rowOff>
    </xdr:from>
    <xdr:to>
      <xdr:col>14</xdr:col>
      <xdr:colOff>236520</xdr:colOff>
      <xdr:row>251</xdr:row>
      <xdr:rowOff>162720</xdr:rowOff>
    </xdr:to>
    <xdr:graphicFrame macro="">
      <xdr:nvGraphicFramePr>
        <xdr:cNvPr id="19" name="Chart 11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12</xdr:col>
      <xdr:colOff>0</xdr:colOff>
      <xdr:row>0</xdr:row>
      <xdr:rowOff>0</xdr:rowOff>
    </xdr:from>
    <xdr:to>
      <xdr:col>13</xdr:col>
      <xdr:colOff>614880</xdr:colOff>
      <xdr:row>0</xdr:row>
      <xdr:rowOff>454320</xdr:rowOff>
    </xdr:to>
    <xdr:pic>
      <xdr:nvPicPr>
        <xdr:cNvPr id="20" name="Image 12" descr="Picture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/>
      </xdr:nvPicPr>
      <xdr:blipFill>
        <a:blip xmlns:r="http://schemas.openxmlformats.org/officeDocument/2006/relationships" r:embed="rId12"/>
        <a:stretch/>
      </xdr:blipFill>
      <xdr:spPr>
        <a:xfrm>
          <a:off x="12935520" y="0"/>
          <a:ext cx="1425960" cy="4543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53</xdr:row>
      <xdr:rowOff>0</xdr:rowOff>
    </xdr:from>
    <xdr:to>
      <xdr:col>8</xdr:col>
      <xdr:colOff>709920</xdr:colOff>
      <xdr:row>65</xdr:row>
      <xdr:rowOff>51120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69</xdr:row>
      <xdr:rowOff>0</xdr:rowOff>
    </xdr:from>
    <xdr:to>
      <xdr:col>8</xdr:col>
      <xdr:colOff>709920</xdr:colOff>
      <xdr:row>81</xdr:row>
      <xdr:rowOff>51120</xdr:rowOff>
    </xdr:to>
    <xdr:graphicFrame macro="">
      <xdr:nvGraphicFramePr>
        <xdr:cNvPr id="22" name="Chart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</xdr:col>
      <xdr:colOff>0</xdr:colOff>
      <xdr:row>53</xdr:row>
      <xdr:rowOff>0</xdr:rowOff>
    </xdr:from>
    <xdr:to>
      <xdr:col>19</xdr:col>
      <xdr:colOff>497160</xdr:colOff>
      <xdr:row>65</xdr:row>
      <xdr:rowOff>51120</xdr:rowOff>
    </xdr:to>
    <xdr:graphicFrame macro="">
      <xdr:nvGraphicFramePr>
        <xdr:cNvPr id="23" name="Chart 3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0</xdr:colOff>
      <xdr:row>0</xdr:row>
      <xdr:rowOff>0</xdr:rowOff>
    </xdr:from>
    <xdr:to>
      <xdr:col>13</xdr:col>
      <xdr:colOff>298080</xdr:colOff>
      <xdr:row>0</xdr:row>
      <xdr:rowOff>454320</xdr:rowOff>
    </xdr:to>
    <xdr:pic>
      <xdr:nvPicPr>
        <xdr:cNvPr id="24" name="Image 4" descr="Picture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/>
      </xdr:nvPicPr>
      <xdr:blipFill>
        <a:blip xmlns:r="http://schemas.openxmlformats.org/officeDocument/2006/relationships" r:embed="rId4"/>
        <a:stretch/>
      </xdr:blipFill>
      <xdr:spPr>
        <a:xfrm>
          <a:off x="13533120" y="0"/>
          <a:ext cx="1425960" cy="4543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7</xdr:row>
      <xdr:rowOff>0</xdr:rowOff>
    </xdr:from>
    <xdr:to>
      <xdr:col>10</xdr:col>
      <xdr:colOff>88200</xdr:colOff>
      <xdr:row>19</xdr:row>
      <xdr:rowOff>183600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0</xdr:colOff>
      <xdr:row>22</xdr:row>
      <xdr:rowOff>0</xdr:rowOff>
    </xdr:from>
    <xdr:to>
      <xdr:col>9</xdr:col>
      <xdr:colOff>573840</xdr:colOff>
      <xdr:row>35</xdr:row>
      <xdr:rowOff>137160</xdr:rowOff>
    </xdr:to>
    <xdr:graphicFrame macro="">
      <xdr:nvGraphicFramePr>
        <xdr:cNvPr id="26" name="Chart 2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5</xdr:col>
      <xdr:colOff>0</xdr:colOff>
      <xdr:row>38</xdr:row>
      <xdr:rowOff>0</xdr:rowOff>
    </xdr:from>
    <xdr:to>
      <xdr:col>10</xdr:col>
      <xdr:colOff>88200</xdr:colOff>
      <xdr:row>51</xdr:row>
      <xdr:rowOff>360</xdr:rowOff>
    </xdr:to>
    <xdr:graphicFrame macro="">
      <xdr:nvGraphicFramePr>
        <xdr:cNvPr id="27" name="Chart 3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0</xdr:colOff>
      <xdr:row>54</xdr:row>
      <xdr:rowOff>0</xdr:rowOff>
    </xdr:from>
    <xdr:to>
      <xdr:col>9</xdr:col>
      <xdr:colOff>573840</xdr:colOff>
      <xdr:row>66</xdr:row>
      <xdr:rowOff>103680</xdr:rowOff>
    </xdr:to>
    <xdr:graphicFrame macro="">
      <xdr:nvGraphicFramePr>
        <xdr:cNvPr id="28" name="Chart 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0</xdr:colOff>
      <xdr:row>70</xdr:row>
      <xdr:rowOff>0</xdr:rowOff>
    </xdr:from>
    <xdr:to>
      <xdr:col>10</xdr:col>
      <xdr:colOff>88200</xdr:colOff>
      <xdr:row>82</xdr:row>
      <xdr:rowOff>127440</xdr:rowOff>
    </xdr:to>
    <xdr:graphicFrame macro="">
      <xdr:nvGraphicFramePr>
        <xdr:cNvPr id="29" name="Chart 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12</xdr:col>
      <xdr:colOff>0</xdr:colOff>
      <xdr:row>0</xdr:row>
      <xdr:rowOff>0</xdr:rowOff>
    </xdr:from>
    <xdr:to>
      <xdr:col>13</xdr:col>
      <xdr:colOff>579960</xdr:colOff>
      <xdr:row>0</xdr:row>
      <xdr:rowOff>454320</xdr:rowOff>
    </xdr:to>
    <xdr:pic>
      <xdr:nvPicPr>
        <xdr:cNvPr id="30" name="Image 6" descr="Picture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/>
      </xdr:nvPicPr>
      <xdr:blipFill>
        <a:blip xmlns:r="http://schemas.openxmlformats.org/officeDocument/2006/relationships" r:embed="rId6"/>
        <a:stretch/>
      </xdr:blipFill>
      <xdr:spPr>
        <a:xfrm>
          <a:off x="10149840" y="0"/>
          <a:ext cx="1425960" cy="4543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7</xdr:row>
      <xdr:rowOff>0</xdr:rowOff>
    </xdr:from>
    <xdr:to>
      <xdr:col>15</xdr:col>
      <xdr:colOff>540000</xdr:colOff>
      <xdr:row>37</xdr:row>
      <xdr:rowOff>125280</xdr:rowOff>
    </xdr:to>
    <xdr:graphicFrame macro="">
      <xdr:nvGraphicFramePr>
        <xdr:cNvPr id="31" name="Chart 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12</xdr:col>
      <xdr:colOff>0</xdr:colOff>
      <xdr:row>0</xdr:row>
      <xdr:rowOff>0</xdr:rowOff>
    </xdr:from>
    <xdr:to>
      <xdr:col>13</xdr:col>
      <xdr:colOff>544680</xdr:colOff>
      <xdr:row>0</xdr:row>
      <xdr:rowOff>454320</xdr:rowOff>
    </xdr:to>
    <xdr:pic>
      <xdr:nvPicPr>
        <xdr:cNvPr id="32" name="Image 2" descr="Picture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3113360" y="0"/>
          <a:ext cx="1425960" cy="4543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21</xdr:row>
      <xdr:rowOff>0</xdr:rowOff>
    </xdr:from>
    <xdr:to>
      <xdr:col>13</xdr:col>
      <xdr:colOff>747000</xdr:colOff>
      <xdr:row>33</xdr:row>
      <xdr:rowOff>185400</xdr:rowOff>
    </xdr:to>
    <xdr:graphicFrame macro="">
      <xdr:nvGraphicFramePr>
        <xdr:cNvPr id="33" name="Chart 1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12</xdr:col>
      <xdr:colOff>0</xdr:colOff>
      <xdr:row>0</xdr:row>
      <xdr:rowOff>0</xdr:rowOff>
    </xdr:from>
    <xdr:to>
      <xdr:col>13</xdr:col>
      <xdr:colOff>650520</xdr:colOff>
      <xdr:row>1</xdr:row>
      <xdr:rowOff>25560</xdr:rowOff>
    </xdr:to>
    <xdr:pic>
      <xdr:nvPicPr>
        <xdr:cNvPr id="34" name="Image 3" descr="Picture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9525000" y="0"/>
          <a:ext cx="1404900" cy="4522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0</xdr:colOff>
      <xdr:row>9</xdr:row>
      <xdr:rowOff>0</xdr:rowOff>
    </xdr:from>
    <xdr:to>
      <xdr:col>18</xdr:col>
      <xdr:colOff>460080</xdr:colOff>
      <xdr:row>16</xdr:row>
      <xdr:rowOff>233280</xdr:rowOff>
    </xdr:to>
    <xdr:graphicFrame macro="">
      <xdr:nvGraphicFramePr>
        <xdr:cNvPr id="35" name="Chart 1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0</xdr:colOff>
      <xdr:row>0</xdr:row>
      <xdr:rowOff>0</xdr:rowOff>
    </xdr:from>
    <xdr:to>
      <xdr:col>11</xdr:col>
      <xdr:colOff>163800</xdr:colOff>
      <xdr:row>0</xdr:row>
      <xdr:rowOff>455040</xdr:rowOff>
    </xdr:to>
    <xdr:pic>
      <xdr:nvPicPr>
        <xdr:cNvPr id="36" name="Image 2" descr="Picture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4549140" y="0"/>
          <a:ext cx="1398240" cy="4550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137160</xdr:colOff>
      <xdr:row>0</xdr:row>
      <xdr:rowOff>22860</xdr:rowOff>
    </xdr:from>
    <xdr:to>
      <xdr:col>13</xdr:col>
      <xdr:colOff>338760</xdr:colOff>
      <xdr:row>0</xdr:row>
      <xdr:rowOff>475740</xdr:rowOff>
    </xdr:to>
    <xdr:pic>
      <xdr:nvPicPr>
        <xdr:cNvPr id="37" name="Image 1" descr="Picture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178540" y="22860"/>
          <a:ext cx="1390320" cy="4528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1291590</xdr:colOff>
      <xdr:row>1</xdr:row>
      <xdr:rowOff>79375</xdr:rowOff>
    </xdr:from>
    <xdr:to>
      <xdr:col>4</xdr:col>
      <xdr:colOff>2650490</xdr:colOff>
      <xdr:row>4</xdr:row>
      <xdr:rowOff>38735</xdr:rowOff>
    </xdr:to>
    <xdr:sp macro="AtualizarAgenda" textlink="">
      <xdr:nvSpPr>
        <xdr:cNvPr id="2" name="btnAgenda">
          <a:extLst>
            <a:ext uri="{FF2B5EF4-FFF2-40B4-BE49-F238E27FC236}">
              <a16:creationId xmlns:a16="http://schemas.microsoft.com/office/drawing/2014/main" id="{C5E7FEBA-004B-826E-D14A-1E4FA97F785B}"/>
            </a:ext>
          </a:extLst>
        </xdr:cNvPr>
        <xdr:cNvSpPr>
          <a:spLocks/>
        </xdr:cNvSpPr>
      </xdr:nvSpPr>
      <xdr:spPr>
        <a:xfrm>
          <a:off x="6046470" y="506095"/>
          <a:ext cx="2921000" cy="508000"/>
        </a:xfrm>
        <a:prstGeom prst="roundRect">
          <a:avLst/>
        </a:prstGeom>
        <a:solidFill>
          <a:srgbClr val="5E1A2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</a:rPr>
            <a:t>ATUALIZAR AGENDA (hoje)</a:t>
          </a:r>
        </a:p>
      </xdr:txBody>
    </xdr:sp>
    <xdr:clientData/>
  </xdr:twoCellAnchor>
  <xdr:twoCellAnchor editAs="absolute">
    <xdr:from>
      <xdr:col>4</xdr:col>
      <xdr:colOff>2282189</xdr:colOff>
      <xdr:row>1</xdr:row>
      <xdr:rowOff>78103</xdr:rowOff>
    </xdr:from>
    <xdr:to>
      <xdr:col>8</xdr:col>
      <xdr:colOff>379729</xdr:colOff>
      <xdr:row>4</xdr:row>
      <xdr:rowOff>37463</xdr:rowOff>
    </xdr:to>
    <xdr:sp macro="AdicionarEvento" textlink="">
      <xdr:nvSpPr>
        <xdr:cNvPr id="3" name="btnAddEv">
          <a:extLst>
            <a:ext uri="{FF2B5EF4-FFF2-40B4-BE49-F238E27FC236}">
              <a16:creationId xmlns:a16="http://schemas.microsoft.com/office/drawing/2014/main" id="{E2781852-0DC5-57C8-333F-A41D96B13AAB}"/>
            </a:ext>
          </a:extLst>
        </xdr:cNvPr>
        <xdr:cNvSpPr/>
      </xdr:nvSpPr>
      <xdr:spPr>
        <a:xfrm>
          <a:off x="8599169" y="504823"/>
          <a:ext cx="2921000" cy="508000"/>
        </a:xfrm>
        <a:prstGeom prst="roundRect">
          <a:avLst/>
        </a:prstGeom>
        <a:solidFill>
          <a:srgbClr val="B8860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</a:rPr>
            <a:t>ADICIONAR À AGENDA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blGeral" displayName="tblGeral" ref="A1:Q129" totalsRowShown="0">
  <autoFilter ref="A1:Q129" xr:uid="{00000000-0009-0000-0100-000007000000}"/>
  <tableColumns count="17">
    <tableColumn id="1" xr3:uid="{00000000-0010-0000-0200-000001000000}" name="N animal"/>
    <tableColumn id="2" xr3:uid="{00000000-0010-0000-0200-000002000000}" name="Dt nasc"/>
    <tableColumn id="3" xr3:uid="{00000000-0010-0000-0200-000003000000}" name="Idade meses"/>
    <tableColumn id="4" xr3:uid="{00000000-0010-0000-0200-000004000000}" name="Grupos atuais"/>
    <tableColumn id="5" xr3:uid="{00000000-0010-0000-0200-000005000000}" name="Categoria completa"/>
    <tableColumn id="6" xr3:uid="{00000000-0010-0000-0200-000006000000}" name="Categoria abrev"/>
    <tableColumn id="7" xr3:uid="{00000000-0010-0000-0200-000007000000}" name="Sit rep"/>
    <tableColumn id="8" xr3:uid="{00000000-0010-0000-0200-000008000000}" name="DEL"/>
    <tableColumn id="9" xr3:uid="{00000000-0010-0000-0200-000009000000}" name="Dt ult leite"/>
    <tableColumn id="10" xr3:uid="{00000000-0010-0000-0200-00000A000000}" name="lt CL (kg)"/>
    <tableColumn id="11" xr3:uid="{00000000-0010-0000-0200-00000B000000}" name="Dt penult"/>
    <tableColumn id="12" xr3:uid="{00000000-0010-0000-0200-00000C000000}" name="penult CL (kg)"/>
    <tableColumn id="13" xr3:uid="{00000000-0010-0000-0200-00000D000000}" name="Dt antepenult"/>
    <tableColumn id="14" xr3:uid="{00000000-0010-0000-0200-00000E000000}" name="antepenult CL (kg)"/>
    <tableColumn id="15" xr3:uid="{00000000-0010-0000-0200-00000F000000}" name="Dias apos ult CL"/>
    <tableColumn id="16" xr3:uid="{00000000-0010-0000-0200-000010000000}" name="Dt ult diag"/>
    <tableColumn id="17" xr3:uid="{00000000-0010-0000-0200-000011000000}" name="Diag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blDieta" displayName="tblDieta" ref="A1:J15" totalsRowShown="0">
  <autoFilter ref="A1:J15" xr:uid="{00000000-0009-0000-0100-000003000000}"/>
  <tableColumns count="10">
    <tableColumn id="1" xr3:uid="{00000000-0010-0000-0300-000001000000}" name="Lote"/>
    <tableColumn id="2" xr3:uid="{00000000-0010-0000-0300-000002000000}" name="Categoria"/>
    <tableColumn id="3" xr3:uid="{00000000-0010-0000-0300-000003000000}" name="Silagem"/>
    <tableColumn id="4" xr3:uid="{00000000-0010-0000-0300-000004000000}" name="Teck Milk 24%"/>
    <tableColumn id="5" xr3:uid="{00000000-0010-0000-0300-000005000000}" name="Milk Proteico"/>
    <tableColumn id="6" xr3:uid="{00000000-0010-0000-0300-000006000000}" name="Racao Pre-parto"/>
    <tableColumn id="7" xr3:uid="{00000000-0010-0000-0300-000007000000}" name="Racao Bezerro 1"/>
    <tableColumn id="8" xr3:uid="{00000000-0010-0000-0300-000008000000}" name="Racao Bezerro 2"/>
    <tableColumn id="9" xr3:uid="{00000000-0010-0000-0300-000009000000}" name="Corte 21"/>
    <tableColumn id="10" xr3:uid="{00000000-0010-0000-0300-00000A000000}" name="Leite (L)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blConta" displayName="tblConta" ref="A1:O743" totalsRowShown="0">
  <autoFilter ref="A1:O743" xr:uid="{00000000-0009-0000-0100-000002000000}"/>
  <tableColumns count="15">
    <tableColumn id="1" xr3:uid="{00000000-0010-0000-0800-000001000000}" name="Conta" dataDxfId="5"/>
    <tableColumn id="2" xr3:uid="{00000000-0010-0000-0800-000002000000}" name="Descricao"/>
    <tableColumn id="3" xr3:uid="{00000000-0010-0000-0800-000003000000}" name="Dt venc"/>
    <tableColumn id="4" xr3:uid="{00000000-0010-0000-0800-000004000000}" name="Dt pag"/>
    <tableColumn id="5" xr3:uid="{00000000-0010-0000-0800-000005000000}" name="Dt comp"/>
    <tableColumn id="6" xr3:uid="{00000000-0010-0000-0800-000006000000}" name="Forn/cliente" dataDxfId="4"/>
    <tableColumn id="7" xr3:uid="{00000000-0010-0000-0800-000007000000}" name="Nota" dataDxfId="3"/>
    <tableColumn id="8" xr3:uid="{00000000-0010-0000-0800-000008000000}" name="Parcela" dataDxfId="2"/>
    <tableColumn id="9" xr3:uid="{00000000-0010-0000-0800-000009000000}" name="Vlr total"/>
    <tableColumn id="10" xr3:uid="{00000000-0010-0000-0800-00000A000000}" name="Vlr aprop ct"/>
    <tableColumn id="11" xr3:uid="{00000000-0010-0000-0800-00000B000000}" name="Vlr aprop cc"/>
    <tableColumn id="12" xr3:uid="{00000000-0010-0000-0800-00000C000000}" name="Vlr pago"/>
    <tableColumn id="13" xr3:uid="{00000000-0010-0000-0800-00000D000000}" name="Tipo" dataDxfId="1"/>
    <tableColumn id="14" xr3:uid="{00000000-0010-0000-0800-00000E000000}" name="Centro" dataDxfId="0"/>
    <tableColumn id="15" xr3:uid="{00000000-0010-0000-0800-00000F000000}" name="Dt emissao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C:\Users\jairo\AppData\Local\packages\Claude_pzs8sxrjxfjjc\LocalCache\Roaming\Claude\local-agent-mode-sessions\cd180e7d-9321-4554-9cde-a574484d7450\1844af8b-6867-4d4d-974d-78c1448b5ecd\local_9ee064ec-3bbb-4dd5-a518-8ee46fe87984\outputs\PAINEL_v2.xlsx" TargetMode="External"/><Relationship Id="rId3" Type="http://schemas.openxmlformats.org/officeDocument/2006/relationships/hyperlink" Target="file:///C:\Users\jairo\AppData\Local\packages\Claude_pzs8sxrjxfjjc\LocalCache\Roaming\Claude\local-agent-mode-sessions\cd180e7d-9321-4554-9cde-a574484d7450\1844af8b-6867-4d4d-974d-78c1448b5ecd\local_9ee064ec-3bbb-4dd5-a518-8ee46fe87984\outputs\PAINEL_v2.xlsx" TargetMode="External"/><Relationship Id="rId7" Type="http://schemas.openxmlformats.org/officeDocument/2006/relationships/hyperlink" Target="file:///C:\Users\jairo\AppData\Local\packages\Claude_pzs8sxrjxfjjc\LocalCache\Roaming\Claude\local-agent-mode-sessions\cd180e7d-9321-4554-9cde-a574484d7450\1844af8b-6867-4d4d-974d-78c1448b5ecd\local_9ee064ec-3bbb-4dd5-a518-8ee46fe87984\outputs\PAINEL_v2.xlsx" TargetMode="External"/><Relationship Id="rId2" Type="http://schemas.openxmlformats.org/officeDocument/2006/relationships/hyperlink" Target="file:///C:\Users\jairo\AppData\Local\packages\Claude_pzs8sxrjxfjjc\LocalCache\Roaming\Claude\local-agent-mode-sessions\cd180e7d-9321-4554-9cde-a574484d7450\1844af8b-6867-4d4d-974d-78c1448b5ecd\local_9ee064ec-3bbb-4dd5-a518-8ee46fe87984\outputs\PAINEL_v2.xlsx" TargetMode="External"/><Relationship Id="rId1" Type="http://schemas.openxmlformats.org/officeDocument/2006/relationships/hyperlink" Target="file:///C:\Users\jairo\AppData\Local\packages\Claude_pzs8sxrjxfjjc\LocalCache\Roaming\Claude\local-agent-mode-sessions\cd180e7d-9321-4554-9cde-a574484d7450\1844af8b-6867-4d4d-974d-78c1448b5ecd\local_9ee064ec-3bbb-4dd5-a518-8ee46fe87984\outputs\PAINEL_v2.xlsx" TargetMode="External"/><Relationship Id="rId6" Type="http://schemas.openxmlformats.org/officeDocument/2006/relationships/hyperlink" Target="file:///C:\Users\jairo\AppData\Local\packages\Claude_pzs8sxrjxfjjc\LocalCache\Roaming\Claude\local-agent-mode-sessions\cd180e7d-9321-4554-9cde-a574484d7450\1844af8b-6867-4d4d-974d-78c1448b5ecd\local_9ee064ec-3bbb-4dd5-a518-8ee46fe87984\outputs\PAINEL_v2.xlsx" TargetMode="External"/><Relationship Id="rId5" Type="http://schemas.openxmlformats.org/officeDocument/2006/relationships/hyperlink" Target="file:///C:\Users\jairo\AppData\Local\packages\Claude_pzs8sxrjxfjjc\LocalCache\Roaming\Claude\local-agent-mode-sessions\cd180e7d-9321-4554-9cde-a574484d7450\1844af8b-6867-4d4d-974d-78c1448b5ecd\local_9ee064ec-3bbb-4dd5-a518-8ee46fe87984\outputs\PAINEL_v2.xlsx" TargetMode="External"/><Relationship Id="rId4" Type="http://schemas.openxmlformats.org/officeDocument/2006/relationships/hyperlink" Target="file:///C:\Users\jairo\AppData\Local\packages\Claude_pzs8sxrjxfjjc\LocalCache\Roaming\Claude\local-agent-mode-sessions\cd180e7d-9321-4554-9cde-a574484d7450\1844af8b-6867-4d4d-974d-78c1448b5ecd\local_9ee064ec-3bbb-4dd5-a518-8ee46fe87984\outputs\PAINEL_v2.xlsx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file:///C:\Users\jairo\AppData\Local\packages\Claude_pzs8sxrjxfjjc\LocalCache\Roaming\Claude\local-agent-mode-sessions\cd180e7d-9321-4554-9cde-a574484d7450\1844af8b-6867-4d4d-974d-78c1448b5ecd\local_9ee064ec-3bbb-4dd5-a518-8ee46fe87984\outputs\PAINEL_v2.xlsx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5E1A2E"/>
  </sheetPr>
  <dimension ref="A1:H41"/>
  <sheetViews>
    <sheetView showGridLines="0" topLeftCell="A14" zoomScaleNormal="100" workbookViewId="0">
      <selection activeCell="B5" sqref="B5"/>
    </sheetView>
  </sheetViews>
  <sheetFormatPr defaultColWidth="8.6640625" defaultRowHeight="14.4" x14ac:dyDescent="0.3"/>
  <cols>
    <col min="1" max="8" width="26" customWidth="1"/>
  </cols>
  <sheetData>
    <row r="1" spans="1:8" ht="7.5" customHeight="1" x14ac:dyDescent="0.3">
      <c r="A1" s="145"/>
      <c r="B1" s="145"/>
      <c r="C1" s="145"/>
      <c r="D1" s="145"/>
      <c r="E1" s="145"/>
      <c r="F1" s="145"/>
      <c r="G1" s="145"/>
      <c r="H1" s="145"/>
    </row>
    <row r="2" spans="1:8" ht="19.5" customHeight="1" x14ac:dyDescent="0.3"/>
    <row r="3" spans="1:8" ht="19.5" customHeight="1" x14ac:dyDescent="0.3"/>
    <row r="4" spans="1:8" ht="19.5" customHeight="1" x14ac:dyDescent="0.3"/>
    <row r="5" spans="1:8" ht="19.5" customHeight="1" x14ac:dyDescent="0.3"/>
    <row r="6" spans="1:8" ht="19.5" customHeight="1" x14ac:dyDescent="0.3"/>
    <row r="7" spans="1:8" ht="19.5" customHeight="1" x14ac:dyDescent="0.3"/>
    <row r="8" spans="1:8" ht="30" customHeight="1" x14ac:dyDescent="0.3">
      <c r="A8" s="146" t="s">
        <v>0</v>
      </c>
      <c r="B8" s="146"/>
      <c r="C8" s="146"/>
      <c r="D8" s="146"/>
      <c r="E8" s="146"/>
      <c r="F8" s="146"/>
      <c r="G8" s="146"/>
      <c r="H8" s="146"/>
    </row>
    <row r="9" spans="1:8" ht="15" customHeight="1" x14ac:dyDescent="0.3">
      <c r="A9" s="147" t="s">
        <v>1</v>
      </c>
      <c r="B9" s="147"/>
      <c r="C9" s="147"/>
      <c r="D9" s="147"/>
      <c r="E9" s="147"/>
      <c r="F9" s="147"/>
      <c r="G9" s="147"/>
      <c r="H9" s="147"/>
    </row>
    <row r="11" spans="1:8" ht="19.5" customHeight="1" x14ac:dyDescent="0.3">
      <c r="A11" s="137" t="s">
        <v>2</v>
      </c>
      <c r="B11" s="137"/>
      <c r="C11" s="137"/>
      <c r="D11" s="137"/>
      <c r="E11" s="137"/>
      <c r="F11" s="137"/>
      <c r="G11" s="137"/>
      <c r="H11" s="137"/>
    </row>
    <row r="12" spans="1:8" ht="21.75" customHeight="1" x14ac:dyDescent="0.3">
      <c r="A12" s="140" t="s">
        <v>3</v>
      </c>
      <c r="B12" s="140"/>
      <c r="C12" s="141" t="s">
        <v>4</v>
      </c>
      <c r="D12" s="141"/>
      <c r="E12" s="141"/>
      <c r="F12" s="141"/>
      <c r="G12" s="141"/>
      <c r="H12" s="141"/>
    </row>
    <row r="13" spans="1:8" ht="21.75" customHeight="1" x14ac:dyDescent="0.3">
      <c r="A13" s="140" t="s">
        <v>5</v>
      </c>
      <c r="B13" s="140"/>
      <c r="C13" s="141" t="s">
        <v>6</v>
      </c>
      <c r="D13" s="141"/>
      <c r="E13" s="141"/>
      <c r="F13" s="141"/>
      <c r="G13" s="141"/>
      <c r="H13" s="141"/>
    </row>
    <row r="14" spans="1:8" ht="19.5" customHeight="1" x14ac:dyDescent="0.3">
      <c r="A14" s="137" t="s">
        <v>7</v>
      </c>
      <c r="B14" s="137"/>
      <c r="C14" s="137"/>
      <c r="D14" s="137"/>
      <c r="E14" s="137"/>
      <c r="F14" s="137"/>
      <c r="G14" s="137"/>
      <c r="H14" s="137"/>
    </row>
    <row r="15" spans="1:8" ht="21.75" customHeight="1" x14ac:dyDescent="0.3">
      <c r="A15" s="140" t="s">
        <v>8</v>
      </c>
      <c r="B15" s="140"/>
      <c r="C15" s="141" t="s">
        <v>9</v>
      </c>
      <c r="D15" s="141"/>
      <c r="E15" s="141"/>
      <c r="F15" s="141"/>
      <c r="G15" s="141"/>
      <c r="H15" s="141"/>
    </row>
    <row r="16" spans="1:8" ht="21.75" customHeight="1" x14ac:dyDescent="0.3">
      <c r="A16" s="140" t="s">
        <v>10</v>
      </c>
      <c r="B16" s="140"/>
      <c r="C16" s="141" t="s">
        <v>11</v>
      </c>
      <c r="D16" s="141"/>
      <c r="E16" s="141"/>
      <c r="F16" s="141"/>
      <c r="G16" s="141"/>
      <c r="H16" s="141"/>
    </row>
    <row r="17" spans="1:8" ht="19.5" customHeight="1" x14ac:dyDescent="0.3">
      <c r="A17" s="137" t="s">
        <v>12</v>
      </c>
      <c r="B17" s="137"/>
      <c r="C17" s="137"/>
      <c r="D17" s="137"/>
      <c r="E17" s="137"/>
      <c r="F17" s="137"/>
      <c r="G17" s="137"/>
      <c r="H17" s="137"/>
    </row>
    <row r="18" spans="1:8" ht="21.75" customHeight="1" x14ac:dyDescent="0.3">
      <c r="A18" s="140" t="s">
        <v>13</v>
      </c>
      <c r="B18" s="140"/>
      <c r="C18" s="141" t="s">
        <v>14</v>
      </c>
      <c r="D18" s="141"/>
      <c r="E18" s="141"/>
      <c r="F18" s="141"/>
      <c r="G18" s="141"/>
      <c r="H18" s="141"/>
    </row>
    <row r="19" spans="1:8" ht="21.75" customHeight="1" x14ac:dyDescent="0.3">
      <c r="A19" s="140" t="s">
        <v>15</v>
      </c>
      <c r="B19" s="140"/>
      <c r="C19" s="141" t="s">
        <v>16</v>
      </c>
      <c r="D19" s="141"/>
      <c r="E19" s="141"/>
      <c r="F19" s="141"/>
      <c r="G19" s="141"/>
      <c r="H19" s="141"/>
    </row>
    <row r="20" spans="1:8" ht="19.5" customHeight="1" x14ac:dyDescent="0.3">
      <c r="A20" s="137" t="s">
        <v>17</v>
      </c>
      <c r="B20" s="137"/>
      <c r="C20" s="137"/>
      <c r="D20" s="137"/>
      <c r="E20" s="137"/>
      <c r="F20" s="137"/>
      <c r="G20" s="137"/>
      <c r="H20" s="137"/>
    </row>
    <row r="21" spans="1:8" ht="21.75" customHeight="1" x14ac:dyDescent="0.3">
      <c r="A21" s="140" t="s">
        <v>18</v>
      </c>
      <c r="B21" s="140"/>
      <c r="C21" s="141" t="s">
        <v>19</v>
      </c>
      <c r="D21" s="141"/>
      <c r="E21" s="141"/>
      <c r="F21" s="141"/>
      <c r="G21" s="141"/>
      <c r="H21" s="141"/>
    </row>
    <row r="22" spans="1:8" ht="21.75" customHeight="1" x14ac:dyDescent="0.3">
      <c r="A22" s="140" t="s">
        <v>20</v>
      </c>
      <c r="B22" s="140"/>
      <c r="C22" s="141" t="s">
        <v>21</v>
      </c>
      <c r="D22" s="141"/>
      <c r="E22" s="141"/>
      <c r="F22" s="141"/>
      <c r="G22" s="141"/>
      <c r="H22" s="141"/>
    </row>
    <row r="23" spans="1:8" ht="15" customHeight="1" x14ac:dyDescent="0.3">
      <c r="A23" s="142" t="s">
        <v>22</v>
      </c>
      <c r="B23" s="142"/>
      <c r="C23" s="143" t="s">
        <v>23</v>
      </c>
      <c r="D23" s="143"/>
      <c r="E23" s="143"/>
      <c r="F23" s="143"/>
      <c r="G23" s="143"/>
      <c r="H23" s="143"/>
    </row>
    <row r="24" spans="1:8" ht="15" customHeight="1" x14ac:dyDescent="0.3">
      <c r="A24" s="144" t="s">
        <v>24</v>
      </c>
      <c r="B24" s="144"/>
      <c r="C24" s="144"/>
      <c r="D24" s="144"/>
      <c r="E24" s="144"/>
      <c r="F24" s="144"/>
      <c r="G24" s="144"/>
      <c r="H24" s="144"/>
    </row>
    <row r="27" spans="1:8" ht="25.5" customHeight="1" x14ac:dyDescent="0.3">
      <c r="B27" s="135" t="s">
        <v>25</v>
      </c>
      <c r="C27" s="135"/>
      <c r="D27" s="135"/>
      <c r="E27" s="135"/>
      <c r="F27" s="136" t="s">
        <v>26</v>
      </c>
      <c r="G27" s="136"/>
      <c r="H27" s="136"/>
    </row>
    <row r="28" spans="1:8" ht="25.5" customHeight="1" x14ac:dyDescent="0.3">
      <c r="B28" s="135"/>
      <c r="C28" s="135"/>
      <c r="D28" s="135"/>
      <c r="E28" s="135"/>
      <c r="F28" s="136"/>
      <c r="G28" s="136"/>
      <c r="H28" s="136"/>
    </row>
    <row r="29" spans="1:8" ht="25.5" customHeight="1" x14ac:dyDescent="0.3">
      <c r="B29" s="135"/>
      <c r="C29" s="135"/>
      <c r="D29" s="135"/>
      <c r="E29" s="135"/>
      <c r="F29" s="136"/>
      <c r="G29" s="136"/>
      <c r="H29" s="136"/>
    </row>
    <row r="31" spans="1:8" ht="21.75" customHeight="1" x14ac:dyDescent="0.3">
      <c r="A31" s="137" t="s">
        <v>27</v>
      </c>
      <c r="B31" s="137"/>
      <c r="C31" s="137"/>
      <c r="D31" s="137"/>
      <c r="E31" s="137"/>
      <c r="F31" s="137"/>
      <c r="G31" s="137"/>
      <c r="H31" s="137"/>
    </row>
    <row r="32" spans="1:8" ht="15" customHeight="1" x14ac:dyDescent="0.3">
      <c r="A32" s="138" t="s">
        <v>28</v>
      </c>
      <c r="B32" s="138"/>
      <c r="C32" s="139" t="s">
        <v>29</v>
      </c>
      <c r="D32" s="139"/>
      <c r="E32" s="139"/>
      <c r="F32" s="139"/>
      <c r="G32" s="139"/>
      <c r="H32" s="139"/>
    </row>
    <row r="33" spans="1:8" ht="30" customHeight="1" x14ac:dyDescent="0.3">
      <c r="A33" s="126" t="s">
        <v>30</v>
      </c>
      <c r="B33" s="126"/>
      <c r="C33" s="127" t="s">
        <v>31</v>
      </c>
      <c r="D33" s="127"/>
      <c r="E33" s="127"/>
      <c r="F33" s="127"/>
      <c r="G33" s="127"/>
      <c r="H33" s="127"/>
    </row>
    <row r="34" spans="1:8" ht="30" customHeight="1" x14ac:dyDescent="0.3">
      <c r="A34" s="129" t="s">
        <v>32</v>
      </c>
      <c r="B34" s="129"/>
      <c r="C34" s="130" t="s">
        <v>33</v>
      </c>
      <c r="D34" s="130"/>
      <c r="E34" s="130"/>
      <c r="F34" s="130"/>
      <c r="G34" s="130"/>
      <c r="H34" s="130"/>
    </row>
    <row r="35" spans="1:8" ht="30" customHeight="1" x14ac:dyDescent="0.3">
      <c r="A35" s="126" t="s">
        <v>34</v>
      </c>
      <c r="B35" s="126"/>
      <c r="C35" s="127" t="s">
        <v>35</v>
      </c>
      <c r="D35" s="127"/>
      <c r="E35" s="127"/>
      <c r="F35" s="127"/>
      <c r="G35" s="127"/>
      <c r="H35" s="127"/>
    </row>
    <row r="36" spans="1:8" ht="30" customHeight="1" x14ac:dyDescent="0.3">
      <c r="A36" s="129" t="s">
        <v>36</v>
      </c>
      <c r="B36" s="129"/>
      <c r="C36" s="130" t="s">
        <v>37</v>
      </c>
      <c r="D36" s="130"/>
      <c r="E36" s="130"/>
      <c r="F36" s="130"/>
      <c r="G36" s="130"/>
      <c r="H36" s="130"/>
    </row>
    <row r="37" spans="1:8" ht="30" customHeight="1" x14ac:dyDescent="0.3">
      <c r="A37" s="126" t="s">
        <v>38</v>
      </c>
      <c r="B37" s="126"/>
      <c r="C37" s="131" t="s">
        <v>39</v>
      </c>
      <c r="D37" s="127"/>
      <c r="E37" s="127"/>
      <c r="F37" s="127"/>
      <c r="G37" s="127"/>
      <c r="H37" s="127"/>
    </row>
    <row r="38" spans="1:8" ht="43.5" customHeight="1" x14ac:dyDescent="0.3">
      <c r="A38" s="129" t="s">
        <v>40</v>
      </c>
      <c r="B38" s="129"/>
      <c r="C38" s="130" t="s">
        <v>41</v>
      </c>
      <c r="D38" s="130"/>
      <c r="E38" s="130"/>
      <c r="F38" s="130"/>
      <c r="G38" s="130"/>
      <c r="H38" s="130"/>
    </row>
    <row r="39" spans="1:8" ht="43.5" customHeight="1" x14ac:dyDescent="0.3">
      <c r="A39" s="126" t="s">
        <v>42</v>
      </c>
      <c r="B39" s="126"/>
      <c r="C39" s="127" t="s">
        <v>43</v>
      </c>
      <c r="D39" s="127"/>
      <c r="E39" s="127"/>
      <c r="F39" s="127"/>
      <c r="G39" s="127"/>
      <c r="H39" s="127"/>
    </row>
    <row r="40" spans="1:8" ht="43.5" customHeight="1" x14ac:dyDescent="0.3">
      <c r="A40" s="132" t="s">
        <v>1507</v>
      </c>
      <c r="B40" s="133"/>
      <c r="C40" s="134" t="s">
        <v>2273</v>
      </c>
      <c r="D40" s="134"/>
      <c r="E40" s="134"/>
      <c r="F40" s="134"/>
      <c r="G40" s="134"/>
      <c r="H40" s="134"/>
    </row>
    <row r="41" spans="1:8" ht="19.5" customHeight="1" x14ac:dyDescent="0.3">
      <c r="A41" s="128" t="s">
        <v>44</v>
      </c>
      <c r="B41" s="128"/>
      <c r="C41" s="128"/>
      <c r="D41" s="128"/>
      <c r="E41" s="128"/>
      <c r="F41" s="128"/>
      <c r="G41" s="128"/>
      <c r="H41" s="128"/>
    </row>
  </sheetData>
  <mergeCells count="48">
    <mergeCell ref="A1:H1"/>
    <mergeCell ref="A8:H8"/>
    <mergeCell ref="A9:H9"/>
    <mergeCell ref="A11:H11"/>
    <mergeCell ref="A12:B12"/>
    <mergeCell ref="C12:H12"/>
    <mergeCell ref="A13:B13"/>
    <mergeCell ref="C13:H13"/>
    <mergeCell ref="A14:H14"/>
    <mergeCell ref="A15:B15"/>
    <mergeCell ref="C15:H15"/>
    <mergeCell ref="A16:B16"/>
    <mergeCell ref="C16:H16"/>
    <mergeCell ref="A17:H17"/>
    <mergeCell ref="A18:B18"/>
    <mergeCell ref="C18:H18"/>
    <mergeCell ref="A19:B19"/>
    <mergeCell ref="C19:H19"/>
    <mergeCell ref="A20:H20"/>
    <mergeCell ref="A21:B21"/>
    <mergeCell ref="C21:H21"/>
    <mergeCell ref="A22:B22"/>
    <mergeCell ref="C22:H22"/>
    <mergeCell ref="A23:B23"/>
    <mergeCell ref="C23:H23"/>
    <mergeCell ref="A24:H24"/>
    <mergeCell ref="B27:E29"/>
    <mergeCell ref="F27:H29"/>
    <mergeCell ref="A31:H31"/>
    <mergeCell ref="A32:B32"/>
    <mergeCell ref="C32:H32"/>
    <mergeCell ref="A33:B33"/>
    <mergeCell ref="C33:H33"/>
    <mergeCell ref="A34:B34"/>
    <mergeCell ref="C34:H34"/>
    <mergeCell ref="A35:B35"/>
    <mergeCell ref="C35:H35"/>
    <mergeCell ref="A39:B39"/>
    <mergeCell ref="C39:H39"/>
    <mergeCell ref="A41:H41"/>
    <mergeCell ref="A36:B36"/>
    <mergeCell ref="C36:H36"/>
    <mergeCell ref="A37:B37"/>
    <mergeCell ref="C37:H37"/>
    <mergeCell ref="A38:B38"/>
    <mergeCell ref="C38:H38"/>
    <mergeCell ref="A40:B40"/>
    <mergeCell ref="C40:H40"/>
  </mergeCells>
  <hyperlinks>
    <hyperlink ref="A12" r:id="rId1" location="'1·PRODUÇÃO'!A1" xr:uid="{00000000-0004-0000-0000-000000000000}"/>
    <hyperlink ref="A13" r:id="rId2" location="'2·DIETA'!A1" xr:uid="{00000000-0004-0000-0000-000001000000}"/>
    <hyperlink ref="A15" r:id="rId3" location="'3·REPRODUÇÃO'!A1" xr:uid="{00000000-0004-0000-0000-000002000000}"/>
    <hyperlink ref="A16" r:id="rId4" location="'3.1·REP-RESUMO'!A1" xr:uid="{00000000-0004-0000-0000-000003000000}"/>
    <hyperlink ref="A18" r:id="rId5" location="'4·REBANHO'!A1" xr:uid="{00000000-0004-0000-0000-000004000000}"/>
    <hyperlink ref="A19" r:id="rId6" location="'5·ESTOQUE'!A1" xr:uid="{00000000-0004-0000-0000-000005000000}"/>
    <hyperlink ref="A21" r:id="rId7" location="'6·FINANCEIRO'!A1" xr:uid="{00000000-0004-0000-0000-000006000000}"/>
    <hyperlink ref="A22" r:id="rId8" location="'7·RESULTADOS'!A1" xr:uid="{00000000-0004-0000-0000-000007000000}"/>
  </hyperlinks>
  <pageMargins left="0.75" right="0.75" top="1" bottom="1" header="0.511811023622047" footer="0.511811023622047"/>
  <pageSetup paperSize="9" orientation="portrait" horizontalDpi="300" verticalDpi="300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B8860B"/>
  </sheetPr>
  <dimension ref="A1:N60"/>
  <sheetViews>
    <sheetView showGridLines="0" zoomScaleNormal="100" workbookViewId="0">
      <selection activeCell="S11" sqref="S11"/>
    </sheetView>
  </sheetViews>
  <sheetFormatPr defaultColWidth="8.6640625" defaultRowHeight="14.4" x14ac:dyDescent="0.3"/>
  <cols>
    <col min="1" max="14" width="12.44140625" customWidth="1"/>
  </cols>
  <sheetData>
    <row r="1" spans="1:14" ht="39.75" customHeight="1" x14ac:dyDescent="0.3">
      <c r="A1" s="122" t="s">
        <v>45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</row>
    <row r="2" spans="1:14" ht="15" customHeight="1" x14ac:dyDescent="0.3">
      <c r="A2" s="123" t="s">
        <v>46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</row>
    <row r="4" spans="1:14" ht="18.75" customHeight="1" x14ac:dyDescent="0.3">
      <c r="A4" s="124" t="s">
        <v>47</v>
      </c>
      <c r="B4" s="124"/>
      <c r="C4" s="124"/>
      <c r="D4" s="124"/>
      <c r="E4" s="124"/>
      <c r="F4" s="124"/>
      <c r="H4" s="152" t="s">
        <v>48</v>
      </c>
      <c r="I4" s="152"/>
      <c r="J4" s="152" t="s">
        <v>49</v>
      </c>
      <c r="K4" s="152"/>
      <c r="L4" s="152" t="s">
        <v>50</v>
      </c>
      <c r="M4" s="152"/>
    </row>
    <row r="5" spans="1:14" ht="21.75" customHeight="1" x14ac:dyDescent="0.3">
      <c r="A5" s="1" t="s">
        <v>51</v>
      </c>
      <c r="B5" s="2">
        <v>45658</v>
      </c>
      <c r="C5" s="1" t="s">
        <v>52</v>
      </c>
      <c r="D5" s="2">
        <v>46387</v>
      </c>
      <c r="E5" s="1" t="s">
        <v>53</v>
      </c>
      <c r="F5" s="3" t="s">
        <v>54</v>
      </c>
      <c r="H5" s="149">
        <f>COUNTIF(GERAL!$J:$J,"&gt;0")</f>
        <v>36</v>
      </c>
      <c r="I5" s="149"/>
      <c r="J5" s="149">
        <f>SUM(GERAL!$J:$J)</f>
        <v>755</v>
      </c>
      <c r="K5" s="149"/>
      <c r="L5" s="148">
        <f>IFERROR(AVERAGEIF(GERAL!$J:$J,"&gt;0"),0)</f>
        <v>20.972222222222221</v>
      </c>
      <c r="M5" s="148"/>
    </row>
    <row r="6" spans="1:14" ht="15" customHeight="1" x14ac:dyDescent="0.3">
      <c r="A6" s="1" t="s">
        <v>55</v>
      </c>
      <c r="B6" s="4">
        <v>0</v>
      </c>
      <c r="C6" s="1" t="s">
        <v>52</v>
      </c>
      <c r="D6" s="4">
        <v>1000</v>
      </c>
      <c r="H6" s="149"/>
      <c r="I6" s="149"/>
      <c r="J6" s="149"/>
      <c r="K6" s="149"/>
      <c r="L6" s="148"/>
      <c r="M6" s="148"/>
    </row>
    <row r="7" spans="1:14" ht="15" customHeight="1" x14ac:dyDescent="0.3">
      <c r="H7" s="150" t="s">
        <v>56</v>
      </c>
      <c r="I7" s="150"/>
      <c r="J7" s="150" t="s">
        <v>57</v>
      </c>
      <c r="K7" s="150"/>
      <c r="L7" s="151" t="s">
        <v>58</v>
      </c>
      <c r="M7" s="151"/>
    </row>
    <row r="8" spans="1:14" ht="21.75" customHeight="1" x14ac:dyDescent="0.3">
      <c r="H8" s="148">
        <f>IFERROR(AVERAGEIFS(LEITE!$F$2:$F$872,LEITE!$E$2:$E$872,"&gt;="&amp;$B$5,LEITE!$E$2:$E$872,"&lt;="&amp;$D$5,LEITE!$J$2:$J$872,"&gt;="&amp;$B$6,LEITE!$J$2:$J$872,"&lt;="&amp;$D$6),0)</f>
        <v>20.928395061728391</v>
      </c>
      <c r="I8" s="148"/>
      <c r="J8" s="149">
        <f>COUNTIFS(LEITE!$E$2:$E$872,"&gt;="&amp;$B$5,LEITE!$E$2:$E$872,"&lt;="&amp;$D$5,LEITE!$J$2:$J$872,"&gt;="&amp;$B$6,LEITE!$J$2:$J$872,"&lt;="&amp;$D$6)</f>
        <v>567</v>
      </c>
      <c r="K8" s="149"/>
      <c r="L8" s="149">
        <f>IFERROR(AVERAGEIF(REPRODUTIVO!$Y:$Y,"&gt;0"),0)</f>
        <v>352</v>
      </c>
      <c r="M8" s="149"/>
    </row>
    <row r="9" spans="1:14" ht="15" customHeight="1" x14ac:dyDescent="0.3">
      <c r="H9" s="148"/>
      <c r="I9" s="148"/>
      <c r="J9" s="149"/>
      <c r="K9" s="149"/>
      <c r="L9" s="149"/>
      <c r="M9" s="149"/>
    </row>
    <row r="11" spans="1:14" ht="18.75" customHeight="1" x14ac:dyDescent="0.3">
      <c r="A11" s="121" t="s">
        <v>59</v>
      </c>
      <c r="B11" s="121"/>
      <c r="C11" s="121"/>
      <c r="D11" s="121"/>
      <c r="E11" s="121"/>
      <c r="F11" s="121"/>
    </row>
    <row r="12" spans="1:14" ht="15" customHeight="1" x14ac:dyDescent="0.3">
      <c r="A12" s="7" t="s">
        <v>60</v>
      </c>
      <c r="B12" s="7" t="s">
        <v>61</v>
      </c>
      <c r="C12" s="7" t="s">
        <v>62</v>
      </c>
    </row>
    <row r="13" spans="1:14" ht="15" customHeight="1" x14ac:dyDescent="0.3">
      <c r="A13" s="8" t="s">
        <v>63</v>
      </c>
      <c r="B13" s="9">
        <f>IFERROR(AVERAGEIFS(LEITE!$F$2:$F$872,LEITE!$J$2:$J$872,"&gt;="&amp;0,LEITE!$J$2:$J$872,"&lt;="&amp;60,LEITE!$E$2:$E$872,"&gt;="&amp;$B$5,LEITE!$E$2:$E$872,"&lt;="&amp;$D$5),0)</f>
        <v>19.650769230769232</v>
      </c>
      <c r="C13" s="10">
        <f>COUNTIFS(LEITE!$J$2:$J$872,"&gt;="&amp;0,LEITE!$J$2:$J$872,"&lt;="&amp;60,LEITE!$E$2:$E$872,"&gt;="&amp;$B$5,LEITE!$E$2:$E$872,"&lt;="&amp;$D$5)</f>
        <v>130</v>
      </c>
    </row>
    <row r="14" spans="1:14" ht="15" customHeight="1" x14ac:dyDescent="0.3">
      <c r="A14" s="8" t="s">
        <v>64</v>
      </c>
      <c r="B14" s="9">
        <f>IFERROR(AVERAGEIFS(LEITE!$F$2:$F$872,LEITE!$J$2:$J$872,"&gt;="&amp;61,LEITE!$J$2:$J$872,"&lt;="&amp;120,LEITE!$E$2:$E$872,"&gt;="&amp;$B$5,LEITE!$E$2:$E$872,"&lt;="&amp;$D$5),0)</f>
        <v>22.277310924369747</v>
      </c>
      <c r="C14" s="10">
        <f>COUNTIFS(LEITE!$J$2:$J$872,"&gt;="&amp;61,LEITE!$J$2:$J$872,"&lt;="&amp;120,LEITE!$E$2:$E$872,"&gt;="&amp;$B$5,LEITE!$E$2:$E$872,"&lt;="&amp;$D$5)</f>
        <v>119</v>
      </c>
    </row>
    <row r="15" spans="1:14" ht="15" customHeight="1" x14ac:dyDescent="0.3">
      <c r="A15" s="8" t="s">
        <v>65</v>
      </c>
      <c r="B15" s="9">
        <f>IFERROR(AVERAGEIFS(LEITE!$F$2:$F$872,LEITE!$J$2:$J$872,"&gt;="&amp;121,LEITE!$J$2:$J$872,"&lt;="&amp;180,LEITE!$E$2:$E$872,"&gt;="&amp;$B$5,LEITE!$E$2:$E$872,"&lt;="&amp;$D$5),0)</f>
        <v>23.544247787610622</v>
      </c>
      <c r="C15" s="10">
        <f>COUNTIFS(LEITE!$J$2:$J$872,"&gt;="&amp;121,LEITE!$J$2:$J$872,"&lt;="&amp;180,LEITE!$E$2:$E$872,"&gt;="&amp;$B$5,LEITE!$E$2:$E$872,"&lt;="&amp;$D$5)</f>
        <v>113</v>
      </c>
    </row>
    <row r="16" spans="1:14" ht="15" customHeight="1" x14ac:dyDescent="0.3">
      <c r="A16" s="8" t="s">
        <v>66</v>
      </c>
      <c r="B16" s="9">
        <f>IFERROR(AVERAGEIFS(LEITE!$F$2:$F$872,LEITE!$J$2:$J$872,"&gt;="&amp;181,LEITE!$J$2:$J$872,"&lt;="&amp;240,LEITE!$E$2:$E$872,"&gt;="&amp;$B$5,LEITE!$E$2:$E$872,"&lt;="&amp;$D$5),0)</f>
        <v>21.270000000000003</v>
      </c>
      <c r="C16" s="10">
        <f>COUNTIFS(LEITE!$J$2:$J$872,"&gt;="&amp;181,LEITE!$J$2:$J$872,"&lt;="&amp;240,LEITE!$E$2:$E$872,"&gt;="&amp;$B$5,LEITE!$E$2:$E$872,"&lt;="&amp;$D$5)</f>
        <v>90</v>
      </c>
    </row>
    <row r="17" spans="1:6" ht="15" customHeight="1" x14ac:dyDescent="0.3">
      <c r="A17" s="8" t="s">
        <v>67</v>
      </c>
      <c r="B17" s="9">
        <f>IFERROR(AVERAGEIFS(LEITE!$F$2:$F$872,LEITE!$J$2:$J$872,"&gt;="&amp;241,LEITE!$J$2:$J$872,"&lt;="&amp;305,LEITE!$E$2:$E$872,"&gt;="&amp;$B$5,LEITE!$E$2:$E$872,"&lt;="&amp;$D$5),0)</f>
        <v>20.841538461538462</v>
      </c>
      <c r="C17" s="10">
        <f>COUNTIFS(LEITE!$J$2:$J$872,"&gt;="&amp;241,LEITE!$J$2:$J$872,"&lt;="&amp;305,LEITE!$E$2:$E$872,"&gt;="&amp;$B$5,LEITE!$E$2:$E$872,"&lt;="&amp;$D$5)</f>
        <v>65</v>
      </c>
    </row>
    <row r="18" spans="1:6" ht="15" customHeight="1" x14ac:dyDescent="0.3">
      <c r="A18" s="8" t="s">
        <v>68</v>
      </c>
      <c r="B18" s="9">
        <f>IFERROR(AVERAGEIFS(LEITE!$F$2:$F$872,LEITE!$J$2:$J$872,"&gt;="&amp;306,LEITE!$J$2:$J$872,"&lt;="&amp;99999,LEITE!$E$2:$E$872,"&gt;="&amp;$B$5,LEITE!$E$2:$E$872,"&lt;="&amp;$D$5),0)</f>
        <v>14.625999999999999</v>
      </c>
      <c r="C18" s="10">
        <f>COUNTIFS(LEITE!$J$2:$J$872,"&gt;="&amp;306,LEITE!$J$2:$J$872,"&lt;="&amp;99999,LEITE!$E$2:$E$872,"&gt;="&amp;$B$5,LEITE!$E$2:$E$872,"&lt;="&amp;$D$5)</f>
        <v>50</v>
      </c>
    </row>
    <row r="30" spans="1:6" ht="18.75" customHeight="1" x14ac:dyDescent="0.3">
      <c r="A30" s="121" t="s">
        <v>69</v>
      </c>
      <c r="B30" s="121"/>
      <c r="C30" s="121"/>
      <c r="D30" s="121"/>
      <c r="E30" s="121"/>
      <c r="F30" s="121"/>
    </row>
    <row r="31" spans="1:6" ht="15" customHeight="1" x14ac:dyDescent="0.3">
      <c r="A31" s="7" t="s">
        <v>70</v>
      </c>
      <c r="B31" s="7" t="s">
        <v>71</v>
      </c>
      <c r="C31" s="7" t="s">
        <v>72</v>
      </c>
      <c r="D31" s="7" t="s">
        <v>73</v>
      </c>
    </row>
    <row r="32" spans="1:6" ht="15" customHeight="1" x14ac:dyDescent="0.3">
      <c r="A32" s="11">
        <v>0</v>
      </c>
      <c r="B32" s="12">
        <f>IFERROR(SUMPRODUCT(--((REPRODUTIVO!$AH$2:$AH$374)),--((REPRODUTIVO!$E$2:$E$374=0)*(($F$5="(Todos)")+(REPRODUTIVO!$AP$2:$AP$374=$F$5)&gt;0)*1))/SUMPRODUCT(--((REPRODUTIVO!$AI$2:$AI$374)),--((REPRODUTIVO!$E$2:$E$374=0)*(($F$5="(Todos)")+(REPRODUTIVO!$AP$2:$AP$374=$F$5)&gt;0)*1)),0)</f>
        <v>0.65193370165745856</v>
      </c>
      <c r="C32" s="9">
        <f>IFERROR(SUMPRODUCT(--((REPRODUTIVO!$Z$2:$Z$374)),--((REPRODUTIVO!$E$2:$E$374=0)*(($F$5="(Todos)")+(REPRODUTIVO!$AP$2:$AP$374=$F$5)&gt;0)*1),--(--(REPRODUTIVO!$Z$2:$Z$374&gt;0)))/SUMPRODUCT(--((REPRODUTIVO!$E$2:$E$374=0)*(($F$5="(Todos)")+(REPRODUTIVO!$AP$2:$AP$374=$F$5)&gt;0)*1),--(--(REPRODUTIVO!$Z$2:$Z$374&gt;0))),0)</f>
        <v>0</v>
      </c>
      <c r="D32" s="10">
        <f>SUMPRODUCT(--((REPRODUTIVO!$E$2:$E$374=0)*(($F$5="(Todos)")+(REPRODUTIVO!$AP$2:$AP$374=$F$5)&gt;0)*1))</f>
        <v>186</v>
      </c>
    </row>
    <row r="33" spans="1:4" ht="15" customHeight="1" x14ac:dyDescent="0.3">
      <c r="A33" s="11">
        <v>1</v>
      </c>
      <c r="B33" s="12">
        <f>IFERROR(SUMPRODUCT(--((REPRODUTIVO!$AH$2:$AH$374)),--((REPRODUTIVO!$E$2:$E$374=1)*(($F$5="(Todos)")+(REPRODUTIVO!$AP$2:$AP$374=$F$5)&gt;0)*1))/SUMPRODUCT(--((REPRODUTIVO!$AI$2:$AI$374)),--((REPRODUTIVO!$E$2:$E$374=1)*(($F$5="(Todos)")+(REPRODUTIVO!$AP$2:$AP$374=$F$5)&gt;0)*1)),0)</f>
        <v>0.375</v>
      </c>
      <c r="C33" s="9">
        <f>IFERROR(SUMPRODUCT(--((REPRODUTIVO!$Z$2:$Z$374)),--((REPRODUTIVO!$E$2:$E$374=1)*(($F$5="(Todos)")+(REPRODUTIVO!$AP$2:$AP$374=$F$5)&gt;0)*1),--(--(REPRODUTIVO!$Z$2:$Z$374&gt;0)))/SUMPRODUCT(--((REPRODUTIVO!$E$2:$E$374=1)*(($F$5="(Todos)")+(REPRODUTIVO!$AP$2:$AP$374=$F$5)&gt;0)*1),--(--(REPRODUTIVO!$Z$2:$Z$374&gt;0))),0)</f>
        <v>8096.6996356589134</v>
      </c>
      <c r="D33" s="10">
        <f>SUMPRODUCT(--((REPRODUTIVO!$E$2:$E$374=1)*(($F$5="(Todos)")+(REPRODUTIVO!$AP$2:$AP$374=$F$5)&gt;0)*1))</f>
        <v>129</v>
      </c>
    </row>
    <row r="34" spans="1:4" ht="15" customHeight="1" x14ac:dyDescent="0.3">
      <c r="A34" s="11">
        <v>2</v>
      </c>
      <c r="B34" s="12">
        <f>IFERROR(SUMPRODUCT(--((REPRODUTIVO!$AH$2:$AH$374)),--((REPRODUTIVO!$E$2:$E$374=2)*(($F$5="(Todos)")+(REPRODUTIVO!$AP$2:$AP$374=$F$5)&gt;0)*1))/SUMPRODUCT(--((REPRODUTIVO!$AI$2:$AI$374)),--((REPRODUTIVO!$E$2:$E$374=2)*(($F$5="(Todos)")+(REPRODUTIVO!$AP$2:$AP$374=$F$5)&gt;0)*1)),0)</f>
        <v>0.29166666666666669</v>
      </c>
      <c r="C34" s="9">
        <f>IFERROR(SUMPRODUCT(--((REPRODUTIVO!$Z$2:$Z$374)),--((REPRODUTIVO!$E$2:$E$374=2)*(($F$5="(Todos)")+(REPRODUTIVO!$AP$2:$AP$374=$F$5)&gt;0)*1),--(--(REPRODUTIVO!$Z$2:$Z$374&gt;0)))/SUMPRODUCT(--((REPRODUTIVO!$E$2:$E$374=2)*(($F$5="(Todos)")+(REPRODUTIVO!$AP$2:$AP$374=$F$5)&gt;0)*1),--(--(REPRODUTIVO!$Z$2:$Z$374&gt;0))),0)</f>
        <v>6889.8257884615368</v>
      </c>
      <c r="D34" s="10">
        <f>SUMPRODUCT(--((REPRODUTIVO!$E$2:$E$374=2)*(($F$5="(Todos)")+(REPRODUTIVO!$AP$2:$AP$374=$F$5)&gt;0)*1))</f>
        <v>52</v>
      </c>
    </row>
    <row r="35" spans="1:4" ht="15" customHeight="1" x14ac:dyDescent="0.3">
      <c r="A35" s="11">
        <v>3</v>
      </c>
      <c r="B35" s="12">
        <f>IFERROR(SUMPRODUCT(--((REPRODUTIVO!$AH$2:$AH$374)),--((REPRODUTIVO!$E$2:$E$374=3)*(($F$5="(Todos)")+(REPRODUTIVO!$AP$2:$AP$374=$F$5)&gt;0)*1))/SUMPRODUCT(--((REPRODUTIVO!$AI$2:$AI$374)),--((REPRODUTIVO!$E$2:$E$374=3)*(($F$5="(Todos)")+(REPRODUTIVO!$AP$2:$AP$374=$F$5)&gt;0)*1)),0)</f>
        <v>0.4</v>
      </c>
      <c r="C35" s="9">
        <f>IFERROR(SUMPRODUCT(--((REPRODUTIVO!$Z$2:$Z$374)),--((REPRODUTIVO!$E$2:$E$374=3)*(($F$5="(Todos)")+(REPRODUTIVO!$AP$2:$AP$374=$F$5)&gt;0)*1),--(--(REPRODUTIVO!$Z$2:$Z$374&gt;0)))/SUMPRODUCT(--((REPRODUTIVO!$E$2:$E$374=3)*(($F$5="(Todos)")+(REPRODUTIVO!$AP$2:$AP$374=$F$5)&gt;0)*1),--(--(REPRODUTIVO!$Z$2:$Z$374&gt;0))),0)</f>
        <v>3534.2916666666665</v>
      </c>
      <c r="D35" s="10">
        <f>SUMPRODUCT(--((REPRODUTIVO!$E$2:$E$374=3)*(($F$5="(Todos)")+(REPRODUTIVO!$AP$2:$AP$374=$F$5)&gt;0)*1))</f>
        <v>6</v>
      </c>
    </row>
    <row r="49" spans="1:8" ht="18.75" customHeight="1" x14ac:dyDescent="0.3">
      <c r="A49" s="121" t="s">
        <v>74</v>
      </c>
      <c r="B49" s="121"/>
      <c r="C49" s="121"/>
      <c r="D49" s="121"/>
      <c r="E49" s="121"/>
      <c r="F49" s="121"/>
    </row>
    <row r="50" spans="1:8" ht="18.75" customHeight="1" x14ac:dyDescent="0.3">
      <c r="A50" s="7" t="s">
        <v>75</v>
      </c>
      <c r="B50" s="7" t="s">
        <v>76</v>
      </c>
      <c r="C50" s="7" t="s">
        <v>77</v>
      </c>
      <c r="D50" s="7" t="s">
        <v>78</v>
      </c>
    </row>
    <row r="51" spans="1:8" ht="15" customHeight="1" x14ac:dyDescent="0.3">
      <c r="A51" s="8" t="s">
        <v>79</v>
      </c>
      <c r="B51" s="9">
        <f>IFERROR(SUMPRODUCT(--((REPRODUTIVO!$AA$2:$AA$374)),--((REPRODUTIVO!$AP$2:$AP$374="Vaca")*(REPRODUTIVO!$AO$2:$AO$374=1)*1),--(--(REPRODUTIVO!$AA$2:$AA$374&gt;0)))/SUMPRODUCT(--((REPRODUTIVO!$AP$2:$AP$374="Vaca")*(REPRODUTIVO!$AO$2:$AO$374=1)*1),--(--(REPRODUTIVO!$AA$2:$AA$374&gt;0))),0)</f>
        <v>6035.4758627450974</v>
      </c>
      <c r="C51" s="9">
        <f>IFERROR(SUMPRODUCT(--((REPRODUTIVO!$AA$2:$AA$374)/IF((REPRODUTIVO!$AC$2:$AC$374-REPRODUTIVO!$AB$2:$AB$374)&gt;0,(REPRODUTIVO!$AC$2:$AC$374-REPRODUTIVO!$AB$2:$AB$374),1)*305),--((REPRODUTIVO!$AP$2:$AP$374="Vaca")*(REPRODUTIVO!$AO$2:$AO$374=1)*1),--(--(REPRODUTIVO!$AA$2:$AA$374&gt;0)),--(--((REPRODUTIVO!$AC$2:$AC$374-REPRODUTIVO!$AB$2:$AB$374)&gt;0)))/SUMPRODUCT(--((REPRODUTIVO!$AP$2:$AP$374="Vaca")*(REPRODUTIVO!$AO$2:$AO$374=1)*1),--(--(REPRODUTIVO!$AA$2:$AA$374&gt;0)),--(--((REPRODUTIVO!$AC$2:$AC$374-REPRODUTIVO!$AB$2:$AB$374)&gt;0))),0)</f>
        <v>1961491.9275925925</v>
      </c>
      <c r="D51" s="10">
        <f>SUMPRODUCT(--((REPRODUTIVO!$AP$2:$AP$374="Vaca")*(REPRODUTIVO!$AO$2:$AO$374=1)*1),--(--(REPRODUTIVO!$AA$2:$AA$374&gt;0)))</f>
        <v>51</v>
      </c>
    </row>
    <row r="52" spans="1:8" ht="15" customHeight="1" x14ac:dyDescent="0.3">
      <c r="A52" s="8" t="s">
        <v>80</v>
      </c>
      <c r="B52" s="9">
        <f>IFERROR(SUMPRODUCT(--((REPRODUTIVO!$AA$2:$AA$374)),--((REPRODUTIVO!$AP$2:$AP$374="Novilha")*(REPRODUTIVO!$AO$2:$AO$374=1)*1),--(--(REPRODUTIVO!$AA$2:$AA$374&gt;0)))/SUMPRODUCT(--((REPRODUTIVO!$AP$2:$AP$374="Novilha")*(REPRODUTIVO!$AO$2:$AO$374=1)*1),--(--(REPRODUTIVO!$AA$2:$AA$374&gt;0))),0)</f>
        <v>2000.8879999999999</v>
      </c>
      <c r="C52" s="9">
        <f>IFERROR(SUMPRODUCT(--((REPRODUTIVO!$AA$2:$AA$374)/IF((REPRODUTIVO!$AC$2:$AC$374-REPRODUTIVO!$AB$2:$AB$374)&gt;0,(REPRODUTIVO!$AC$2:$AC$374-REPRODUTIVO!$AB$2:$AB$374),1)*305),--((REPRODUTIVO!$AP$2:$AP$374="Novilha")*(REPRODUTIVO!$AO$2:$AO$374=1)*1),--(--(REPRODUTIVO!$AA$2:$AA$374&gt;0)),--(--((REPRODUTIVO!$AC$2:$AC$374-REPRODUTIVO!$AB$2:$AB$374)&gt;0)))/SUMPRODUCT(--((REPRODUTIVO!$AP$2:$AP$374="Novilha")*(REPRODUTIVO!$AO$2:$AO$374=1)*1),--(--(REPRODUTIVO!$AA$2:$AA$374&gt;0)),--(--((REPRODUTIVO!$AC$2:$AC$374-REPRODUTIVO!$AB$2:$AB$374)&gt;0))),0)</f>
        <v>241762.52</v>
      </c>
      <c r="D52" s="10">
        <f>SUMPRODUCT(--((REPRODUTIVO!$AP$2:$AP$374="Novilha")*(REPRODUTIVO!$AO$2:$AO$374=1)*1),--(--(REPRODUTIVO!$AA$2:$AA$374&gt;0)))</f>
        <v>3</v>
      </c>
    </row>
    <row r="54" spans="1:8" ht="15" customHeight="1" x14ac:dyDescent="0.3">
      <c r="A54" s="13" t="s">
        <v>81</v>
      </c>
    </row>
    <row r="56" spans="1:8" ht="15" customHeight="1" x14ac:dyDescent="0.3">
      <c r="A56" s="121" t="s">
        <v>82</v>
      </c>
      <c r="B56" s="121"/>
      <c r="C56" s="121"/>
      <c r="D56" s="121"/>
      <c r="E56" s="121"/>
      <c r="F56" s="121"/>
      <c r="G56" s="121"/>
      <c r="H56" s="121"/>
    </row>
    <row r="57" spans="1:8" ht="15" customHeight="1" x14ac:dyDescent="0.3">
      <c r="A57" s="14" t="s">
        <v>83</v>
      </c>
      <c r="B57" s="15"/>
      <c r="C57" s="16">
        <f>$L$5</f>
        <v>20.972222222222221</v>
      </c>
    </row>
    <row r="58" spans="1:8" ht="15" customHeight="1" x14ac:dyDescent="0.3">
      <c r="A58" s="14" t="s">
        <v>84</v>
      </c>
      <c r="B58" s="15"/>
      <c r="C58" s="17">
        <f>$H$5</f>
        <v>36</v>
      </c>
      <c r="D58" s="13" t="s">
        <v>85</v>
      </c>
    </row>
    <row r="59" spans="1:8" ht="15" customHeight="1" x14ac:dyDescent="0.3">
      <c r="A59" s="18" t="s">
        <v>86</v>
      </c>
      <c r="B59" s="15"/>
      <c r="C59" s="19">
        <f>C57*C58</f>
        <v>755</v>
      </c>
    </row>
    <row r="60" spans="1:8" ht="15" customHeight="1" x14ac:dyDescent="0.3">
      <c r="A60" s="14" t="s">
        <v>87</v>
      </c>
      <c r="B60" s="15"/>
      <c r="C60" s="19">
        <f>C59*30</f>
        <v>22650</v>
      </c>
    </row>
  </sheetData>
  <mergeCells count="19">
    <mergeCell ref="A1:N1"/>
    <mergeCell ref="A2:N2"/>
    <mergeCell ref="A4:F4"/>
    <mergeCell ref="H4:I4"/>
    <mergeCell ref="J4:K4"/>
    <mergeCell ref="L4:M4"/>
    <mergeCell ref="H5:I6"/>
    <mergeCell ref="J5:K6"/>
    <mergeCell ref="L5:M6"/>
    <mergeCell ref="H7:I7"/>
    <mergeCell ref="J7:K7"/>
    <mergeCell ref="L7:M7"/>
    <mergeCell ref="A49:F49"/>
    <mergeCell ref="A56:H56"/>
    <mergeCell ref="H8:I9"/>
    <mergeCell ref="J8:K9"/>
    <mergeCell ref="L8:M9"/>
    <mergeCell ref="A11:F11"/>
    <mergeCell ref="A30:F30"/>
  </mergeCells>
  <dataValidations count="1">
    <dataValidation type="list" allowBlank="1" sqref="F5" xr:uid="{00000000-0002-0000-0100-000000000000}">
      <formula1>"(Todos),Novilha,Vaca"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C8932B"/>
  </sheetPr>
  <dimension ref="A1:N53"/>
  <sheetViews>
    <sheetView showGridLines="0" topLeftCell="A4" zoomScaleNormal="100" workbookViewId="0">
      <selection activeCell="B5" sqref="B5"/>
    </sheetView>
  </sheetViews>
  <sheetFormatPr defaultColWidth="8.6640625" defaultRowHeight="14.4" x14ac:dyDescent="0.3"/>
  <cols>
    <col min="1" max="16" width="12" customWidth="1"/>
  </cols>
  <sheetData>
    <row r="1" spans="1:14" ht="39.75" customHeight="1" x14ac:dyDescent="0.3">
      <c r="A1" s="122" t="s">
        <v>88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</row>
    <row r="2" spans="1:14" ht="15" customHeight="1" x14ac:dyDescent="0.3">
      <c r="A2" s="123" t="s">
        <v>89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</row>
    <row r="4" spans="1:14" ht="18.75" customHeight="1" x14ac:dyDescent="0.3">
      <c r="A4" s="124" t="s">
        <v>90</v>
      </c>
      <c r="B4" s="124"/>
      <c r="C4" s="124"/>
      <c r="D4" s="124"/>
      <c r="E4" s="124"/>
      <c r="F4" s="124"/>
      <c r="G4" s="124"/>
      <c r="J4" s="125" t="s">
        <v>91</v>
      </c>
      <c r="K4" s="125"/>
      <c r="L4" s="125"/>
    </row>
    <row r="5" spans="1:14" ht="15" customHeight="1" x14ac:dyDescent="0.3">
      <c r="A5" s="1" t="s">
        <v>92</v>
      </c>
      <c r="B5" s="3">
        <v>1</v>
      </c>
      <c r="C5" s="20" t="s">
        <v>93</v>
      </c>
      <c r="D5" s="21">
        <f>IF($B$5="(Todos)",SUMPRODUCT(--((COUNTIF(GERAL!$D:$D,TEXT(DIETA!$A$2:$A$15,"00")&amp;" - *"))*1)),COUNTIF(GERAL!$D:$D,TEXT($B$5,"00")&amp;" - *"))</f>
        <v>18</v>
      </c>
    </row>
    <row r="6" spans="1:14" ht="15" customHeight="1" x14ac:dyDescent="0.3">
      <c r="A6" s="7" t="s">
        <v>94</v>
      </c>
      <c r="B6" s="7" t="s">
        <v>95</v>
      </c>
      <c r="C6" s="7" t="s">
        <v>96</v>
      </c>
      <c r="J6" s="7" t="s">
        <v>94</v>
      </c>
      <c r="K6" s="7" t="s">
        <v>95</v>
      </c>
      <c r="L6" s="7" t="s">
        <v>97</v>
      </c>
      <c r="M6" s="7" t="s">
        <v>98</v>
      </c>
    </row>
    <row r="7" spans="1:14" ht="15" customHeight="1" x14ac:dyDescent="0.3">
      <c r="A7" s="8" t="s">
        <v>99</v>
      </c>
      <c r="B7" s="9">
        <f>IF($B$5="(Todos)",SUMPRODUCT(--((COUNTIF(GERAL!$D:$D,TEXT(DIETA!$A$2:$A$15,"00")&amp;" - *"))*(DIETA!$C$2:$C$15))),COUNTIF(GERAL!$D:$D,TEXT($B$5,"00")&amp;" - *")*INDEX(DIETA!$C:$C,MATCH($B$5,DIETA!$A:$A,0)))</f>
        <v>540</v>
      </c>
      <c r="C7" s="9">
        <f t="shared" ref="C7:C14" si="0">B7/2</f>
        <v>270</v>
      </c>
      <c r="J7" s="8" t="str">
        <f t="shared" ref="J7:K14" si="1">A7</f>
        <v>Silagem</v>
      </c>
      <c r="K7" s="10">
        <f t="shared" si="1"/>
        <v>540</v>
      </c>
      <c r="L7" s="22">
        <f t="shared" ref="L7:L14" si="2">B7*30</f>
        <v>16200</v>
      </c>
      <c r="M7" s="23" t="str">
        <f t="shared" ref="M7:M14" si="3">IF(OR($J7="Silagem",$J7="Leite (L)",$L7=0),"",CEILING($L7/30,1))</f>
        <v/>
      </c>
    </row>
    <row r="8" spans="1:14" ht="15" customHeight="1" x14ac:dyDescent="0.3">
      <c r="A8" s="8" t="s">
        <v>100</v>
      </c>
      <c r="B8" s="9">
        <f>IF($B$5="(Todos)",SUMPRODUCT(--((COUNTIF(GERAL!$D:$D,TEXT(DIETA!$A$2:$A$15,"00")&amp;" - *"))*(DIETA!$D$2:$D$15))),COUNTIF(GERAL!$D:$D,TEXT($B$5,"00")&amp;" - *")*INDEX(DIETA!$D:$D,MATCH($B$5,DIETA!$A:$A,0)))</f>
        <v>144</v>
      </c>
      <c r="C8" s="9">
        <f t="shared" si="0"/>
        <v>72</v>
      </c>
      <c r="J8" s="8" t="str">
        <f t="shared" si="1"/>
        <v>Teck Milk 24%</v>
      </c>
      <c r="K8" s="10">
        <f t="shared" si="1"/>
        <v>144</v>
      </c>
      <c r="L8" s="22">
        <f t="shared" si="2"/>
        <v>4320</v>
      </c>
      <c r="M8" s="23">
        <f t="shared" si="3"/>
        <v>144</v>
      </c>
    </row>
    <row r="9" spans="1:14" ht="15" customHeight="1" x14ac:dyDescent="0.3">
      <c r="A9" s="8" t="s">
        <v>101</v>
      </c>
      <c r="B9" s="9">
        <f>IF($B$5="(Todos)",SUMPRODUCT(--((COUNTIF(GERAL!$D:$D,TEXT(DIETA!$A$2:$A$15,"00")&amp;" - *"))*(DIETA!$E$2:$E$15))),COUNTIF(GERAL!$D:$D,TEXT($B$5,"00")&amp;" - *")*INDEX(DIETA!$E:$E,MATCH($B$5,DIETA!$A:$A,0)))</f>
        <v>36</v>
      </c>
      <c r="C9" s="9">
        <f t="shared" si="0"/>
        <v>18</v>
      </c>
      <c r="J9" s="8" t="str">
        <f t="shared" si="1"/>
        <v>Milk Proteico</v>
      </c>
      <c r="K9" s="10">
        <f t="shared" si="1"/>
        <v>36</v>
      </c>
      <c r="L9" s="22">
        <f t="shared" si="2"/>
        <v>1080</v>
      </c>
      <c r="M9" s="23">
        <f t="shared" si="3"/>
        <v>36</v>
      </c>
    </row>
    <row r="10" spans="1:14" ht="15" customHeight="1" x14ac:dyDescent="0.3">
      <c r="A10" s="8" t="s">
        <v>102</v>
      </c>
      <c r="B10" s="9">
        <f>IF($B$5="(Todos)",SUMPRODUCT(--((COUNTIF(GERAL!$D:$D,TEXT(DIETA!$A$2:$A$15,"00")&amp;" - *"))*(DIETA!$F$2:$F$15))),COUNTIF(GERAL!$D:$D,TEXT($B$5,"00")&amp;" - *")*INDEX(DIETA!$F:$F,MATCH($B$5,DIETA!$A:$A,0)))</f>
        <v>0</v>
      </c>
      <c r="C10" s="9">
        <f t="shared" si="0"/>
        <v>0</v>
      </c>
      <c r="J10" s="8" t="str">
        <f t="shared" si="1"/>
        <v>Ração Pré-parto</v>
      </c>
      <c r="K10" s="10">
        <f t="shared" si="1"/>
        <v>0</v>
      </c>
      <c r="L10" s="22">
        <f t="shared" si="2"/>
        <v>0</v>
      </c>
      <c r="M10" s="23" t="str">
        <f t="shared" si="3"/>
        <v/>
      </c>
    </row>
    <row r="11" spans="1:14" ht="15" customHeight="1" x14ac:dyDescent="0.3">
      <c r="A11" s="8" t="s">
        <v>103</v>
      </c>
      <c r="B11" s="9">
        <f>IF($B$5="(Todos)",SUMPRODUCT(--((COUNTIF(GERAL!$D:$D,TEXT(DIETA!$A$2:$A$15,"00")&amp;" - *"))*(DIETA!$G$2:$G$15))),COUNTIF(GERAL!$D:$D,TEXT($B$5,"00")&amp;" - *")*INDEX(DIETA!$G:$G,MATCH($B$5,DIETA!$A:$A,0)))</f>
        <v>0</v>
      </c>
      <c r="C11" s="9">
        <f t="shared" si="0"/>
        <v>0</v>
      </c>
      <c r="J11" s="8" t="str">
        <f t="shared" si="1"/>
        <v>Ração Bezerro 1</v>
      </c>
      <c r="K11" s="10">
        <f t="shared" si="1"/>
        <v>0</v>
      </c>
      <c r="L11" s="22">
        <f t="shared" si="2"/>
        <v>0</v>
      </c>
      <c r="M11" s="23" t="str">
        <f t="shared" si="3"/>
        <v/>
      </c>
    </row>
    <row r="12" spans="1:14" ht="15" customHeight="1" x14ac:dyDescent="0.3">
      <c r="A12" s="8" t="s">
        <v>104</v>
      </c>
      <c r="B12" s="9">
        <f>IF($B$5="(Todos)",SUMPRODUCT(--((COUNTIF(GERAL!$D:$D,TEXT(DIETA!$A$2:$A$15,"00")&amp;" - *"))*(DIETA!$H$2:$H$15))),COUNTIF(GERAL!$D:$D,TEXT($B$5,"00")&amp;" - *")*INDEX(DIETA!$H:$H,MATCH($B$5,DIETA!$A:$A,0)))</f>
        <v>0</v>
      </c>
      <c r="C12" s="9">
        <f t="shared" si="0"/>
        <v>0</v>
      </c>
      <c r="J12" s="8" t="str">
        <f t="shared" si="1"/>
        <v>Ração Bezerro 2</v>
      </c>
      <c r="K12" s="10">
        <f t="shared" si="1"/>
        <v>0</v>
      </c>
      <c r="L12" s="22">
        <f t="shared" si="2"/>
        <v>0</v>
      </c>
      <c r="M12" s="23" t="str">
        <f t="shared" si="3"/>
        <v/>
      </c>
    </row>
    <row r="13" spans="1:14" ht="15" customHeight="1" x14ac:dyDescent="0.3">
      <c r="A13" s="8" t="s">
        <v>105</v>
      </c>
      <c r="B13" s="9">
        <f>IF($B$5="(Todos)",SUMPRODUCT(--((COUNTIF(GERAL!$D:$D,TEXT(DIETA!$A$2:$A$15,"00")&amp;" - *"))*(DIETA!$I$2:$I$15))),COUNTIF(GERAL!$D:$D,TEXT($B$5,"00")&amp;" - *")*INDEX(DIETA!$I:$I,MATCH($B$5,DIETA!$A:$A,0)))</f>
        <v>0</v>
      </c>
      <c r="C13" s="9">
        <f t="shared" si="0"/>
        <v>0</v>
      </c>
      <c r="J13" s="8" t="str">
        <f t="shared" si="1"/>
        <v>Corte 21</v>
      </c>
      <c r="K13" s="10">
        <f t="shared" si="1"/>
        <v>0</v>
      </c>
      <c r="L13" s="22">
        <f t="shared" si="2"/>
        <v>0</v>
      </c>
      <c r="M13" s="23" t="str">
        <f t="shared" si="3"/>
        <v/>
      </c>
    </row>
    <row r="14" spans="1:14" ht="15" customHeight="1" x14ac:dyDescent="0.3">
      <c r="A14" s="8" t="s">
        <v>106</v>
      </c>
      <c r="B14" s="9">
        <f>IF($B$5="(Todos)",SUMPRODUCT(--((COUNTIF(GERAL!$D:$D,TEXT(DIETA!$A$2:$A$15,"00")&amp;" - *"))*(DIETA!$J$2:$J$15))),COUNTIF(GERAL!$D:$D,TEXT($B$5,"00")&amp;" - *")*INDEX(DIETA!$J:$J,MATCH($B$5,DIETA!$A:$A,0)))</f>
        <v>0</v>
      </c>
      <c r="C14" s="9">
        <f t="shared" si="0"/>
        <v>0</v>
      </c>
      <c r="J14" s="8" t="str">
        <f t="shared" si="1"/>
        <v>Leite (L)</v>
      </c>
      <c r="K14" s="10">
        <f t="shared" si="1"/>
        <v>0</v>
      </c>
      <c r="L14" s="22">
        <f t="shared" si="2"/>
        <v>0</v>
      </c>
      <c r="M14" s="23" t="str">
        <f t="shared" si="3"/>
        <v/>
      </c>
    </row>
    <row r="15" spans="1:14" ht="15" customHeight="1" x14ac:dyDescent="0.3">
      <c r="J15" s="24" t="s">
        <v>107</v>
      </c>
      <c r="K15" s="25">
        <f>SUM(K7:K14)</f>
        <v>720</v>
      </c>
      <c r="L15" s="25">
        <f>SUM(L7:L14)</f>
        <v>21600</v>
      </c>
      <c r="M15" s="26">
        <f>SUM(M7:M14)</f>
        <v>180</v>
      </c>
    </row>
    <row r="16" spans="1:14" ht="15" customHeight="1" x14ac:dyDescent="0.3">
      <c r="J16" s="27" t="s">
        <v>108</v>
      </c>
    </row>
    <row r="17" spans="1:12" ht="18.75" customHeight="1" x14ac:dyDescent="0.3">
      <c r="A17" s="121" t="s">
        <v>109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</row>
    <row r="18" spans="1:12" ht="15" customHeight="1" x14ac:dyDescent="0.3">
      <c r="A18" s="7" t="s">
        <v>110</v>
      </c>
      <c r="B18" s="7" t="s">
        <v>75</v>
      </c>
      <c r="C18" s="7" t="s">
        <v>111</v>
      </c>
      <c r="D18" s="7" t="s">
        <v>99</v>
      </c>
      <c r="E18" s="7" t="s">
        <v>100</v>
      </c>
      <c r="F18" s="7" t="s">
        <v>101</v>
      </c>
      <c r="G18" s="7" t="s">
        <v>102</v>
      </c>
      <c r="H18" s="7" t="s">
        <v>103</v>
      </c>
      <c r="I18" s="7" t="s">
        <v>104</v>
      </c>
      <c r="J18" s="7" t="s">
        <v>105</v>
      </c>
      <c r="K18" s="7" t="s">
        <v>106</v>
      </c>
      <c r="L18" s="7" t="s">
        <v>112</v>
      </c>
    </row>
    <row r="19" spans="1:12" ht="15" customHeight="1" x14ac:dyDescent="0.3">
      <c r="A19" s="28">
        <f>DIETA!A2</f>
        <v>1</v>
      </c>
      <c r="B19" s="8" t="str">
        <f>DIETA!B2</f>
        <v>Novilhas Alta</v>
      </c>
      <c r="C19" s="29">
        <f>COUNTIF(GERAL!$D:$D,TEXT(DIETA!A2,"00")&amp;" - *")</f>
        <v>18</v>
      </c>
      <c r="D19" s="30">
        <f>$C19*DIETA!C2</f>
        <v>540</v>
      </c>
      <c r="E19" s="30">
        <f>$C19*DIETA!D2</f>
        <v>144</v>
      </c>
      <c r="F19" s="30">
        <f>$C19*DIETA!E2</f>
        <v>36</v>
      </c>
      <c r="G19" s="30">
        <f>$C19*DIETA!F2</f>
        <v>0</v>
      </c>
      <c r="H19" s="30">
        <f>$C19*DIETA!G2</f>
        <v>0</v>
      </c>
      <c r="I19" s="30">
        <f>$C19*DIETA!H2</f>
        <v>0</v>
      </c>
      <c r="J19" s="30">
        <f>$C19*DIETA!I2</f>
        <v>0</v>
      </c>
      <c r="K19" s="30">
        <f>$C19*DIETA!J2</f>
        <v>0</v>
      </c>
      <c r="L19" s="30">
        <f t="shared" ref="L19:L32" si="4">SUM(D19:J19)</f>
        <v>720</v>
      </c>
    </row>
    <row r="20" spans="1:12" ht="15" customHeight="1" x14ac:dyDescent="0.3">
      <c r="A20" s="28">
        <f>DIETA!A3</f>
        <v>2</v>
      </c>
      <c r="B20" s="8" t="str">
        <f>DIETA!B3</f>
        <v>Vacas Alta</v>
      </c>
      <c r="C20" s="29">
        <f>COUNTIF(GERAL!$D:$D,TEXT(DIETA!A3,"00")&amp;" - *")</f>
        <v>9</v>
      </c>
      <c r="D20" s="30">
        <f>$C20*DIETA!C3</f>
        <v>270</v>
      </c>
      <c r="E20" s="30">
        <f>$C20*DIETA!D3</f>
        <v>72</v>
      </c>
      <c r="F20" s="30">
        <f>$C20*DIETA!E3</f>
        <v>18</v>
      </c>
      <c r="G20" s="30">
        <f>$C20*DIETA!F3</f>
        <v>0</v>
      </c>
      <c r="H20" s="30">
        <f>$C20*DIETA!G3</f>
        <v>0</v>
      </c>
      <c r="I20" s="30">
        <f>$C20*DIETA!H3</f>
        <v>0</v>
      </c>
      <c r="J20" s="30">
        <f>$C20*DIETA!I3</f>
        <v>0</v>
      </c>
      <c r="K20" s="30">
        <f>$C20*DIETA!J3</f>
        <v>0</v>
      </c>
      <c r="L20" s="30">
        <f t="shared" si="4"/>
        <v>360</v>
      </c>
    </row>
    <row r="21" spans="1:12" ht="15" customHeight="1" x14ac:dyDescent="0.3">
      <c r="A21" s="28">
        <f>DIETA!A4</f>
        <v>3</v>
      </c>
      <c r="B21" s="8" t="str">
        <f>DIETA!B4</f>
        <v>Média</v>
      </c>
      <c r="C21" s="29">
        <f>COUNTIF(GERAL!$D:$D,TEXT(DIETA!A4,"00")&amp;" - *")</f>
        <v>8</v>
      </c>
      <c r="D21" s="30">
        <f>$C21*DIETA!C4</f>
        <v>240</v>
      </c>
      <c r="E21" s="30">
        <f>$C21*DIETA!D4</f>
        <v>40</v>
      </c>
      <c r="F21" s="30">
        <f>$C21*DIETA!E4</f>
        <v>8</v>
      </c>
      <c r="G21" s="30">
        <f>$C21*DIETA!F4</f>
        <v>0</v>
      </c>
      <c r="H21" s="30">
        <f>$C21*DIETA!G4</f>
        <v>0</v>
      </c>
      <c r="I21" s="30">
        <f>$C21*DIETA!H4</f>
        <v>0</v>
      </c>
      <c r="J21" s="30">
        <f>$C21*DIETA!I4</f>
        <v>0</v>
      </c>
      <c r="K21" s="30">
        <f>$C21*DIETA!J4</f>
        <v>0</v>
      </c>
      <c r="L21" s="30">
        <f t="shared" si="4"/>
        <v>288</v>
      </c>
    </row>
    <row r="22" spans="1:12" ht="15" customHeight="1" x14ac:dyDescent="0.3">
      <c r="A22" s="28">
        <f>DIETA!A5</f>
        <v>4</v>
      </c>
      <c r="B22" s="8" t="str">
        <f>DIETA!B5</f>
        <v>Pré-parto</v>
      </c>
      <c r="C22" s="29">
        <f>COUNTIF(GERAL!$D:$D,TEXT(DIETA!A5,"00")&amp;" - *")</f>
        <v>4</v>
      </c>
      <c r="D22" s="30">
        <f>$C22*DIETA!C5</f>
        <v>120</v>
      </c>
      <c r="E22" s="30">
        <f>$C22*DIETA!D5</f>
        <v>0</v>
      </c>
      <c r="F22" s="30">
        <f>$C22*DIETA!E5</f>
        <v>0</v>
      </c>
      <c r="G22" s="30">
        <f>$C22*DIETA!F5</f>
        <v>14</v>
      </c>
      <c r="H22" s="30">
        <f>$C22*DIETA!G5</f>
        <v>0</v>
      </c>
      <c r="I22" s="30">
        <f>$C22*DIETA!H5</f>
        <v>0</v>
      </c>
      <c r="J22" s="30">
        <f>$C22*DIETA!I5</f>
        <v>0</v>
      </c>
      <c r="K22" s="30">
        <f>$C22*DIETA!J5</f>
        <v>0</v>
      </c>
      <c r="L22" s="30">
        <f t="shared" si="4"/>
        <v>134</v>
      </c>
    </row>
    <row r="23" spans="1:12" ht="15" customHeight="1" x14ac:dyDescent="0.3">
      <c r="A23" s="28">
        <f>DIETA!A6</f>
        <v>5</v>
      </c>
      <c r="B23" s="8" t="str">
        <f>DIETA!B6</f>
        <v>Secas</v>
      </c>
      <c r="C23" s="29">
        <f>COUNTIF(GERAL!$D:$D,TEXT(DIETA!A6,"00")&amp;" - *")</f>
        <v>2</v>
      </c>
      <c r="D23" s="30">
        <f>$C23*DIETA!C6</f>
        <v>60</v>
      </c>
      <c r="E23" s="30">
        <f>$C23*DIETA!D6</f>
        <v>0</v>
      </c>
      <c r="F23" s="30">
        <f>$C23*DIETA!E6</f>
        <v>1</v>
      </c>
      <c r="G23" s="30">
        <f>$C23*DIETA!F6</f>
        <v>0</v>
      </c>
      <c r="H23" s="30">
        <f>$C23*DIETA!G6</f>
        <v>0</v>
      </c>
      <c r="I23" s="30">
        <f>$C23*DIETA!H6</f>
        <v>0</v>
      </c>
      <c r="J23" s="30">
        <f>$C23*DIETA!I6</f>
        <v>0</v>
      </c>
      <c r="K23" s="30">
        <f>$C23*DIETA!J6</f>
        <v>0</v>
      </c>
      <c r="L23" s="30">
        <f t="shared" si="4"/>
        <v>61</v>
      </c>
    </row>
    <row r="24" spans="1:12" ht="15" customHeight="1" x14ac:dyDescent="0.3">
      <c r="A24" s="28">
        <f>DIETA!A7</f>
        <v>6</v>
      </c>
      <c r="B24" s="8" t="str">
        <f>DIETA!B7</f>
        <v>Bez 1 (0-30d)</v>
      </c>
      <c r="C24" s="29">
        <f>COUNTIF(GERAL!$D:$D,TEXT(DIETA!A7,"00")&amp;" - *")</f>
        <v>5</v>
      </c>
      <c r="D24" s="30">
        <f>$C24*DIETA!C7</f>
        <v>0</v>
      </c>
      <c r="E24" s="30">
        <f>$C24*DIETA!D7</f>
        <v>0</v>
      </c>
      <c r="F24" s="30">
        <f>$C24*DIETA!E7</f>
        <v>0</v>
      </c>
      <c r="G24" s="30">
        <f>$C24*DIETA!F7</f>
        <v>0</v>
      </c>
      <c r="H24" s="30">
        <f>$C24*DIETA!G7</f>
        <v>10</v>
      </c>
      <c r="I24" s="30">
        <f>$C24*DIETA!H7</f>
        <v>0</v>
      </c>
      <c r="J24" s="30">
        <f>$C24*DIETA!I7</f>
        <v>0</v>
      </c>
      <c r="K24" s="30">
        <f>$C24*DIETA!J7</f>
        <v>30</v>
      </c>
      <c r="L24" s="30">
        <f t="shared" si="4"/>
        <v>10</v>
      </c>
    </row>
    <row r="25" spans="1:12" ht="15" customHeight="1" x14ac:dyDescent="0.3">
      <c r="A25" s="28">
        <f>DIETA!A8</f>
        <v>7</v>
      </c>
      <c r="B25" s="8" t="str">
        <f>DIETA!B8</f>
        <v>Bez 2 (31-60d)</v>
      </c>
      <c r="C25" s="29">
        <f>COUNTIF(GERAL!$D:$D,TEXT(DIETA!A8,"00")&amp;" - *")</f>
        <v>2</v>
      </c>
      <c r="D25" s="30">
        <f>$C25*DIETA!C8</f>
        <v>0</v>
      </c>
      <c r="E25" s="30">
        <f>$C25*DIETA!D8</f>
        <v>0</v>
      </c>
      <c r="F25" s="30">
        <f>$C25*DIETA!E8</f>
        <v>0</v>
      </c>
      <c r="G25" s="30">
        <f>$C25*DIETA!F8</f>
        <v>0</v>
      </c>
      <c r="H25" s="30">
        <f>$C25*DIETA!G8</f>
        <v>4</v>
      </c>
      <c r="I25" s="30">
        <f>$C25*DIETA!H8</f>
        <v>0</v>
      </c>
      <c r="J25" s="30">
        <f>$C25*DIETA!I8</f>
        <v>0</v>
      </c>
      <c r="K25" s="30">
        <f>$C25*DIETA!J8</f>
        <v>12</v>
      </c>
      <c r="L25" s="30">
        <f t="shared" si="4"/>
        <v>4</v>
      </c>
    </row>
    <row r="26" spans="1:12" ht="15" customHeight="1" x14ac:dyDescent="0.3">
      <c r="A26" s="28">
        <f>DIETA!A9</f>
        <v>8</v>
      </c>
      <c r="B26" s="8" t="str">
        <f>DIETA!B9</f>
        <v>Bez 3 (61-90d)</v>
      </c>
      <c r="C26" s="29">
        <f>COUNTIF(GERAL!$D:$D,TEXT(DIETA!A9,"00")&amp;" - *")</f>
        <v>2</v>
      </c>
      <c r="D26" s="30">
        <f>$C26*DIETA!C9</f>
        <v>0</v>
      </c>
      <c r="E26" s="30">
        <f>$C26*DIETA!D9</f>
        <v>0</v>
      </c>
      <c r="F26" s="30">
        <f>$C26*DIETA!E9</f>
        <v>0</v>
      </c>
      <c r="G26" s="30">
        <f>$C26*DIETA!F9</f>
        <v>0</v>
      </c>
      <c r="H26" s="30">
        <f>$C26*DIETA!G9</f>
        <v>4</v>
      </c>
      <c r="I26" s="30">
        <f>$C26*DIETA!H9</f>
        <v>0</v>
      </c>
      <c r="J26" s="30">
        <f>$C26*DIETA!I9</f>
        <v>0</v>
      </c>
      <c r="K26" s="30">
        <f>$C26*DIETA!J9</f>
        <v>12</v>
      </c>
      <c r="L26" s="30">
        <f t="shared" si="4"/>
        <v>4</v>
      </c>
    </row>
    <row r="27" spans="1:12" ht="15" customHeight="1" x14ac:dyDescent="0.3">
      <c r="A27" s="28">
        <f>DIETA!A10</f>
        <v>9</v>
      </c>
      <c r="B27" s="8" t="str">
        <f>DIETA!B10</f>
        <v>Desmama</v>
      </c>
      <c r="C27" s="29">
        <f>COUNTIF(GERAL!$D:$D,TEXT(DIETA!A10,"00")&amp;" - *")</f>
        <v>6</v>
      </c>
      <c r="D27" s="30">
        <f>$C27*DIETA!C10</f>
        <v>24</v>
      </c>
      <c r="E27" s="30">
        <f>$C27*DIETA!D10</f>
        <v>0</v>
      </c>
      <c r="F27" s="30">
        <f>$C27*DIETA!E10</f>
        <v>0</v>
      </c>
      <c r="G27" s="30">
        <f>$C27*DIETA!F10</f>
        <v>0</v>
      </c>
      <c r="H27" s="30">
        <f>$C27*DIETA!G10</f>
        <v>0</v>
      </c>
      <c r="I27" s="30">
        <f>$C27*DIETA!H10</f>
        <v>12</v>
      </c>
      <c r="J27" s="30">
        <f>$C27*DIETA!I10</f>
        <v>0</v>
      </c>
      <c r="K27" s="30">
        <f>$C27*DIETA!J10</f>
        <v>0</v>
      </c>
      <c r="L27" s="30">
        <f t="shared" si="4"/>
        <v>36</v>
      </c>
    </row>
    <row r="28" spans="1:12" ht="18.75" customHeight="1" x14ac:dyDescent="0.3">
      <c r="A28" s="28">
        <f>DIETA!A11</f>
        <v>10</v>
      </c>
      <c r="B28" s="8" t="str">
        <f>DIETA!B11</f>
        <v>Recria 1 (160-250kg)</v>
      </c>
      <c r="C28" s="29">
        <f>COUNTIF(GERAL!$D:$D,TEXT(DIETA!A11,"00")&amp;" - *")</f>
        <v>4</v>
      </c>
      <c r="D28" s="30">
        <f>$C28*DIETA!C11</f>
        <v>44</v>
      </c>
      <c r="E28" s="30">
        <f>$C28*DIETA!D11</f>
        <v>0</v>
      </c>
      <c r="F28" s="30">
        <f>$C28*DIETA!E11</f>
        <v>0</v>
      </c>
      <c r="G28" s="30">
        <f>$C28*DIETA!F11</f>
        <v>0</v>
      </c>
      <c r="H28" s="30">
        <f>$C28*DIETA!G11</f>
        <v>0</v>
      </c>
      <c r="I28" s="30">
        <f>$C28*DIETA!H11</f>
        <v>0</v>
      </c>
      <c r="J28" s="30">
        <f>$C28*DIETA!I11</f>
        <v>8</v>
      </c>
      <c r="K28" s="30">
        <f>$C28*DIETA!J11</f>
        <v>0</v>
      </c>
      <c r="L28" s="30">
        <f t="shared" si="4"/>
        <v>52</v>
      </c>
    </row>
    <row r="29" spans="1:12" ht="18.75" customHeight="1" x14ac:dyDescent="0.3">
      <c r="A29" s="28">
        <f>DIETA!A12</f>
        <v>11</v>
      </c>
      <c r="B29" s="8" t="str">
        <f>DIETA!B12</f>
        <v>Recria 2 (300-350kg)</v>
      </c>
      <c r="C29" s="29">
        <f>COUNTIF(GERAL!$D:$D,TEXT(DIETA!A12,"00")&amp;" - *")</f>
        <v>15</v>
      </c>
      <c r="D29" s="30">
        <f>$C29*DIETA!C12</f>
        <v>300</v>
      </c>
      <c r="E29" s="30">
        <f>$C29*DIETA!D12</f>
        <v>0</v>
      </c>
      <c r="F29" s="30">
        <f>$C29*DIETA!E12</f>
        <v>15</v>
      </c>
      <c r="G29" s="30">
        <f>$C29*DIETA!F12</f>
        <v>0</v>
      </c>
      <c r="H29" s="30">
        <f>$C29*DIETA!G12</f>
        <v>0</v>
      </c>
      <c r="I29" s="30">
        <f>$C29*DIETA!H12</f>
        <v>0</v>
      </c>
      <c r="J29" s="30">
        <f>$C29*DIETA!I12</f>
        <v>0</v>
      </c>
      <c r="K29" s="30">
        <f>$C29*DIETA!J12</f>
        <v>0</v>
      </c>
      <c r="L29" s="30">
        <f t="shared" si="4"/>
        <v>315</v>
      </c>
    </row>
    <row r="30" spans="1:12" ht="18.75" customHeight="1" x14ac:dyDescent="0.3">
      <c r="A30" s="28">
        <f>DIETA!A13</f>
        <v>12</v>
      </c>
      <c r="B30" s="8" t="str">
        <f>DIETA!B13</f>
        <v>Novilhas Gestantes</v>
      </c>
      <c r="C30" s="29">
        <f>COUNTIF(GERAL!$D:$D,TEXT(DIETA!A13,"00")&amp;" - *")</f>
        <v>13</v>
      </c>
      <c r="D30" s="30">
        <f>$C30*DIETA!C13</f>
        <v>325</v>
      </c>
      <c r="E30" s="30">
        <f>$C30*DIETA!D13</f>
        <v>0</v>
      </c>
      <c r="F30" s="30">
        <f>$C30*DIETA!E13</f>
        <v>13</v>
      </c>
      <c r="G30" s="30">
        <f>$C30*DIETA!F13</f>
        <v>0</v>
      </c>
      <c r="H30" s="30">
        <f>$C30*DIETA!G13</f>
        <v>0</v>
      </c>
      <c r="I30" s="30">
        <f>$C30*DIETA!H13</f>
        <v>0</v>
      </c>
      <c r="J30" s="30">
        <f>$C30*DIETA!I13</f>
        <v>0</v>
      </c>
      <c r="K30" s="30">
        <f>$C30*DIETA!J13</f>
        <v>0</v>
      </c>
      <c r="L30" s="30">
        <f t="shared" si="4"/>
        <v>338</v>
      </c>
    </row>
    <row r="31" spans="1:12" ht="18.75" customHeight="1" x14ac:dyDescent="0.3">
      <c r="A31" s="28">
        <f>DIETA!A14</f>
        <v>13</v>
      </c>
      <c r="B31" s="8" t="str">
        <f>DIETA!B14</f>
        <v>Novilhas Holandesas</v>
      </c>
      <c r="C31" s="29">
        <f>COUNTIF(GERAL!$D:$D,TEXT(DIETA!A14,"00")&amp;" - *")</f>
        <v>20</v>
      </c>
      <c r="D31" s="30">
        <f>$C31*DIETA!C14</f>
        <v>500</v>
      </c>
      <c r="E31" s="30">
        <f>$C31*DIETA!D14</f>
        <v>0</v>
      </c>
      <c r="F31" s="30">
        <f>$C31*DIETA!E14</f>
        <v>20</v>
      </c>
      <c r="G31" s="30">
        <f>$C31*DIETA!F14</f>
        <v>0</v>
      </c>
      <c r="H31" s="30">
        <f>$C31*DIETA!G14</f>
        <v>0</v>
      </c>
      <c r="I31" s="30">
        <f>$C31*DIETA!H14</f>
        <v>0</v>
      </c>
      <c r="J31" s="30">
        <f>$C31*DIETA!I14</f>
        <v>0</v>
      </c>
      <c r="K31" s="30">
        <f>$C31*DIETA!J14</f>
        <v>0</v>
      </c>
      <c r="L31" s="30">
        <f t="shared" si="4"/>
        <v>520</v>
      </c>
    </row>
    <row r="32" spans="1:12" ht="15" customHeight="1" x14ac:dyDescent="0.3">
      <c r="A32" s="28">
        <f>DIETA!A15</f>
        <v>14</v>
      </c>
      <c r="B32" s="8" t="str">
        <f>DIETA!B15</f>
        <v>Novilhas 7/8</v>
      </c>
      <c r="C32" s="29">
        <f>COUNTIF(GERAL!$D:$D,TEXT(DIETA!A15,"00")&amp;" - *")</f>
        <v>20</v>
      </c>
      <c r="D32" s="30">
        <f>$C32*DIETA!C15</f>
        <v>500</v>
      </c>
      <c r="E32" s="30">
        <f>$C32*DIETA!D15</f>
        <v>0</v>
      </c>
      <c r="F32" s="30">
        <f>$C32*DIETA!E15</f>
        <v>20</v>
      </c>
      <c r="G32" s="30">
        <f>$C32*DIETA!F15</f>
        <v>0</v>
      </c>
      <c r="H32" s="30">
        <f>$C32*DIETA!G15</f>
        <v>0</v>
      </c>
      <c r="I32" s="30">
        <f>$C32*DIETA!H15</f>
        <v>0</v>
      </c>
      <c r="J32" s="30">
        <f>$C32*DIETA!I15</f>
        <v>0</v>
      </c>
      <c r="K32" s="30">
        <f>$C32*DIETA!J15</f>
        <v>0</v>
      </c>
      <c r="L32" s="30">
        <f t="shared" si="4"/>
        <v>520</v>
      </c>
    </row>
    <row r="33" spans="1:12" ht="15" customHeight="1" x14ac:dyDescent="0.3">
      <c r="A33" s="120" t="s">
        <v>107</v>
      </c>
      <c r="B33" s="120"/>
      <c r="C33" s="31">
        <f t="shared" ref="C33:L33" si="5">SUM(C19:C32)</f>
        <v>128</v>
      </c>
      <c r="D33" s="32">
        <f t="shared" si="5"/>
        <v>2923</v>
      </c>
      <c r="E33" s="32">
        <f t="shared" si="5"/>
        <v>256</v>
      </c>
      <c r="F33" s="32">
        <f t="shared" si="5"/>
        <v>131</v>
      </c>
      <c r="G33" s="32">
        <f t="shared" si="5"/>
        <v>14</v>
      </c>
      <c r="H33" s="32">
        <f t="shared" si="5"/>
        <v>18</v>
      </c>
      <c r="I33" s="32">
        <f t="shared" si="5"/>
        <v>12</v>
      </c>
      <c r="J33" s="32">
        <f t="shared" si="5"/>
        <v>8</v>
      </c>
      <c r="K33" s="32">
        <f t="shared" si="5"/>
        <v>54</v>
      </c>
      <c r="L33" s="32">
        <f t="shared" si="5"/>
        <v>3362</v>
      </c>
    </row>
    <row r="36" spans="1:12" ht="18.75" customHeight="1" x14ac:dyDescent="0.3">
      <c r="A36" s="121" t="s">
        <v>113</v>
      </c>
      <c r="B36" s="121"/>
      <c r="C36" s="121"/>
      <c r="D36" s="121"/>
      <c r="E36" s="121"/>
      <c r="F36" s="121"/>
      <c r="G36" s="121"/>
      <c r="H36" s="121"/>
      <c r="I36" s="121"/>
    </row>
    <row r="37" spans="1:12" ht="15" customHeight="1" x14ac:dyDescent="0.3">
      <c r="A37" s="7" t="s">
        <v>110</v>
      </c>
      <c r="B37" s="7" t="s">
        <v>75</v>
      </c>
      <c r="C37" s="7" t="s">
        <v>111</v>
      </c>
      <c r="D37" s="7" t="s">
        <v>99</v>
      </c>
      <c r="E37" s="7" t="s">
        <v>114</v>
      </c>
      <c r="F37" s="7" t="s">
        <v>115</v>
      </c>
      <c r="G37" s="7" t="s">
        <v>116</v>
      </c>
      <c r="H37" s="7" t="s">
        <v>117</v>
      </c>
      <c r="I37" s="7" t="s">
        <v>118</v>
      </c>
    </row>
    <row r="38" spans="1:12" ht="15" customHeight="1" x14ac:dyDescent="0.3">
      <c r="A38" s="28">
        <f>DIETA!A2</f>
        <v>1</v>
      </c>
      <c r="B38" s="8" t="str">
        <f>DIETA!B2</f>
        <v>Novilhas Alta</v>
      </c>
      <c r="C38" s="29">
        <f>COUNTIF(GERAL!$D:$D,TEXT(DIETA!A2,"00")&amp;" - *")</f>
        <v>18</v>
      </c>
      <c r="D38" s="8" t="s">
        <v>99</v>
      </c>
      <c r="E38" s="9">
        <f>$C38*DIETA!C2/2</f>
        <v>270</v>
      </c>
      <c r="F38" s="8" t="s">
        <v>100</v>
      </c>
      <c r="G38" s="9">
        <f>$C38*DIETA!D2/2</f>
        <v>72</v>
      </c>
      <c r="H38" s="8" t="s">
        <v>101</v>
      </c>
      <c r="I38" s="9">
        <f>$C38*DIETA!E2/2</f>
        <v>18</v>
      </c>
    </row>
    <row r="39" spans="1:12" ht="15" customHeight="1" x14ac:dyDescent="0.3">
      <c r="A39" s="28">
        <f>DIETA!A3</f>
        <v>2</v>
      </c>
      <c r="B39" s="8" t="str">
        <f>DIETA!B3</f>
        <v>Vacas Alta</v>
      </c>
      <c r="C39" s="29">
        <f>COUNTIF(GERAL!$D:$D,TEXT(DIETA!A3,"00")&amp;" - *")</f>
        <v>9</v>
      </c>
      <c r="D39" s="8" t="s">
        <v>99</v>
      </c>
      <c r="E39" s="9">
        <f>$C39*DIETA!C3/2</f>
        <v>135</v>
      </c>
      <c r="F39" s="8" t="s">
        <v>100</v>
      </c>
      <c r="G39" s="9">
        <f>$C39*DIETA!D3/2</f>
        <v>36</v>
      </c>
      <c r="H39" s="8" t="s">
        <v>101</v>
      </c>
      <c r="I39" s="9">
        <f>$C39*DIETA!E3/2</f>
        <v>9</v>
      </c>
    </row>
    <row r="40" spans="1:12" ht="15" customHeight="1" x14ac:dyDescent="0.3">
      <c r="A40" s="28">
        <f>DIETA!A4</f>
        <v>3</v>
      </c>
      <c r="B40" s="8" t="str">
        <f>DIETA!B4</f>
        <v>Média</v>
      </c>
      <c r="C40" s="29">
        <f>COUNTIF(GERAL!$D:$D,TEXT(DIETA!A4,"00")&amp;" - *")</f>
        <v>8</v>
      </c>
      <c r="D40" s="8" t="s">
        <v>99</v>
      </c>
      <c r="E40" s="9">
        <f>$C40*DIETA!C4/2</f>
        <v>120</v>
      </c>
      <c r="F40" s="8" t="s">
        <v>100</v>
      </c>
      <c r="G40" s="9">
        <f>$C40*DIETA!D4/2</f>
        <v>20</v>
      </c>
      <c r="H40" s="8" t="s">
        <v>101</v>
      </c>
      <c r="I40" s="9">
        <f>$C40*DIETA!E4/2</f>
        <v>4</v>
      </c>
    </row>
    <row r="41" spans="1:12" ht="15" customHeight="1" x14ac:dyDescent="0.3">
      <c r="A41" s="28">
        <f>DIETA!A5</f>
        <v>4</v>
      </c>
      <c r="B41" s="8" t="str">
        <f>DIETA!B5</f>
        <v>Pré-parto</v>
      </c>
      <c r="C41" s="29">
        <f>COUNTIF(GERAL!$D:$D,TEXT(DIETA!A5,"00")&amp;" - *")</f>
        <v>4</v>
      </c>
      <c r="D41" s="8" t="s">
        <v>99</v>
      </c>
      <c r="E41" s="9">
        <f>$C41*DIETA!C5/2</f>
        <v>60</v>
      </c>
      <c r="F41" s="8" t="s">
        <v>102</v>
      </c>
      <c r="G41" s="9">
        <f>$C41*DIETA!F5/2</f>
        <v>7</v>
      </c>
      <c r="H41" s="8"/>
      <c r="I41" s="9"/>
    </row>
    <row r="42" spans="1:12" ht="15" customHeight="1" x14ac:dyDescent="0.3">
      <c r="A42" s="28">
        <f>DIETA!A6</f>
        <v>5</v>
      </c>
      <c r="B42" s="8" t="str">
        <f>DIETA!B6</f>
        <v>Secas</v>
      </c>
      <c r="C42" s="29">
        <f>COUNTIF(GERAL!$D:$D,TEXT(DIETA!A6,"00")&amp;" - *")</f>
        <v>2</v>
      </c>
      <c r="D42" s="8" t="s">
        <v>99</v>
      </c>
      <c r="E42" s="9">
        <f>$C42*DIETA!C6/2</f>
        <v>30</v>
      </c>
      <c r="F42" s="8" t="s">
        <v>101</v>
      </c>
      <c r="G42" s="9">
        <f>$C42*DIETA!E6/2</f>
        <v>0.5</v>
      </c>
      <c r="H42" s="8"/>
      <c r="I42" s="9"/>
    </row>
    <row r="43" spans="1:12" ht="15" customHeight="1" x14ac:dyDescent="0.3">
      <c r="A43" s="28">
        <f>DIETA!A7</f>
        <v>6</v>
      </c>
      <c r="B43" s="8" t="str">
        <f>DIETA!B7</f>
        <v>Bez 1 (0-30d)</v>
      </c>
      <c r="C43" s="29">
        <f>COUNTIF(GERAL!$D:$D,TEXT(DIETA!A7,"00")&amp;" - *")</f>
        <v>5</v>
      </c>
      <c r="D43" s="8" t="s">
        <v>99</v>
      </c>
      <c r="E43" s="9">
        <f>$C43*DIETA!C7/2</f>
        <v>0</v>
      </c>
      <c r="F43" s="8" t="s">
        <v>103</v>
      </c>
      <c r="G43" s="9">
        <f>$C43*DIETA!G7/2</f>
        <v>5</v>
      </c>
      <c r="H43" s="8" t="s">
        <v>106</v>
      </c>
      <c r="I43" s="9">
        <f>$C43*DIETA!J7/2</f>
        <v>15</v>
      </c>
    </row>
    <row r="44" spans="1:12" ht="15" customHeight="1" x14ac:dyDescent="0.3">
      <c r="A44" s="28">
        <f>DIETA!A8</f>
        <v>7</v>
      </c>
      <c r="B44" s="8" t="str">
        <f>DIETA!B8</f>
        <v>Bez 2 (31-60d)</v>
      </c>
      <c r="C44" s="29">
        <f>COUNTIF(GERAL!$D:$D,TEXT(DIETA!A8,"00")&amp;" - *")</f>
        <v>2</v>
      </c>
      <c r="D44" s="8" t="s">
        <v>99</v>
      </c>
      <c r="E44" s="9">
        <f>$C44*DIETA!C8/2</f>
        <v>0</v>
      </c>
      <c r="F44" s="8" t="s">
        <v>103</v>
      </c>
      <c r="G44" s="9">
        <f>$C44*DIETA!G8/2</f>
        <v>2</v>
      </c>
      <c r="H44" s="8" t="s">
        <v>106</v>
      </c>
      <c r="I44" s="9">
        <f>$C44*DIETA!J8/2</f>
        <v>6</v>
      </c>
    </row>
    <row r="45" spans="1:12" ht="15" customHeight="1" x14ac:dyDescent="0.3">
      <c r="A45" s="28">
        <f>DIETA!A9</f>
        <v>8</v>
      </c>
      <c r="B45" s="8" t="str">
        <f>DIETA!B9</f>
        <v>Bez 3 (61-90d)</v>
      </c>
      <c r="C45" s="29">
        <f>COUNTIF(GERAL!$D:$D,TEXT(DIETA!A9,"00")&amp;" - *")</f>
        <v>2</v>
      </c>
      <c r="D45" s="8" t="s">
        <v>99</v>
      </c>
      <c r="E45" s="9">
        <f>$C45*DIETA!C9/2</f>
        <v>0</v>
      </c>
      <c r="F45" s="8" t="s">
        <v>103</v>
      </c>
      <c r="G45" s="9">
        <f>$C45*DIETA!G9/2</f>
        <v>2</v>
      </c>
      <c r="H45" s="8" t="s">
        <v>106</v>
      </c>
      <c r="I45" s="9">
        <f>$C45*DIETA!J9/2</f>
        <v>6</v>
      </c>
    </row>
    <row r="46" spans="1:12" ht="15" customHeight="1" x14ac:dyDescent="0.3">
      <c r="A46" s="28">
        <f>DIETA!A10</f>
        <v>9</v>
      </c>
      <c r="B46" s="8" t="str">
        <f>DIETA!B10</f>
        <v>Desmama</v>
      </c>
      <c r="C46" s="29">
        <f>COUNTIF(GERAL!$D:$D,TEXT(DIETA!A10,"00")&amp;" - *")</f>
        <v>6</v>
      </c>
      <c r="D46" s="8" t="s">
        <v>99</v>
      </c>
      <c r="E46" s="9">
        <f>$C46*DIETA!C10/2</f>
        <v>12</v>
      </c>
      <c r="F46" s="8" t="s">
        <v>104</v>
      </c>
      <c r="G46" s="9">
        <f>$C46*DIETA!H10/2</f>
        <v>6</v>
      </c>
      <c r="H46" s="8"/>
      <c r="I46" s="9"/>
    </row>
    <row r="47" spans="1:12" ht="18.75" customHeight="1" x14ac:dyDescent="0.3">
      <c r="A47" s="28">
        <f>DIETA!A11</f>
        <v>10</v>
      </c>
      <c r="B47" s="8" t="str">
        <f>DIETA!B11</f>
        <v>Recria 1 (160-250kg)</v>
      </c>
      <c r="C47" s="29">
        <f>COUNTIF(GERAL!$D:$D,TEXT(DIETA!A11,"00")&amp;" - *")</f>
        <v>4</v>
      </c>
      <c r="D47" s="8" t="s">
        <v>99</v>
      </c>
      <c r="E47" s="9">
        <f>$C47*DIETA!C11/2</f>
        <v>22</v>
      </c>
      <c r="F47" s="8" t="s">
        <v>105</v>
      </c>
      <c r="G47" s="9">
        <f>$C47*DIETA!I11/2</f>
        <v>4</v>
      </c>
      <c r="H47" s="8"/>
      <c r="I47" s="9"/>
    </row>
    <row r="48" spans="1:12" ht="18.75" customHeight="1" x14ac:dyDescent="0.3">
      <c r="A48" s="28">
        <f>DIETA!A12</f>
        <v>11</v>
      </c>
      <c r="B48" s="8" t="str">
        <f>DIETA!B12</f>
        <v>Recria 2 (300-350kg)</v>
      </c>
      <c r="C48" s="29">
        <f>COUNTIF(GERAL!$D:$D,TEXT(DIETA!A12,"00")&amp;" - *")</f>
        <v>15</v>
      </c>
      <c r="D48" s="8" t="s">
        <v>99</v>
      </c>
      <c r="E48" s="9">
        <f>$C48*DIETA!C12/2</f>
        <v>150</v>
      </c>
      <c r="F48" s="8" t="s">
        <v>101</v>
      </c>
      <c r="G48" s="9">
        <f>$C48*DIETA!E12/2</f>
        <v>7.5</v>
      </c>
      <c r="H48" s="8"/>
      <c r="I48" s="9"/>
    </row>
    <row r="49" spans="1:9" ht="18.75" customHeight="1" x14ac:dyDescent="0.3">
      <c r="A49" s="28">
        <f>DIETA!A13</f>
        <v>12</v>
      </c>
      <c r="B49" s="8" t="str">
        <f>DIETA!B13</f>
        <v>Novilhas Gestantes</v>
      </c>
      <c r="C49" s="29">
        <f>COUNTIF(GERAL!$D:$D,TEXT(DIETA!A13,"00")&amp;" - *")</f>
        <v>13</v>
      </c>
      <c r="D49" s="8" t="s">
        <v>99</v>
      </c>
      <c r="E49" s="9">
        <f>$C49*DIETA!C13/2</f>
        <v>162.5</v>
      </c>
      <c r="F49" s="8" t="s">
        <v>101</v>
      </c>
      <c r="G49" s="9">
        <f>$C49*DIETA!E13/2</f>
        <v>6.5</v>
      </c>
      <c r="H49" s="8"/>
      <c r="I49" s="9"/>
    </row>
    <row r="50" spans="1:9" ht="18.75" customHeight="1" x14ac:dyDescent="0.3">
      <c r="A50" s="28">
        <f>DIETA!A14</f>
        <v>13</v>
      </c>
      <c r="B50" s="8" t="str">
        <f>DIETA!B14</f>
        <v>Novilhas Holandesas</v>
      </c>
      <c r="C50" s="29">
        <f>COUNTIF(GERAL!$D:$D,TEXT(DIETA!A14,"00")&amp;" - *")</f>
        <v>20</v>
      </c>
      <c r="D50" s="8" t="s">
        <v>99</v>
      </c>
      <c r="E50" s="9">
        <f>$C50*DIETA!C14/2</f>
        <v>250</v>
      </c>
      <c r="F50" s="8" t="s">
        <v>101</v>
      </c>
      <c r="G50" s="9">
        <f>$C50*DIETA!E14/2</f>
        <v>10</v>
      </c>
      <c r="H50" s="8"/>
      <c r="I50" s="9"/>
    </row>
    <row r="51" spans="1:9" ht="15" customHeight="1" x14ac:dyDescent="0.3">
      <c r="A51" s="28">
        <f>DIETA!A15</f>
        <v>14</v>
      </c>
      <c r="B51" s="8" t="str">
        <f>DIETA!B15</f>
        <v>Novilhas 7/8</v>
      </c>
      <c r="C51" s="29">
        <f>COUNTIF(GERAL!$D:$D,TEXT(DIETA!A15,"00")&amp;" - *")</f>
        <v>20</v>
      </c>
      <c r="D51" s="8" t="s">
        <v>99</v>
      </c>
      <c r="E51" s="9">
        <f>$C51*DIETA!C15/2</f>
        <v>250</v>
      </c>
      <c r="F51" s="8" t="s">
        <v>101</v>
      </c>
      <c r="G51" s="9">
        <f>$C51*DIETA!E15/2</f>
        <v>10</v>
      </c>
      <c r="H51" s="8"/>
      <c r="I51" s="9"/>
    </row>
    <row r="53" spans="1:9" ht="15" customHeight="1" x14ac:dyDescent="0.3">
      <c r="A53" s="13" t="s">
        <v>119</v>
      </c>
    </row>
  </sheetData>
  <mergeCells count="7">
    <mergeCell ref="A33:B33"/>
    <mergeCell ref="A36:I36"/>
    <mergeCell ref="A1:N1"/>
    <mergeCell ref="A2:N2"/>
    <mergeCell ref="A4:G4"/>
    <mergeCell ref="J4:L4"/>
    <mergeCell ref="A17:L17"/>
  </mergeCells>
  <dataValidations count="1">
    <dataValidation type="list" allowBlank="1" sqref="B5" xr:uid="{00000000-0002-0000-0200-000000000000}">
      <formula1>"(Todos),1,2,3,4,5,6,7,8,9,10,11,12,13,14"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8A2A45"/>
  </sheetPr>
  <dimension ref="A1:AY257"/>
  <sheetViews>
    <sheetView showGridLines="0" zoomScaleNormal="100" workbookViewId="0">
      <selection activeCell="B6" sqref="B6"/>
    </sheetView>
  </sheetViews>
  <sheetFormatPr defaultColWidth="8.6640625" defaultRowHeight="14.4" x14ac:dyDescent="0.3"/>
  <cols>
    <col min="1" max="7" width="18" customWidth="1"/>
    <col min="8" max="24" width="11.44140625" customWidth="1"/>
    <col min="44" max="51" width="13" hidden="1" customWidth="1"/>
  </cols>
  <sheetData>
    <row r="1" spans="1:51" ht="39.75" customHeight="1" x14ac:dyDescent="0.3">
      <c r="A1" s="122" t="s">
        <v>120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AR1" t="s">
        <v>54</v>
      </c>
      <c r="AS1" t="s">
        <v>54</v>
      </c>
      <c r="AT1" t="s">
        <v>54</v>
      </c>
      <c r="AU1" t="s">
        <v>54</v>
      </c>
      <c r="AV1" t="s">
        <v>54</v>
      </c>
      <c r="AW1" t="s">
        <v>54</v>
      </c>
      <c r="AX1" t="s">
        <v>54</v>
      </c>
      <c r="AY1" t="s">
        <v>54</v>
      </c>
    </row>
    <row r="2" spans="1:51" ht="15" customHeight="1" x14ac:dyDescent="0.3">
      <c r="A2" s="123" t="s">
        <v>121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AR2" t="s">
        <v>122</v>
      </c>
      <c r="AS2" t="s">
        <v>80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</row>
    <row r="3" spans="1:51" ht="15" customHeight="1" x14ac:dyDescent="0.3">
      <c r="AR3" t="s">
        <v>129</v>
      </c>
      <c r="AS3" t="s">
        <v>79</v>
      </c>
      <c r="AT3" t="s">
        <v>130</v>
      </c>
      <c r="AU3" t="s">
        <v>131</v>
      </c>
      <c r="AV3" t="s">
        <v>132</v>
      </c>
      <c r="AW3" t="s">
        <v>133</v>
      </c>
      <c r="AX3" t="s">
        <v>134</v>
      </c>
      <c r="AY3" t="s">
        <v>135</v>
      </c>
    </row>
    <row r="4" spans="1:51" ht="18.75" customHeight="1" x14ac:dyDescent="0.3">
      <c r="A4" s="124" t="s">
        <v>47</v>
      </c>
      <c r="B4" s="124"/>
      <c r="C4" s="124"/>
      <c r="D4" s="124"/>
      <c r="E4" s="124"/>
      <c r="F4" s="124"/>
      <c r="G4" s="124"/>
      <c r="AR4" t="s">
        <v>136</v>
      </c>
      <c r="AT4" t="s">
        <v>137</v>
      </c>
      <c r="AW4" t="s">
        <v>138</v>
      </c>
      <c r="AX4" t="s">
        <v>139</v>
      </c>
      <c r="AY4" t="s">
        <v>140</v>
      </c>
    </row>
    <row r="5" spans="1:51" ht="15" customHeight="1" x14ac:dyDescent="0.3">
      <c r="A5" s="33" t="s">
        <v>51</v>
      </c>
      <c r="B5" s="34">
        <v>44562</v>
      </c>
      <c r="C5" s="33" t="s">
        <v>52</v>
      </c>
      <c r="D5" s="34">
        <v>46387</v>
      </c>
      <c r="E5" s="33" t="s">
        <v>141</v>
      </c>
      <c r="F5" s="35" t="s">
        <v>54</v>
      </c>
      <c r="AR5" t="s">
        <v>142</v>
      </c>
      <c r="AT5" t="s">
        <v>143</v>
      </c>
      <c r="AX5" t="s">
        <v>144</v>
      </c>
      <c r="AY5" t="s">
        <v>145</v>
      </c>
    </row>
    <row r="6" spans="1:51" ht="15" customHeight="1" x14ac:dyDescent="0.3">
      <c r="A6" s="33" t="s">
        <v>53</v>
      </c>
      <c r="B6" s="35" t="s">
        <v>54</v>
      </c>
      <c r="C6" s="33" t="s">
        <v>146</v>
      </c>
      <c r="D6" s="35" t="s">
        <v>54</v>
      </c>
      <c r="E6" s="33" t="s">
        <v>147</v>
      </c>
      <c r="F6" s="35" t="s">
        <v>54</v>
      </c>
      <c r="AR6" t="s">
        <v>148</v>
      </c>
      <c r="AX6" t="s">
        <v>149</v>
      </c>
      <c r="AY6" t="s">
        <v>150</v>
      </c>
    </row>
    <row r="7" spans="1:51" ht="15" customHeight="1" x14ac:dyDescent="0.3">
      <c r="A7" s="33" t="s">
        <v>151</v>
      </c>
      <c r="B7" s="35" t="s">
        <v>54</v>
      </c>
      <c r="C7" s="33" t="s">
        <v>152</v>
      </c>
      <c r="D7" s="35" t="s">
        <v>54</v>
      </c>
      <c r="E7" s="33" t="s">
        <v>153</v>
      </c>
      <c r="F7" s="35" t="s">
        <v>54</v>
      </c>
      <c r="AX7" t="s">
        <v>154</v>
      </c>
      <c r="AY7" t="s">
        <v>155</v>
      </c>
    </row>
    <row r="8" spans="1:51" ht="15" customHeight="1" x14ac:dyDescent="0.3">
      <c r="A8" s="36" t="s">
        <v>156</v>
      </c>
      <c r="B8" s="37">
        <v>0</v>
      </c>
      <c r="C8" s="38" t="s">
        <v>52</v>
      </c>
      <c r="D8" s="39">
        <v>999</v>
      </c>
      <c r="AX8" t="s">
        <v>157</v>
      </c>
      <c r="AY8" t="s">
        <v>158</v>
      </c>
    </row>
    <row r="9" spans="1:51" ht="15" customHeight="1" x14ac:dyDescent="0.3">
      <c r="AX9" t="s">
        <v>159</v>
      </c>
      <c r="AY9" t="s">
        <v>160</v>
      </c>
    </row>
    <row r="10" spans="1:51" ht="18.75" customHeight="1" x14ac:dyDescent="0.3">
      <c r="A10" s="121" t="s">
        <v>161</v>
      </c>
      <c r="B10" s="121"/>
      <c r="C10" s="121"/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AX10" t="s">
        <v>162</v>
      </c>
      <c r="AY10" t="s">
        <v>163</v>
      </c>
    </row>
    <row r="11" spans="1:51" ht="15" customHeight="1" x14ac:dyDescent="0.3">
      <c r="A11" s="155" t="s">
        <v>164</v>
      </c>
      <c r="B11" s="155"/>
      <c r="C11" s="156" t="s">
        <v>165</v>
      </c>
      <c r="D11" s="156"/>
      <c r="E11" s="157" t="s">
        <v>166</v>
      </c>
      <c r="F11" s="157"/>
      <c r="G11" s="158" t="s">
        <v>167</v>
      </c>
      <c r="H11" s="158"/>
      <c r="I11" s="158" t="s">
        <v>168</v>
      </c>
      <c r="J11" s="158"/>
      <c r="K11" s="155" t="s">
        <v>169</v>
      </c>
      <c r="L11" s="155"/>
      <c r="M11" s="155" t="s">
        <v>170</v>
      </c>
      <c r="N11" s="155"/>
      <c r="AX11" t="s">
        <v>171</v>
      </c>
      <c r="AY11" t="s">
        <v>172</v>
      </c>
    </row>
    <row r="12" spans="1:51" ht="15" customHeight="1" x14ac:dyDescent="0.3">
      <c r="A12" s="153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)</f>
        <v>354</v>
      </c>
      <c r="B12" s="153"/>
      <c r="C12" s="153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)</f>
        <v>179</v>
      </c>
      <c r="D12" s="153"/>
      <c r="E12" s="154">
        <f>IFERROR(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)/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),0)</f>
        <v>0.50564971751412424</v>
      </c>
      <c r="F12" s="154"/>
      <c r="G12" s="153">
        <f>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)</f>
        <v>18</v>
      </c>
      <c r="H12" s="153"/>
      <c r="I12" s="154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)/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),0)</f>
        <v>0.1005586592178771</v>
      </c>
      <c r="J12" s="154"/>
      <c r="K12" s="153">
        <f>IFERROR(SUMPRODUCT(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*(REPRODUTIVO!$AM$2:$AM$374)))/SUMPRODUCT(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*(--(REPRODUTIVO!$AM$2:$AM$374&lt;&gt;"")))),0)</f>
        <v>143.41176470588235</v>
      </c>
      <c r="L12" s="153"/>
      <c r="M12" s="153">
        <f>SUMPRODUCT(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*1))</f>
        <v>373</v>
      </c>
      <c r="N12" s="153"/>
      <c r="AX12" t="s">
        <v>173</v>
      </c>
      <c r="AY12" t="s">
        <v>174</v>
      </c>
    </row>
    <row r="13" spans="1:51" ht="15" customHeight="1" x14ac:dyDescent="0.3">
      <c r="A13" s="153"/>
      <c r="B13" s="153"/>
      <c r="C13" s="153"/>
      <c r="D13" s="153"/>
      <c r="E13" s="154"/>
      <c r="F13" s="154"/>
      <c r="G13" s="153"/>
      <c r="H13" s="153"/>
      <c r="I13" s="154"/>
      <c r="J13" s="154"/>
      <c r="K13" s="153"/>
      <c r="L13" s="153"/>
      <c r="M13" s="153"/>
      <c r="N13" s="153"/>
      <c r="AX13" t="s">
        <v>175</v>
      </c>
      <c r="AY13" t="s">
        <v>176</v>
      </c>
    </row>
    <row r="14" spans="1:51" ht="15" customHeight="1" x14ac:dyDescent="0.3">
      <c r="AX14" t="s">
        <v>177</v>
      </c>
      <c r="AY14" t="s">
        <v>178</v>
      </c>
    </row>
    <row r="15" spans="1:51" ht="18.75" customHeight="1" x14ac:dyDescent="0.3">
      <c r="A15" s="121" t="s">
        <v>179</v>
      </c>
      <c r="B15" s="121"/>
      <c r="C15" s="121"/>
      <c r="D15" s="121"/>
      <c r="E15" s="121"/>
      <c r="F15" s="121"/>
      <c r="AX15" t="s">
        <v>180</v>
      </c>
      <c r="AY15" t="s">
        <v>181</v>
      </c>
    </row>
    <row r="16" spans="1:51" ht="15" customHeight="1" x14ac:dyDescent="0.3">
      <c r="A16" s="7" t="s">
        <v>75</v>
      </c>
      <c r="B16" s="7" t="s">
        <v>182</v>
      </c>
      <c r="C16" s="7" t="s">
        <v>183</v>
      </c>
      <c r="D16" s="7" t="s">
        <v>184</v>
      </c>
      <c r="E16" s="7" t="s">
        <v>185</v>
      </c>
      <c r="AX16" t="s">
        <v>186</v>
      </c>
      <c r="AY16" t="s">
        <v>187</v>
      </c>
    </row>
    <row r="17" spans="1:51" ht="15" customHeight="1" x14ac:dyDescent="0.3">
      <c r="A17" s="8" t="s">
        <v>188</v>
      </c>
      <c r="B17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17)))</f>
        <v>5</v>
      </c>
      <c r="C17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17)))</f>
        <v>5</v>
      </c>
      <c r="D17" s="12">
        <f t="shared" ref="D17:D60" si="0">IFERROR(C17/B17,0)</f>
        <v>1</v>
      </c>
      <c r="E17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17)))/C17,0)</f>
        <v>0</v>
      </c>
      <c r="AY17" t="s">
        <v>189</v>
      </c>
    </row>
    <row r="18" spans="1:51" ht="15" customHeight="1" x14ac:dyDescent="0.3">
      <c r="A18" s="8" t="s">
        <v>190</v>
      </c>
      <c r="B18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18)))</f>
        <v>2</v>
      </c>
      <c r="C18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18)))</f>
        <v>2</v>
      </c>
      <c r="D18" s="12">
        <f t="shared" si="0"/>
        <v>1</v>
      </c>
      <c r="E18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18)))/C18,0)</f>
        <v>0</v>
      </c>
      <c r="AY18" t="s">
        <v>191</v>
      </c>
    </row>
    <row r="19" spans="1:51" ht="15" customHeight="1" x14ac:dyDescent="0.3">
      <c r="A19" s="8" t="s">
        <v>192</v>
      </c>
      <c r="B19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19)))</f>
        <v>3</v>
      </c>
      <c r="C19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19)))</f>
        <v>3</v>
      </c>
      <c r="D19" s="12">
        <f t="shared" si="0"/>
        <v>1</v>
      </c>
      <c r="E19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19)))/C19,0)</f>
        <v>0</v>
      </c>
      <c r="AY19" t="s">
        <v>193</v>
      </c>
    </row>
    <row r="20" spans="1:51" ht="15" customHeight="1" x14ac:dyDescent="0.3">
      <c r="A20" s="8" t="s">
        <v>194</v>
      </c>
      <c r="B20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20)))</f>
        <v>1</v>
      </c>
      <c r="C20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20)))</f>
        <v>1</v>
      </c>
      <c r="D20" s="12">
        <f t="shared" si="0"/>
        <v>1</v>
      </c>
      <c r="E20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20)))/C20,0)</f>
        <v>0</v>
      </c>
      <c r="AY20" t="s">
        <v>195</v>
      </c>
    </row>
    <row r="21" spans="1:51" ht="15" customHeight="1" x14ac:dyDescent="0.3">
      <c r="A21" s="8" t="s">
        <v>196</v>
      </c>
      <c r="B21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21)))</f>
        <v>3</v>
      </c>
      <c r="C21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21)))</f>
        <v>3</v>
      </c>
      <c r="D21" s="12">
        <f t="shared" si="0"/>
        <v>1</v>
      </c>
      <c r="E21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21)))/C21,0)</f>
        <v>0</v>
      </c>
      <c r="AY21" t="s">
        <v>197</v>
      </c>
    </row>
    <row r="22" spans="1:51" ht="15" customHeight="1" x14ac:dyDescent="0.3">
      <c r="A22" s="8" t="s">
        <v>198</v>
      </c>
      <c r="B22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22)))</f>
        <v>3</v>
      </c>
      <c r="C22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22)))</f>
        <v>3</v>
      </c>
      <c r="D22" s="12">
        <f t="shared" si="0"/>
        <v>1</v>
      </c>
      <c r="E22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22)))/C22,0)</f>
        <v>0</v>
      </c>
      <c r="AY22" t="s">
        <v>199</v>
      </c>
    </row>
    <row r="23" spans="1:51" ht="15" customHeight="1" x14ac:dyDescent="0.3">
      <c r="A23" s="8" t="s">
        <v>200</v>
      </c>
      <c r="B23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23)))</f>
        <v>5</v>
      </c>
      <c r="C23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23)))</f>
        <v>2</v>
      </c>
      <c r="D23" s="12">
        <f t="shared" si="0"/>
        <v>0.4</v>
      </c>
      <c r="E23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23)))/C23,0)</f>
        <v>0</v>
      </c>
    </row>
    <row r="24" spans="1:51" ht="15" customHeight="1" x14ac:dyDescent="0.3">
      <c r="A24" s="8" t="s">
        <v>201</v>
      </c>
      <c r="B24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24)))</f>
        <v>2</v>
      </c>
      <c r="C24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24)))</f>
        <v>1</v>
      </c>
      <c r="D24" s="12">
        <f t="shared" si="0"/>
        <v>0.5</v>
      </c>
      <c r="E24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24)))/C24,0)</f>
        <v>0</v>
      </c>
    </row>
    <row r="25" spans="1:51" ht="15" customHeight="1" x14ac:dyDescent="0.3">
      <c r="A25" s="8" t="s">
        <v>202</v>
      </c>
      <c r="B25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25)))</f>
        <v>2</v>
      </c>
      <c r="C25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25)))</f>
        <v>1</v>
      </c>
      <c r="D25" s="12">
        <f t="shared" si="0"/>
        <v>0.5</v>
      </c>
      <c r="E25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25)))/C25,0)</f>
        <v>0</v>
      </c>
    </row>
    <row r="26" spans="1:51" ht="15" customHeight="1" x14ac:dyDescent="0.3">
      <c r="A26" s="8" t="s">
        <v>203</v>
      </c>
      <c r="B26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26)))</f>
        <v>4</v>
      </c>
      <c r="C26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26)))</f>
        <v>1</v>
      </c>
      <c r="D26" s="12">
        <f t="shared" si="0"/>
        <v>0.25</v>
      </c>
      <c r="E26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26)))/C26,0)</f>
        <v>0</v>
      </c>
    </row>
    <row r="27" spans="1:51" ht="15" customHeight="1" x14ac:dyDescent="0.3">
      <c r="A27" s="8" t="s">
        <v>204</v>
      </c>
      <c r="B27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27)))</f>
        <v>4</v>
      </c>
      <c r="C27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27)))</f>
        <v>0</v>
      </c>
      <c r="D27" s="12">
        <f t="shared" si="0"/>
        <v>0</v>
      </c>
      <c r="E27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27)))/C27,0)</f>
        <v>0</v>
      </c>
    </row>
    <row r="28" spans="1:51" ht="15" customHeight="1" x14ac:dyDescent="0.3">
      <c r="A28" s="8" t="s">
        <v>205</v>
      </c>
      <c r="B28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28)))</f>
        <v>4</v>
      </c>
      <c r="C28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28)))</f>
        <v>1</v>
      </c>
      <c r="D28" s="12">
        <f t="shared" si="0"/>
        <v>0.25</v>
      </c>
      <c r="E28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28)))/C28,0)</f>
        <v>0</v>
      </c>
    </row>
    <row r="29" spans="1:51" ht="15" customHeight="1" x14ac:dyDescent="0.3">
      <c r="A29" s="8" t="s">
        <v>206</v>
      </c>
      <c r="B29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29)))</f>
        <v>10</v>
      </c>
      <c r="C29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29)))</f>
        <v>5</v>
      </c>
      <c r="D29" s="12">
        <f t="shared" si="0"/>
        <v>0.5</v>
      </c>
      <c r="E29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29)))/C29,0)</f>
        <v>0</v>
      </c>
    </row>
    <row r="30" spans="1:51" ht="15" customHeight="1" x14ac:dyDescent="0.3">
      <c r="A30" s="8" t="s">
        <v>207</v>
      </c>
      <c r="B30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30)))</f>
        <v>9</v>
      </c>
      <c r="C30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30)))</f>
        <v>6</v>
      </c>
      <c r="D30" s="12">
        <f t="shared" si="0"/>
        <v>0.66666666666666663</v>
      </c>
      <c r="E30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30)))/C30,0)</f>
        <v>0.33333333333333331</v>
      </c>
    </row>
    <row r="31" spans="1:51" ht="15" customHeight="1" x14ac:dyDescent="0.3">
      <c r="A31" s="8" t="s">
        <v>208</v>
      </c>
      <c r="B31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31)))</f>
        <v>11</v>
      </c>
      <c r="C31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31)))</f>
        <v>2</v>
      </c>
      <c r="D31" s="12">
        <f t="shared" si="0"/>
        <v>0.18181818181818182</v>
      </c>
      <c r="E31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31)))/C31,0)</f>
        <v>0.5</v>
      </c>
    </row>
    <row r="32" spans="1:51" ht="15" customHeight="1" x14ac:dyDescent="0.3">
      <c r="A32" s="8" t="s">
        <v>209</v>
      </c>
      <c r="B32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32)))</f>
        <v>1</v>
      </c>
      <c r="C32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32)))</f>
        <v>0</v>
      </c>
      <c r="D32" s="12">
        <f t="shared" si="0"/>
        <v>0</v>
      </c>
      <c r="E32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32)))/C32,0)</f>
        <v>0</v>
      </c>
    </row>
    <row r="33" spans="1:5" ht="15" customHeight="1" x14ac:dyDescent="0.3">
      <c r="A33" s="8" t="s">
        <v>210</v>
      </c>
      <c r="B33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33)))</f>
        <v>11</v>
      </c>
      <c r="C33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33)))</f>
        <v>4</v>
      </c>
      <c r="D33" s="12">
        <f t="shared" si="0"/>
        <v>0.36363636363636365</v>
      </c>
      <c r="E33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33)))/C33,0)</f>
        <v>0.25</v>
      </c>
    </row>
    <row r="34" spans="1:5" ht="15" customHeight="1" x14ac:dyDescent="0.3">
      <c r="A34" s="8" t="s">
        <v>211</v>
      </c>
      <c r="B34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34)))</f>
        <v>0</v>
      </c>
      <c r="C34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34)))</f>
        <v>0</v>
      </c>
      <c r="D34" s="12">
        <f t="shared" si="0"/>
        <v>0</v>
      </c>
      <c r="E34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34)))/C34,0)</f>
        <v>0</v>
      </c>
    </row>
    <row r="35" spans="1:5" ht="15" customHeight="1" x14ac:dyDescent="0.3">
      <c r="A35" s="8" t="s">
        <v>212</v>
      </c>
      <c r="B35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35)))</f>
        <v>11</v>
      </c>
      <c r="C35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35)))</f>
        <v>3</v>
      </c>
      <c r="D35" s="12">
        <f t="shared" si="0"/>
        <v>0.27272727272727271</v>
      </c>
      <c r="E35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35)))/C35,0)</f>
        <v>0</v>
      </c>
    </row>
    <row r="36" spans="1:5" ht="15" customHeight="1" x14ac:dyDescent="0.3">
      <c r="A36" s="8" t="s">
        <v>213</v>
      </c>
      <c r="B36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36)))</f>
        <v>10</v>
      </c>
      <c r="C36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36)))</f>
        <v>2</v>
      </c>
      <c r="D36" s="12">
        <f t="shared" si="0"/>
        <v>0.2</v>
      </c>
      <c r="E36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36)))/C36,0)</f>
        <v>0</v>
      </c>
    </row>
    <row r="37" spans="1:5" ht="15" customHeight="1" x14ac:dyDescent="0.3">
      <c r="A37" s="8" t="s">
        <v>214</v>
      </c>
      <c r="B37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37)))</f>
        <v>4</v>
      </c>
      <c r="C37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37)))</f>
        <v>3</v>
      </c>
      <c r="D37" s="12">
        <f t="shared" si="0"/>
        <v>0.75</v>
      </c>
      <c r="E37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37)))/C37,0)</f>
        <v>0</v>
      </c>
    </row>
    <row r="38" spans="1:5" ht="15" customHeight="1" x14ac:dyDescent="0.3">
      <c r="A38" s="8" t="s">
        <v>215</v>
      </c>
      <c r="B38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38)))</f>
        <v>6</v>
      </c>
      <c r="C38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38)))</f>
        <v>3</v>
      </c>
      <c r="D38" s="12">
        <f t="shared" si="0"/>
        <v>0.5</v>
      </c>
      <c r="E38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38)))/C38,0)</f>
        <v>0</v>
      </c>
    </row>
    <row r="39" spans="1:5" ht="15" customHeight="1" x14ac:dyDescent="0.3">
      <c r="A39" s="8" t="s">
        <v>216</v>
      </c>
      <c r="B39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39)))</f>
        <v>9</v>
      </c>
      <c r="C39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39)))</f>
        <v>4</v>
      </c>
      <c r="D39" s="12">
        <f t="shared" si="0"/>
        <v>0.44444444444444442</v>
      </c>
      <c r="E39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39)))/C39,0)</f>
        <v>0</v>
      </c>
    </row>
    <row r="40" spans="1:5" ht="15" customHeight="1" x14ac:dyDescent="0.3">
      <c r="A40" s="8" t="s">
        <v>217</v>
      </c>
      <c r="B40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40)))</f>
        <v>3</v>
      </c>
      <c r="C40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40)))</f>
        <v>0</v>
      </c>
      <c r="D40" s="12">
        <f t="shared" si="0"/>
        <v>0</v>
      </c>
      <c r="E40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40)))/C40,0)</f>
        <v>0</v>
      </c>
    </row>
    <row r="41" spans="1:5" ht="15" customHeight="1" x14ac:dyDescent="0.3">
      <c r="A41" s="8" t="s">
        <v>218</v>
      </c>
      <c r="B41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41)))</f>
        <v>7</v>
      </c>
      <c r="C41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41)))</f>
        <v>6</v>
      </c>
      <c r="D41" s="12">
        <f t="shared" si="0"/>
        <v>0.8571428571428571</v>
      </c>
      <c r="E41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41)))/C41,0)</f>
        <v>0.33333333333333331</v>
      </c>
    </row>
    <row r="42" spans="1:5" ht="15" customHeight="1" x14ac:dyDescent="0.3">
      <c r="A42" s="8" t="s">
        <v>219</v>
      </c>
      <c r="B42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42)))</f>
        <v>12</v>
      </c>
      <c r="C42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42)))</f>
        <v>9</v>
      </c>
      <c r="D42" s="12">
        <f t="shared" si="0"/>
        <v>0.75</v>
      </c>
      <c r="E42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42)))/C42,0)</f>
        <v>0.22222222222222221</v>
      </c>
    </row>
    <row r="43" spans="1:5" ht="15" customHeight="1" x14ac:dyDescent="0.3">
      <c r="A43" s="8" t="s">
        <v>220</v>
      </c>
      <c r="B43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43)))</f>
        <v>4</v>
      </c>
      <c r="C43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43)))</f>
        <v>3</v>
      </c>
      <c r="D43" s="12">
        <f t="shared" si="0"/>
        <v>0.75</v>
      </c>
      <c r="E43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43)))/C43,0)</f>
        <v>0</v>
      </c>
    </row>
    <row r="44" spans="1:5" ht="15" customHeight="1" x14ac:dyDescent="0.3">
      <c r="A44" s="8" t="s">
        <v>221</v>
      </c>
      <c r="B44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44)))</f>
        <v>4</v>
      </c>
      <c r="C44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44)))</f>
        <v>2</v>
      </c>
      <c r="D44" s="12">
        <f t="shared" si="0"/>
        <v>0.5</v>
      </c>
      <c r="E44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44)))/C44,0)</f>
        <v>0</v>
      </c>
    </row>
    <row r="45" spans="1:5" ht="15" customHeight="1" x14ac:dyDescent="0.3">
      <c r="A45" s="8" t="s">
        <v>222</v>
      </c>
      <c r="B45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45)))</f>
        <v>11</v>
      </c>
      <c r="C45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45)))</f>
        <v>7</v>
      </c>
      <c r="D45" s="12">
        <f t="shared" si="0"/>
        <v>0.63636363636363635</v>
      </c>
      <c r="E45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45)))/C45,0)</f>
        <v>0.2857142857142857</v>
      </c>
    </row>
    <row r="46" spans="1:5" ht="15" customHeight="1" x14ac:dyDescent="0.3">
      <c r="A46" s="8" t="s">
        <v>223</v>
      </c>
      <c r="B46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46)))</f>
        <v>3</v>
      </c>
      <c r="C46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46)))</f>
        <v>3</v>
      </c>
      <c r="D46" s="12">
        <f t="shared" si="0"/>
        <v>1</v>
      </c>
      <c r="E46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46)))/C46,0)</f>
        <v>0</v>
      </c>
    </row>
    <row r="47" spans="1:5" ht="15" customHeight="1" x14ac:dyDescent="0.3">
      <c r="A47" s="8" t="s">
        <v>224</v>
      </c>
      <c r="B47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47)))</f>
        <v>8</v>
      </c>
      <c r="C47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47)))</f>
        <v>5</v>
      </c>
      <c r="D47" s="12">
        <f t="shared" si="0"/>
        <v>0.625</v>
      </c>
      <c r="E47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47)))/C47,0)</f>
        <v>0</v>
      </c>
    </row>
    <row r="48" spans="1:5" ht="15" customHeight="1" x14ac:dyDescent="0.3">
      <c r="A48" s="8" t="s">
        <v>225</v>
      </c>
      <c r="B48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48)))</f>
        <v>13</v>
      </c>
      <c r="C48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48)))</f>
        <v>7</v>
      </c>
      <c r="D48" s="12">
        <f t="shared" si="0"/>
        <v>0.53846153846153844</v>
      </c>
      <c r="E48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48)))/C48,0)</f>
        <v>0.14285714285714285</v>
      </c>
    </row>
    <row r="49" spans="1:6" ht="15" customHeight="1" x14ac:dyDescent="0.3">
      <c r="A49" s="8" t="s">
        <v>226</v>
      </c>
      <c r="B49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49)))</f>
        <v>15</v>
      </c>
      <c r="C49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49)))</f>
        <v>7</v>
      </c>
      <c r="D49" s="12">
        <f t="shared" si="0"/>
        <v>0.46666666666666667</v>
      </c>
      <c r="E49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49)))/C49,0)</f>
        <v>0.2857142857142857</v>
      </c>
    </row>
    <row r="50" spans="1:6" ht="15" customHeight="1" x14ac:dyDescent="0.3">
      <c r="A50" s="8" t="s">
        <v>227</v>
      </c>
      <c r="B50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50)))</f>
        <v>16</v>
      </c>
      <c r="C50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50)))</f>
        <v>6</v>
      </c>
      <c r="D50" s="12">
        <f t="shared" si="0"/>
        <v>0.375</v>
      </c>
      <c r="E50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50)))/C50,0)</f>
        <v>0.16666666666666666</v>
      </c>
    </row>
    <row r="51" spans="1:6" ht="15" customHeight="1" x14ac:dyDescent="0.3">
      <c r="A51" s="8" t="s">
        <v>228</v>
      </c>
      <c r="B51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51)))</f>
        <v>4</v>
      </c>
      <c r="C51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51)))</f>
        <v>2</v>
      </c>
      <c r="D51" s="12">
        <f t="shared" si="0"/>
        <v>0.5</v>
      </c>
      <c r="E51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51)))/C51,0)</f>
        <v>0</v>
      </c>
    </row>
    <row r="52" spans="1:6" ht="15" customHeight="1" x14ac:dyDescent="0.3">
      <c r="A52" s="8" t="s">
        <v>229</v>
      </c>
      <c r="B52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52)))</f>
        <v>18</v>
      </c>
      <c r="C52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52)))</f>
        <v>6</v>
      </c>
      <c r="D52" s="12">
        <f t="shared" si="0"/>
        <v>0.33333333333333331</v>
      </c>
      <c r="E52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52)))/C52,0)</f>
        <v>0.16666666666666666</v>
      </c>
    </row>
    <row r="53" spans="1:6" ht="15" customHeight="1" x14ac:dyDescent="0.3">
      <c r="A53" s="8" t="s">
        <v>230</v>
      </c>
      <c r="B53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53)))</f>
        <v>25</v>
      </c>
      <c r="C53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53)))</f>
        <v>11</v>
      </c>
      <c r="D53" s="12">
        <f t="shared" si="0"/>
        <v>0.44</v>
      </c>
      <c r="E53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53)))/C53,0)</f>
        <v>9.0909090909090912E-2</v>
      </c>
    </row>
    <row r="54" spans="1:6" ht="15" customHeight="1" x14ac:dyDescent="0.3">
      <c r="A54" s="8" t="s">
        <v>231</v>
      </c>
      <c r="B54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54)))</f>
        <v>17</v>
      </c>
      <c r="C54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54)))</f>
        <v>8</v>
      </c>
      <c r="D54" s="12">
        <f t="shared" si="0"/>
        <v>0.47058823529411764</v>
      </c>
      <c r="E54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54)))/C54,0)</f>
        <v>0</v>
      </c>
    </row>
    <row r="55" spans="1:6" ht="15" customHeight="1" x14ac:dyDescent="0.3">
      <c r="A55" s="8" t="s">
        <v>232</v>
      </c>
      <c r="B55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55)))</f>
        <v>16</v>
      </c>
      <c r="C55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55)))</f>
        <v>12</v>
      </c>
      <c r="D55" s="12">
        <f t="shared" si="0"/>
        <v>0.75</v>
      </c>
      <c r="E55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55)))/C55,0)</f>
        <v>0</v>
      </c>
    </row>
    <row r="56" spans="1:6" ht="15" customHeight="1" x14ac:dyDescent="0.3">
      <c r="A56" s="8" t="s">
        <v>233</v>
      </c>
      <c r="B56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56)))</f>
        <v>11</v>
      </c>
      <c r="C56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56)))</f>
        <v>8</v>
      </c>
      <c r="D56" s="12">
        <f t="shared" si="0"/>
        <v>0.72727272727272729</v>
      </c>
      <c r="E56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56)))/C56,0)</f>
        <v>0</v>
      </c>
    </row>
    <row r="57" spans="1:6" ht="15" customHeight="1" x14ac:dyDescent="0.3">
      <c r="A57" s="8" t="s">
        <v>234</v>
      </c>
      <c r="B57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57)))</f>
        <v>19</v>
      </c>
      <c r="C57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57)))</f>
        <v>13</v>
      </c>
      <c r="D57" s="12">
        <f t="shared" si="0"/>
        <v>0.68421052631578949</v>
      </c>
      <c r="E57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57)))/C57,0)</f>
        <v>7.6923076923076927E-2</v>
      </c>
    </row>
    <row r="58" spans="1:6" ht="15" customHeight="1" x14ac:dyDescent="0.3">
      <c r="A58" s="8" t="s">
        <v>235</v>
      </c>
      <c r="B58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58)))</f>
        <v>10</v>
      </c>
      <c r="C58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58)))</f>
        <v>3</v>
      </c>
      <c r="D58" s="12">
        <f t="shared" si="0"/>
        <v>0.3</v>
      </c>
      <c r="E58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58)))/C58,0)</f>
        <v>0</v>
      </c>
    </row>
    <row r="59" spans="1:6" ht="15" customHeight="1" x14ac:dyDescent="0.3">
      <c r="A59" s="8" t="s">
        <v>236</v>
      </c>
      <c r="B59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59)))</f>
        <v>12</v>
      </c>
      <c r="C59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59)))</f>
        <v>6</v>
      </c>
      <c r="D59" s="12">
        <f t="shared" si="0"/>
        <v>0.5</v>
      </c>
      <c r="E59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59)))/C59,0)</f>
        <v>0.16666666666666666</v>
      </c>
    </row>
    <row r="60" spans="1:6" ht="15" customHeight="1" x14ac:dyDescent="0.3">
      <c r="A60" s="8" t="s">
        <v>237</v>
      </c>
      <c r="B60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60)))</f>
        <v>6</v>
      </c>
      <c r="C60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60)))</f>
        <v>0</v>
      </c>
      <c r="D60" s="12">
        <f t="shared" si="0"/>
        <v>0</v>
      </c>
      <c r="E60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L$2:$AL$374=$A60)))/C60,0)</f>
        <v>0</v>
      </c>
    </row>
    <row r="62" spans="1:6" ht="18.75" customHeight="1" x14ac:dyDescent="0.3">
      <c r="A62" s="121" t="s">
        <v>238</v>
      </c>
      <c r="B62" s="121"/>
      <c r="C62" s="121"/>
      <c r="D62" s="121"/>
      <c r="E62" s="121"/>
      <c r="F62" s="121"/>
    </row>
    <row r="63" spans="1:6" ht="15" customHeight="1" x14ac:dyDescent="0.3">
      <c r="A63" s="7" t="s">
        <v>75</v>
      </c>
      <c r="B63" s="7" t="s">
        <v>182</v>
      </c>
      <c r="C63" s="7" t="s">
        <v>183</v>
      </c>
      <c r="D63" s="7" t="s">
        <v>184</v>
      </c>
      <c r="E63" s="7" t="s">
        <v>185</v>
      </c>
    </row>
    <row r="64" spans="1:6" ht="15" customHeight="1" x14ac:dyDescent="0.3">
      <c r="A64" s="8" t="s">
        <v>124</v>
      </c>
      <c r="B64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K$2:$K$374=$A64)))</f>
        <v>62</v>
      </c>
      <c r="C64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K$2:$K$374=$A64)))</f>
        <v>55</v>
      </c>
      <c r="D64" s="12">
        <f>IFERROR(C64/B64,0)</f>
        <v>0.88709677419354838</v>
      </c>
      <c r="E64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K$2:$K$374=$A64)))/C64,0)</f>
        <v>5.4545454545454543E-2</v>
      </c>
    </row>
    <row r="65" spans="1:5" ht="18.75" customHeight="1" x14ac:dyDescent="0.3">
      <c r="A65" s="8" t="s">
        <v>131</v>
      </c>
      <c r="B65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K$2:$K$374=$A65)))</f>
        <v>292</v>
      </c>
      <c r="C65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K$2:$K$374=$A65)))</f>
        <v>124</v>
      </c>
      <c r="D65" s="12">
        <f>IFERROR(C65/B65,0)</f>
        <v>0.42465753424657532</v>
      </c>
      <c r="E65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K$2:$K$374=$A65)))/C65,0)</f>
        <v>0.12096774193548387</v>
      </c>
    </row>
    <row r="81" spans="1:6" ht="18.75" customHeight="1" x14ac:dyDescent="0.3">
      <c r="A81" s="121" t="s">
        <v>239</v>
      </c>
      <c r="B81" s="121"/>
      <c r="C81" s="121"/>
      <c r="D81" s="121"/>
      <c r="E81" s="121"/>
      <c r="F81" s="121"/>
    </row>
    <row r="82" spans="1:6" ht="15" customHeight="1" x14ac:dyDescent="0.3">
      <c r="A82" s="7" t="s">
        <v>75</v>
      </c>
      <c r="B82" s="7" t="s">
        <v>182</v>
      </c>
      <c r="C82" s="7" t="s">
        <v>183</v>
      </c>
      <c r="D82" s="7" t="s">
        <v>184</v>
      </c>
      <c r="E82" s="7" t="s">
        <v>185</v>
      </c>
    </row>
    <row r="83" spans="1:6" ht="15" customHeight="1" x14ac:dyDescent="0.3">
      <c r="A83" s="8" t="s">
        <v>125</v>
      </c>
      <c r="B83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L$2:$L$374=$A83)))</f>
        <v>265</v>
      </c>
      <c r="C83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L$2:$L$374=$A83)))</f>
        <v>123</v>
      </c>
      <c r="D83" s="12">
        <f>IFERROR(C83/B83,0)</f>
        <v>0.46415094339622642</v>
      </c>
      <c r="E83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L$2:$L$374=$A83)))/C83,0)</f>
        <v>0.13008130081300814</v>
      </c>
    </row>
    <row r="84" spans="1:6" ht="15" customHeight="1" x14ac:dyDescent="0.3">
      <c r="A84" s="8" t="s">
        <v>132</v>
      </c>
      <c r="B84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L$2:$L$374=$A84)))</f>
        <v>88</v>
      </c>
      <c r="C84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L$2:$L$374=$A84)))</f>
        <v>55</v>
      </c>
      <c r="D84" s="12">
        <f>IFERROR(C84/B84,0)</f>
        <v>0.625</v>
      </c>
      <c r="E84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L$2:$L$374=$A84)))/C84,0)</f>
        <v>3.6363636363636362E-2</v>
      </c>
    </row>
    <row r="100" spans="1:6" ht="18.75" customHeight="1" x14ac:dyDescent="0.3">
      <c r="A100" s="121" t="s">
        <v>240</v>
      </c>
      <c r="B100" s="121"/>
      <c r="C100" s="121"/>
      <c r="D100" s="121"/>
      <c r="E100" s="121"/>
      <c r="F100" s="121"/>
    </row>
    <row r="101" spans="1:6" ht="15" customHeight="1" x14ac:dyDescent="0.3">
      <c r="A101" s="7" t="s">
        <v>75</v>
      </c>
      <c r="B101" s="7" t="s">
        <v>182</v>
      </c>
      <c r="C101" s="7" t="s">
        <v>183</v>
      </c>
      <c r="D101" s="7" t="s">
        <v>184</v>
      </c>
      <c r="E101" s="7" t="s">
        <v>185</v>
      </c>
    </row>
    <row r="102" spans="1:6" ht="15" customHeight="1" x14ac:dyDescent="0.3">
      <c r="A102" s="40">
        <v>1</v>
      </c>
      <c r="B102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102)))</f>
        <v>183</v>
      </c>
      <c r="C102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102)))</f>
        <v>117</v>
      </c>
      <c r="D102" s="12">
        <f t="shared" ref="D102:D111" si="1">IFERROR(C102/B102,0)</f>
        <v>0.63934426229508201</v>
      </c>
      <c r="E102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102)))/C102,0)</f>
        <v>7.6923076923076927E-2</v>
      </c>
    </row>
    <row r="103" spans="1:6" ht="15" customHeight="1" x14ac:dyDescent="0.3">
      <c r="A103" s="40">
        <v>2</v>
      </c>
      <c r="B103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103)))</f>
        <v>66</v>
      </c>
      <c r="C103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103)))</f>
        <v>26</v>
      </c>
      <c r="D103" s="12">
        <f t="shared" si="1"/>
        <v>0.39393939393939392</v>
      </c>
      <c r="E103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103)))/C103,0)</f>
        <v>0.15384615384615385</v>
      </c>
    </row>
    <row r="104" spans="1:6" ht="15" customHeight="1" x14ac:dyDescent="0.3">
      <c r="A104" s="40">
        <v>3</v>
      </c>
      <c r="B104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104)))</f>
        <v>40</v>
      </c>
      <c r="C104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104)))</f>
        <v>15</v>
      </c>
      <c r="D104" s="12">
        <f t="shared" si="1"/>
        <v>0.375</v>
      </c>
      <c r="E104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104)))/C104,0)</f>
        <v>0.13333333333333333</v>
      </c>
    </row>
    <row r="105" spans="1:6" ht="15" customHeight="1" x14ac:dyDescent="0.3">
      <c r="A105" s="40">
        <v>4</v>
      </c>
      <c r="B105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105)))</f>
        <v>23</v>
      </c>
      <c r="C105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105)))</f>
        <v>7</v>
      </c>
      <c r="D105" s="12">
        <f t="shared" si="1"/>
        <v>0.30434782608695654</v>
      </c>
      <c r="E105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105)))/C105,0)</f>
        <v>0</v>
      </c>
    </row>
    <row r="106" spans="1:6" ht="15" customHeight="1" x14ac:dyDescent="0.3">
      <c r="A106" s="40">
        <v>5</v>
      </c>
      <c r="B106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106)))</f>
        <v>16</v>
      </c>
      <c r="C106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106)))</f>
        <v>6</v>
      </c>
      <c r="D106" s="12">
        <f t="shared" si="1"/>
        <v>0.375</v>
      </c>
      <c r="E106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106)))/C106,0)</f>
        <v>0.16666666666666666</v>
      </c>
    </row>
    <row r="107" spans="1:6" ht="15" customHeight="1" x14ac:dyDescent="0.3">
      <c r="A107" s="40">
        <v>6</v>
      </c>
      <c r="B107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107)))</f>
        <v>11</v>
      </c>
      <c r="C107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107)))</f>
        <v>3</v>
      </c>
      <c r="D107" s="12">
        <f t="shared" si="1"/>
        <v>0.27272727272727271</v>
      </c>
      <c r="E107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107)))/C107,0)</f>
        <v>0.33333333333333331</v>
      </c>
    </row>
    <row r="108" spans="1:6" ht="15" customHeight="1" x14ac:dyDescent="0.3">
      <c r="A108" s="40">
        <v>7</v>
      </c>
      <c r="B108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108)))</f>
        <v>7</v>
      </c>
      <c r="C108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108)))</f>
        <v>0</v>
      </c>
      <c r="D108" s="12">
        <f t="shared" si="1"/>
        <v>0</v>
      </c>
      <c r="E108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108)))/C108,0)</f>
        <v>0</v>
      </c>
    </row>
    <row r="109" spans="1:6" ht="15" customHeight="1" x14ac:dyDescent="0.3">
      <c r="A109" s="40">
        <v>8</v>
      </c>
      <c r="B109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109)))</f>
        <v>5</v>
      </c>
      <c r="C109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109)))</f>
        <v>3</v>
      </c>
      <c r="D109" s="12">
        <f t="shared" si="1"/>
        <v>0.6</v>
      </c>
      <c r="E109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109)))/C109,0)</f>
        <v>0.33333333333333331</v>
      </c>
    </row>
    <row r="110" spans="1:6" ht="15" customHeight="1" x14ac:dyDescent="0.3">
      <c r="A110" s="40">
        <v>9</v>
      </c>
      <c r="B110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110)))</f>
        <v>2</v>
      </c>
      <c r="C110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110)))</f>
        <v>1</v>
      </c>
      <c r="D110" s="12">
        <f t="shared" si="1"/>
        <v>0.5</v>
      </c>
      <c r="E110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110)))/C110,0)</f>
        <v>0</v>
      </c>
    </row>
    <row r="111" spans="1:6" ht="15" customHeight="1" x14ac:dyDescent="0.3">
      <c r="A111" s="40">
        <v>10</v>
      </c>
      <c r="B111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111)))</f>
        <v>1</v>
      </c>
      <c r="C111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111)))</f>
        <v>1</v>
      </c>
      <c r="D111" s="12">
        <f t="shared" si="1"/>
        <v>1</v>
      </c>
      <c r="E111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R$2:$R$374=$A111)))/C111,0)</f>
        <v>0</v>
      </c>
    </row>
    <row r="119" spans="1:6" ht="18.75" customHeight="1" x14ac:dyDescent="0.3">
      <c r="A119" s="121" t="s">
        <v>241</v>
      </c>
      <c r="B119" s="121"/>
      <c r="C119" s="121"/>
      <c r="D119" s="121"/>
      <c r="E119" s="121"/>
      <c r="F119" s="121"/>
    </row>
    <row r="120" spans="1:6" ht="15" customHeight="1" x14ac:dyDescent="0.3">
      <c r="A120" s="7" t="s">
        <v>75</v>
      </c>
      <c r="B120" s="7" t="s">
        <v>182</v>
      </c>
      <c r="C120" s="7" t="s">
        <v>183</v>
      </c>
      <c r="D120" s="7" t="s">
        <v>184</v>
      </c>
      <c r="E120" s="7" t="s">
        <v>185</v>
      </c>
    </row>
    <row r="121" spans="1:6" ht="15" customHeight="1" x14ac:dyDescent="0.3">
      <c r="A121" s="8" t="s">
        <v>123</v>
      </c>
      <c r="B121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B$2:$B$374=$A121)))</f>
        <v>1</v>
      </c>
      <c r="C121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B$2:$B$374=$A121)))</f>
        <v>1</v>
      </c>
      <c r="D121" s="12">
        <f>IFERROR(C121/B121,0)</f>
        <v>1</v>
      </c>
      <c r="E121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B$2:$B$374=$A121)))/C121,0)</f>
        <v>0</v>
      </c>
    </row>
    <row r="122" spans="1:6" ht="15" customHeight="1" x14ac:dyDescent="0.3">
      <c r="A122" s="8" t="s">
        <v>130</v>
      </c>
      <c r="B122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B$2:$B$374=$A122)))</f>
        <v>234</v>
      </c>
      <c r="C122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B$2:$B$374=$A122)))</f>
        <v>123</v>
      </c>
      <c r="D122" s="12">
        <f>IFERROR(C122/B122,0)</f>
        <v>0.52564102564102566</v>
      </c>
      <c r="E122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B$2:$B$374=$A122)))/C122,0)</f>
        <v>8.943089430894309E-2</v>
      </c>
    </row>
    <row r="123" spans="1:6" ht="15" customHeight="1" x14ac:dyDescent="0.3">
      <c r="A123" s="8" t="s">
        <v>137</v>
      </c>
      <c r="B123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B$2:$B$374=$A123)))</f>
        <v>108</v>
      </c>
      <c r="C123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B$2:$B$374=$A123)))</f>
        <v>53</v>
      </c>
      <c r="D123" s="12">
        <f>IFERROR(C123/B123,0)</f>
        <v>0.49074074074074076</v>
      </c>
      <c r="E123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B$2:$B$374=$A123)))/C123,0)</f>
        <v>0.11320754716981132</v>
      </c>
    </row>
    <row r="124" spans="1:6" ht="15" customHeight="1" x14ac:dyDescent="0.3">
      <c r="A124" s="8" t="s">
        <v>143</v>
      </c>
      <c r="B124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B$2:$B$374=$A124)))</f>
        <v>11</v>
      </c>
      <c r="C124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B$2:$B$374=$A124)))</f>
        <v>2</v>
      </c>
      <c r="D124" s="12">
        <f>IFERROR(C124/B124,0)</f>
        <v>0.18181818181818182</v>
      </c>
      <c r="E124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B$2:$B$374=$A124)))/C124,0)</f>
        <v>0.5</v>
      </c>
    </row>
    <row r="138" spans="1:6" ht="18.75" customHeight="1" x14ac:dyDescent="0.3">
      <c r="A138" s="121" t="s">
        <v>242</v>
      </c>
      <c r="B138" s="121"/>
      <c r="C138" s="121"/>
      <c r="D138" s="121"/>
      <c r="E138" s="121"/>
      <c r="F138" s="121"/>
    </row>
    <row r="139" spans="1:6" ht="15" customHeight="1" x14ac:dyDescent="0.3">
      <c r="A139" s="7" t="s">
        <v>75</v>
      </c>
      <c r="B139" s="7" t="s">
        <v>182</v>
      </c>
      <c r="C139" s="7" t="s">
        <v>183</v>
      </c>
      <c r="D139" s="7" t="s">
        <v>184</v>
      </c>
      <c r="E139" s="7" t="s">
        <v>185</v>
      </c>
    </row>
    <row r="140" spans="1:6" ht="15" customHeight="1" x14ac:dyDescent="0.3">
      <c r="A140" s="40">
        <v>0</v>
      </c>
      <c r="B140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E$2:$E$374=$A140)))</f>
        <v>181</v>
      </c>
      <c r="C140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E$2:$E$374=$A140)))</f>
        <v>118</v>
      </c>
      <c r="D140" s="12">
        <f>IFERROR(C140/B140,0)</f>
        <v>0.65193370165745856</v>
      </c>
      <c r="E140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E$2:$E$374=$A140)))/C140,0)</f>
        <v>5.0847457627118647E-2</v>
      </c>
    </row>
    <row r="141" spans="1:6" ht="15" customHeight="1" x14ac:dyDescent="0.3">
      <c r="A141" s="40">
        <v>1</v>
      </c>
      <c r="B141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E$2:$E$374=$A141)))</f>
        <v>120</v>
      </c>
      <c r="C141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E$2:$E$374=$A141)))</f>
        <v>45</v>
      </c>
      <c r="D141" s="12">
        <f>IFERROR(C141/B141,0)</f>
        <v>0.375</v>
      </c>
      <c r="E141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E$2:$E$374=$A141)))/C141,0)</f>
        <v>0.15555555555555556</v>
      </c>
    </row>
    <row r="142" spans="1:6" ht="15" customHeight="1" x14ac:dyDescent="0.3">
      <c r="A142" s="40">
        <v>2</v>
      </c>
      <c r="B142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E$2:$E$374=$A142)))</f>
        <v>48</v>
      </c>
      <c r="C142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E$2:$E$374=$A142)))</f>
        <v>14</v>
      </c>
      <c r="D142" s="12">
        <f>IFERROR(C142/B142,0)</f>
        <v>0.29166666666666669</v>
      </c>
      <c r="E142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E$2:$E$374=$A142)))/C142,0)</f>
        <v>0.35714285714285715</v>
      </c>
    </row>
    <row r="143" spans="1:6" ht="15" customHeight="1" x14ac:dyDescent="0.3">
      <c r="A143" s="40">
        <v>3</v>
      </c>
      <c r="B143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E$2:$E$374=$A143)))</f>
        <v>5</v>
      </c>
      <c r="C143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E$2:$E$374=$A143)))</f>
        <v>2</v>
      </c>
      <c r="D143" s="12">
        <f>IFERROR(C143/B143,0)</f>
        <v>0.4</v>
      </c>
      <c r="E143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E$2:$E$374=$A143)))/C143,0)</f>
        <v>0</v>
      </c>
    </row>
    <row r="157" spans="1:6" ht="18.75" customHeight="1" x14ac:dyDescent="0.3">
      <c r="A157" s="121" t="s">
        <v>243</v>
      </c>
      <c r="B157" s="121"/>
      <c r="C157" s="121"/>
      <c r="D157" s="121"/>
      <c r="E157" s="121"/>
      <c r="F157" s="121"/>
    </row>
    <row r="158" spans="1:6" ht="15" customHeight="1" x14ac:dyDescent="0.3">
      <c r="A158" s="7" t="s">
        <v>75</v>
      </c>
      <c r="B158" s="7" t="s">
        <v>182</v>
      </c>
      <c r="C158" s="7" t="s">
        <v>183</v>
      </c>
      <c r="D158" s="7" t="s">
        <v>184</v>
      </c>
      <c r="E158" s="7" t="s">
        <v>185</v>
      </c>
    </row>
    <row r="159" spans="1:6" ht="18.75" customHeight="1" x14ac:dyDescent="0.3">
      <c r="A159" s="8" t="s">
        <v>126</v>
      </c>
      <c r="B159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N$2:$N$374=$A159)))</f>
        <v>135</v>
      </c>
      <c r="C159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N$2:$N$374=$A159)))</f>
        <v>45</v>
      </c>
      <c r="D159" s="12">
        <f>IFERROR(C159/B159,0)</f>
        <v>0.33333333333333331</v>
      </c>
      <c r="E159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N$2:$N$374=$A159)))/C159,0)</f>
        <v>0.28888888888888886</v>
      </c>
    </row>
    <row r="160" spans="1:6" ht="15" customHeight="1" x14ac:dyDescent="0.3">
      <c r="A160" s="8" t="s">
        <v>133</v>
      </c>
      <c r="B160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N$2:$N$374=$A160)))</f>
        <v>71</v>
      </c>
      <c r="C160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N$2:$N$374=$A160)))</f>
        <v>29</v>
      </c>
      <c r="D160" s="12">
        <f>IFERROR(C160/B160,0)</f>
        <v>0.40845070422535212</v>
      </c>
      <c r="E160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N$2:$N$374=$A160)))/C160,0)</f>
        <v>3.4482758620689655E-2</v>
      </c>
    </row>
    <row r="161" spans="1:6" ht="18.75" customHeight="1" x14ac:dyDescent="0.3">
      <c r="A161" s="8" t="s">
        <v>138</v>
      </c>
      <c r="B161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N$2:$N$374=$A161)))</f>
        <v>37</v>
      </c>
      <c r="C161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N$2:$N$374=$A161)))</f>
        <v>23</v>
      </c>
      <c r="D161" s="12">
        <f>IFERROR(C161/B161,0)</f>
        <v>0.6216216216216216</v>
      </c>
      <c r="E161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N$2:$N$374=$A161)))/C161,0)</f>
        <v>0</v>
      </c>
    </row>
    <row r="176" spans="1:6" ht="18.75" customHeight="1" x14ac:dyDescent="0.3">
      <c r="A176" s="121" t="s">
        <v>244</v>
      </c>
      <c r="B176" s="121"/>
      <c r="C176" s="121"/>
      <c r="D176" s="121"/>
      <c r="E176" s="121"/>
      <c r="F176" s="121"/>
    </row>
    <row r="177" spans="1:5" ht="15" customHeight="1" x14ac:dyDescent="0.3">
      <c r="A177" s="7" t="s">
        <v>75</v>
      </c>
      <c r="B177" s="7" t="s">
        <v>182</v>
      </c>
      <c r="C177" s="7" t="s">
        <v>183</v>
      </c>
      <c r="D177" s="7" t="s">
        <v>184</v>
      </c>
      <c r="E177" s="7" t="s">
        <v>185</v>
      </c>
    </row>
    <row r="178" spans="1:5" ht="15" customHeight="1" x14ac:dyDescent="0.3">
      <c r="A178" s="8" t="s">
        <v>130</v>
      </c>
      <c r="B178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Q$2:$Q$374=$A178)))</f>
        <v>272</v>
      </c>
      <c r="C178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Q$2:$Q$374=$A178)))</f>
        <v>142</v>
      </c>
      <c r="D178" s="12">
        <f>IFERROR(C178/B178,0)</f>
        <v>0.5220588235294118</v>
      </c>
      <c r="E178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Q$2:$Q$374=$A178)))/C178,0)</f>
        <v>0.11971830985915492</v>
      </c>
    </row>
    <row r="179" spans="1:5" ht="15" customHeight="1" x14ac:dyDescent="0.3">
      <c r="A179" s="8" t="s">
        <v>137</v>
      </c>
      <c r="B179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Q$2:$Q$374=$A179)))</f>
        <v>80</v>
      </c>
      <c r="C179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Q$2:$Q$374=$A179)))</f>
        <v>35</v>
      </c>
      <c r="D179" s="12">
        <f>IFERROR(C179/B179,0)</f>
        <v>0.4375</v>
      </c>
      <c r="E179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Q$2:$Q$374=$A179)))/C179,0)</f>
        <v>2.8571428571428571E-2</v>
      </c>
    </row>
    <row r="180" spans="1:5" ht="15" customHeight="1" x14ac:dyDescent="0.3">
      <c r="A180" s="8" t="s">
        <v>245</v>
      </c>
      <c r="B180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Q$2:$Q$374=$A180)))</f>
        <v>2</v>
      </c>
      <c r="C180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Q$2:$Q$374=$A180)))</f>
        <v>2</v>
      </c>
      <c r="D180" s="12">
        <f>IFERROR(C180/B180,0)</f>
        <v>1</v>
      </c>
      <c r="E180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Q$2:$Q$374=$A180)))/C180,0)</f>
        <v>0</v>
      </c>
    </row>
    <row r="195" spans="1:6" ht="18.75" customHeight="1" x14ac:dyDescent="0.3">
      <c r="A195" s="121" t="s">
        <v>246</v>
      </c>
      <c r="B195" s="121"/>
      <c r="C195" s="121"/>
      <c r="D195" s="121"/>
      <c r="E195" s="121"/>
      <c r="F195" s="121"/>
    </row>
    <row r="196" spans="1:6" ht="15" customHeight="1" x14ac:dyDescent="0.3">
      <c r="A196" s="7" t="s">
        <v>75</v>
      </c>
      <c r="B196" s="7" t="s">
        <v>182</v>
      </c>
      <c r="C196" s="7" t="s">
        <v>183</v>
      </c>
      <c r="D196" s="7" t="s">
        <v>184</v>
      </c>
      <c r="E196" s="7" t="s">
        <v>185</v>
      </c>
    </row>
    <row r="197" spans="1:6" ht="15" customHeight="1" x14ac:dyDescent="0.3">
      <c r="A197" s="8" t="s">
        <v>127</v>
      </c>
      <c r="B197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197)))</f>
        <v>0</v>
      </c>
      <c r="C197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197)))</f>
        <v>0</v>
      </c>
      <c r="D197" s="12">
        <f t="shared" ref="D197:D211" si="2">IFERROR(C197/B197,0)</f>
        <v>0</v>
      </c>
      <c r="E197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197)))/C197,0)</f>
        <v>0</v>
      </c>
    </row>
    <row r="198" spans="1:6" ht="15" customHeight="1" x14ac:dyDescent="0.3">
      <c r="A198" s="8" t="s">
        <v>134</v>
      </c>
      <c r="B198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198)))</f>
        <v>0</v>
      </c>
      <c r="C198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198)))</f>
        <v>0</v>
      </c>
      <c r="D198" s="12">
        <f t="shared" si="2"/>
        <v>0</v>
      </c>
      <c r="E198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198)))/C198,0)</f>
        <v>0</v>
      </c>
    </row>
    <row r="199" spans="1:6" ht="18.75" customHeight="1" x14ac:dyDescent="0.3">
      <c r="A199" s="8" t="s">
        <v>139</v>
      </c>
      <c r="B199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199)))</f>
        <v>23</v>
      </c>
      <c r="C199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199)))</f>
        <v>5</v>
      </c>
      <c r="D199" s="12">
        <f t="shared" si="2"/>
        <v>0.21739130434782608</v>
      </c>
      <c r="E199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199)))/C199,0)</f>
        <v>0</v>
      </c>
    </row>
    <row r="200" spans="1:6" ht="18.75" customHeight="1" x14ac:dyDescent="0.3">
      <c r="A200" s="8" t="s">
        <v>144</v>
      </c>
      <c r="B200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200)))</f>
        <v>20</v>
      </c>
      <c r="C200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200)))</f>
        <v>16</v>
      </c>
      <c r="D200" s="12">
        <f t="shared" si="2"/>
        <v>0.8</v>
      </c>
      <c r="E200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200)))/C200,0)</f>
        <v>6.25E-2</v>
      </c>
    </row>
    <row r="201" spans="1:6" ht="18.75" customHeight="1" x14ac:dyDescent="0.3">
      <c r="A201" s="8" t="s">
        <v>149</v>
      </c>
      <c r="B201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201)))</f>
        <v>8</v>
      </c>
      <c r="C201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201)))</f>
        <v>1</v>
      </c>
      <c r="D201" s="12">
        <f t="shared" si="2"/>
        <v>0.125</v>
      </c>
      <c r="E201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201)))/C201,0)</f>
        <v>0</v>
      </c>
    </row>
    <row r="202" spans="1:6" ht="15" customHeight="1" x14ac:dyDescent="0.3">
      <c r="A202" s="8" t="s">
        <v>154</v>
      </c>
      <c r="B202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202)))</f>
        <v>17</v>
      </c>
      <c r="C202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202)))</f>
        <v>6</v>
      </c>
      <c r="D202" s="12">
        <f t="shared" si="2"/>
        <v>0.35294117647058826</v>
      </c>
      <c r="E202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202)))/C202,0)</f>
        <v>0</v>
      </c>
    </row>
    <row r="203" spans="1:6" ht="18.75" customHeight="1" x14ac:dyDescent="0.3">
      <c r="A203" s="8" t="s">
        <v>157</v>
      </c>
      <c r="B203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203)))</f>
        <v>28</v>
      </c>
      <c r="C203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203)))</f>
        <v>19</v>
      </c>
      <c r="D203" s="12">
        <f t="shared" si="2"/>
        <v>0.6785714285714286</v>
      </c>
      <c r="E203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203)))/C203,0)</f>
        <v>5.2631578947368418E-2</v>
      </c>
    </row>
    <row r="204" spans="1:6" ht="15" customHeight="1" x14ac:dyDescent="0.3">
      <c r="A204" s="8" t="s">
        <v>159</v>
      </c>
      <c r="B204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204)))</f>
        <v>6</v>
      </c>
      <c r="C204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204)))</f>
        <v>0</v>
      </c>
      <c r="D204" s="12">
        <f t="shared" si="2"/>
        <v>0</v>
      </c>
      <c r="E204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204)))/C204,0)</f>
        <v>0</v>
      </c>
    </row>
    <row r="205" spans="1:6" ht="15" customHeight="1" x14ac:dyDescent="0.3">
      <c r="A205" s="8" t="s">
        <v>162</v>
      </c>
      <c r="B205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205)))</f>
        <v>10</v>
      </c>
      <c r="C205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205)))</f>
        <v>2</v>
      </c>
      <c r="D205" s="12">
        <f t="shared" si="2"/>
        <v>0.2</v>
      </c>
      <c r="E205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205)))/C205,0)</f>
        <v>0</v>
      </c>
    </row>
    <row r="206" spans="1:6" ht="15" customHeight="1" x14ac:dyDescent="0.3">
      <c r="A206" s="8" t="s">
        <v>171</v>
      </c>
      <c r="B206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206)))</f>
        <v>33</v>
      </c>
      <c r="C206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206)))</f>
        <v>31</v>
      </c>
      <c r="D206" s="12">
        <f t="shared" si="2"/>
        <v>0.93939393939393945</v>
      </c>
      <c r="E206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206)))/C206,0)</f>
        <v>6.4516129032258063E-2</v>
      </c>
    </row>
    <row r="207" spans="1:6" ht="15" customHeight="1" x14ac:dyDescent="0.3">
      <c r="A207" s="8" t="s">
        <v>173</v>
      </c>
      <c r="B207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207)))</f>
        <v>9</v>
      </c>
      <c r="C207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207)))</f>
        <v>1</v>
      </c>
      <c r="D207" s="12">
        <f t="shared" si="2"/>
        <v>0.1111111111111111</v>
      </c>
      <c r="E207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207)))/C207,0)</f>
        <v>0</v>
      </c>
    </row>
    <row r="208" spans="1:6" ht="15" customHeight="1" x14ac:dyDescent="0.3">
      <c r="A208" s="8" t="s">
        <v>175</v>
      </c>
      <c r="B208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208)))</f>
        <v>75</v>
      </c>
      <c r="C208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208)))</f>
        <v>33</v>
      </c>
      <c r="D208" s="12">
        <f t="shared" si="2"/>
        <v>0.44</v>
      </c>
      <c r="E208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208)))/C208,0)</f>
        <v>0.21212121212121213</v>
      </c>
    </row>
    <row r="209" spans="1:6" ht="15" customHeight="1" x14ac:dyDescent="0.3">
      <c r="A209" s="8" t="s">
        <v>177</v>
      </c>
      <c r="B209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209)))</f>
        <v>6</v>
      </c>
      <c r="C209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209)))</f>
        <v>1</v>
      </c>
      <c r="D209" s="12">
        <f t="shared" si="2"/>
        <v>0.16666666666666666</v>
      </c>
      <c r="E209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209)))/C209,0)</f>
        <v>1</v>
      </c>
    </row>
    <row r="210" spans="1:6" ht="15" customHeight="1" x14ac:dyDescent="0.3">
      <c r="A210" s="8" t="s">
        <v>180</v>
      </c>
      <c r="B210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210)))</f>
        <v>9</v>
      </c>
      <c r="C210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210)))</f>
        <v>2</v>
      </c>
      <c r="D210" s="12">
        <f t="shared" si="2"/>
        <v>0.22222222222222221</v>
      </c>
      <c r="E210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210)))/C210,0)</f>
        <v>0.5</v>
      </c>
    </row>
    <row r="211" spans="1:6" ht="15" customHeight="1" x14ac:dyDescent="0.3">
      <c r="A211" s="8" t="s">
        <v>186</v>
      </c>
      <c r="B211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211)))</f>
        <v>34</v>
      </c>
      <c r="C211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211)))</f>
        <v>30</v>
      </c>
      <c r="D211" s="12">
        <f t="shared" si="2"/>
        <v>0.88235294117647056</v>
      </c>
      <c r="E211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O$2:$O$374=$A211)))/C211,0)</f>
        <v>0</v>
      </c>
    </row>
    <row r="214" spans="1:6" ht="18.75" customHeight="1" x14ac:dyDescent="0.3">
      <c r="A214" s="121" t="s">
        <v>247</v>
      </c>
      <c r="B214" s="121"/>
      <c r="C214" s="121"/>
      <c r="D214" s="121"/>
      <c r="E214" s="121"/>
      <c r="F214" s="121"/>
    </row>
    <row r="215" spans="1:6" ht="15" customHeight="1" x14ac:dyDescent="0.3">
      <c r="A215" s="7" t="s">
        <v>75</v>
      </c>
      <c r="B215" s="7" t="s">
        <v>182</v>
      </c>
      <c r="C215" s="7" t="s">
        <v>183</v>
      </c>
      <c r="D215" s="7" t="s">
        <v>184</v>
      </c>
      <c r="E215" s="7" t="s">
        <v>185</v>
      </c>
    </row>
    <row r="216" spans="1:6" ht="15" customHeight="1" x14ac:dyDescent="0.3">
      <c r="A216" s="8" t="s">
        <v>128</v>
      </c>
      <c r="B216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216)))</f>
        <v>12</v>
      </c>
      <c r="C216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216)))</f>
        <v>3</v>
      </c>
      <c r="D216" s="12">
        <f t="shared" ref="D216:D236" si="3">IFERROR(C216/B216,0)</f>
        <v>0.25</v>
      </c>
      <c r="E216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216)))/C216,0)</f>
        <v>0</v>
      </c>
    </row>
    <row r="217" spans="1:6" ht="15" customHeight="1" x14ac:dyDescent="0.3">
      <c r="A217" s="8" t="s">
        <v>135</v>
      </c>
      <c r="B217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217)))</f>
        <v>23</v>
      </c>
      <c r="C217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217)))</f>
        <v>11</v>
      </c>
      <c r="D217" s="12">
        <f t="shared" si="3"/>
        <v>0.47826086956521741</v>
      </c>
      <c r="E217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217)))/C217,0)</f>
        <v>0.27272727272727271</v>
      </c>
    </row>
    <row r="218" spans="1:6" ht="15" customHeight="1" x14ac:dyDescent="0.3">
      <c r="A218" s="8" t="s">
        <v>140</v>
      </c>
      <c r="B218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218)))</f>
        <v>27</v>
      </c>
      <c r="C218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218)))</f>
        <v>6</v>
      </c>
      <c r="D218" s="12">
        <f t="shared" si="3"/>
        <v>0.22222222222222221</v>
      </c>
      <c r="E218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218)))/C218,0)</f>
        <v>0.33333333333333331</v>
      </c>
    </row>
    <row r="219" spans="1:6" ht="15" customHeight="1" x14ac:dyDescent="0.3">
      <c r="A219" s="8" t="s">
        <v>145</v>
      </c>
      <c r="B219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219)))</f>
        <v>22</v>
      </c>
      <c r="C219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219)))</f>
        <v>11</v>
      </c>
      <c r="D219" s="12">
        <f t="shared" si="3"/>
        <v>0.5</v>
      </c>
      <c r="E219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219)))/C219,0)</f>
        <v>0.27272727272727271</v>
      </c>
    </row>
    <row r="220" spans="1:6" ht="15" customHeight="1" x14ac:dyDescent="0.3">
      <c r="A220" s="8" t="s">
        <v>150</v>
      </c>
      <c r="B220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220)))</f>
        <v>14</v>
      </c>
      <c r="C220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220)))</f>
        <v>4</v>
      </c>
      <c r="D220" s="12">
        <f t="shared" si="3"/>
        <v>0.2857142857142857</v>
      </c>
      <c r="E220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220)))/C220,0)</f>
        <v>0.5</v>
      </c>
    </row>
    <row r="221" spans="1:6" ht="15" customHeight="1" x14ac:dyDescent="0.3">
      <c r="A221" s="8" t="s">
        <v>155</v>
      </c>
      <c r="B221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221)))</f>
        <v>13</v>
      </c>
      <c r="C221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221)))</f>
        <v>7</v>
      </c>
      <c r="D221" s="12">
        <f t="shared" si="3"/>
        <v>0.53846153846153844</v>
      </c>
      <c r="E221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221)))/C221,0)</f>
        <v>0.14285714285714285</v>
      </c>
    </row>
    <row r="222" spans="1:6" ht="15" customHeight="1" x14ac:dyDescent="0.3">
      <c r="A222" s="8" t="s">
        <v>158</v>
      </c>
      <c r="B222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222)))</f>
        <v>8</v>
      </c>
      <c r="C222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222)))</f>
        <v>2</v>
      </c>
      <c r="D222" s="12">
        <f t="shared" si="3"/>
        <v>0.25</v>
      </c>
      <c r="E222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222)))/C222,0)</f>
        <v>0</v>
      </c>
    </row>
    <row r="223" spans="1:6" ht="15" customHeight="1" x14ac:dyDescent="0.3">
      <c r="A223" s="8" t="s">
        <v>160</v>
      </c>
      <c r="B223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223)))</f>
        <v>12</v>
      </c>
      <c r="C223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223)))</f>
        <v>5</v>
      </c>
      <c r="D223" s="12">
        <f t="shared" si="3"/>
        <v>0.41666666666666669</v>
      </c>
      <c r="E223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223)))/C223,0)</f>
        <v>0</v>
      </c>
    </row>
    <row r="224" spans="1:6" ht="15" customHeight="1" x14ac:dyDescent="0.3">
      <c r="A224" s="8" t="s">
        <v>163</v>
      </c>
      <c r="B224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224)))</f>
        <v>8</v>
      </c>
      <c r="C224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224)))</f>
        <v>4</v>
      </c>
      <c r="D224" s="12">
        <f t="shared" si="3"/>
        <v>0.5</v>
      </c>
      <c r="E224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224)))/C224,0)</f>
        <v>0</v>
      </c>
    </row>
    <row r="225" spans="1:6" ht="15" customHeight="1" x14ac:dyDescent="0.3">
      <c r="A225" s="8" t="s">
        <v>172</v>
      </c>
      <c r="B225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225)))</f>
        <v>7</v>
      </c>
      <c r="C225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225)))</f>
        <v>2</v>
      </c>
      <c r="D225" s="12">
        <f t="shared" si="3"/>
        <v>0.2857142857142857</v>
      </c>
      <c r="E225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225)))/C225,0)</f>
        <v>0</v>
      </c>
    </row>
    <row r="226" spans="1:6" ht="15" customHeight="1" x14ac:dyDescent="0.3">
      <c r="A226" s="8" t="s">
        <v>174</v>
      </c>
      <c r="B226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226)))</f>
        <v>3</v>
      </c>
      <c r="C226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226)))</f>
        <v>1</v>
      </c>
      <c r="D226" s="12">
        <f t="shared" si="3"/>
        <v>0.33333333333333331</v>
      </c>
      <c r="E226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226)))/C226,0)</f>
        <v>0</v>
      </c>
    </row>
    <row r="227" spans="1:6" ht="15" customHeight="1" x14ac:dyDescent="0.3">
      <c r="A227" s="8" t="s">
        <v>176</v>
      </c>
      <c r="B227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227)))</f>
        <v>5</v>
      </c>
      <c r="C227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227)))</f>
        <v>0</v>
      </c>
      <c r="D227" s="12">
        <f t="shared" si="3"/>
        <v>0</v>
      </c>
      <c r="E227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227)))/C227,0)</f>
        <v>0</v>
      </c>
    </row>
    <row r="228" spans="1:6" ht="15" customHeight="1" x14ac:dyDescent="0.3">
      <c r="A228" s="8" t="s">
        <v>178</v>
      </c>
      <c r="B228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228)))</f>
        <v>2</v>
      </c>
      <c r="C228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228)))</f>
        <v>1</v>
      </c>
      <c r="D228" s="12">
        <f t="shared" si="3"/>
        <v>0.5</v>
      </c>
      <c r="E228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228)))/C228,0)</f>
        <v>0</v>
      </c>
    </row>
    <row r="229" spans="1:6" ht="15" customHeight="1" x14ac:dyDescent="0.3">
      <c r="A229" s="8" t="s">
        <v>181</v>
      </c>
      <c r="B229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229)))</f>
        <v>3</v>
      </c>
      <c r="C229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229)))</f>
        <v>0</v>
      </c>
      <c r="D229" s="12">
        <f t="shared" si="3"/>
        <v>0</v>
      </c>
      <c r="E229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229)))/C229,0)</f>
        <v>0</v>
      </c>
    </row>
    <row r="230" spans="1:6" ht="15" customHeight="1" x14ac:dyDescent="0.3">
      <c r="A230" s="8" t="s">
        <v>187</v>
      </c>
      <c r="B230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230)))</f>
        <v>4</v>
      </c>
      <c r="C230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230)))</f>
        <v>0</v>
      </c>
      <c r="D230" s="12">
        <f t="shared" si="3"/>
        <v>0</v>
      </c>
      <c r="E230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230)))/C230,0)</f>
        <v>0</v>
      </c>
    </row>
    <row r="231" spans="1:6" ht="15" customHeight="1" x14ac:dyDescent="0.3">
      <c r="A231" s="8" t="s">
        <v>189</v>
      </c>
      <c r="B231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231)))</f>
        <v>4</v>
      </c>
      <c r="C231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231)))</f>
        <v>1</v>
      </c>
      <c r="D231" s="12">
        <f t="shared" si="3"/>
        <v>0.25</v>
      </c>
      <c r="E231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231)))/C231,0)</f>
        <v>0</v>
      </c>
    </row>
    <row r="232" spans="1:6" ht="15" customHeight="1" x14ac:dyDescent="0.3">
      <c r="A232" s="8" t="s">
        <v>191</v>
      </c>
      <c r="B232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232)))</f>
        <v>1</v>
      </c>
      <c r="C232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232)))</f>
        <v>0</v>
      </c>
      <c r="D232" s="12">
        <f t="shared" si="3"/>
        <v>0</v>
      </c>
      <c r="E232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232)))/C232,0)</f>
        <v>0</v>
      </c>
    </row>
    <row r="233" spans="1:6" ht="15" customHeight="1" x14ac:dyDescent="0.3">
      <c r="A233" s="8" t="s">
        <v>193</v>
      </c>
      <c r="B233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233)))</f>
        <v>2</v>
      </c>
      <c r="C233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233)))</f>
        <v>2</v>
      </c>
      <c r="D233" s="12">
        <f t="shared" si="3"/>
        <v>1</v>
      </c>
      <c r="E233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233)))/C233,0)</f>
        <v>0.5</v>
      </c>
    </row>
    <row r="234" spans="1:6" ht="15" customHeight="1" x14ac:dyDescent="0.3">
      <c r="A234" s="8" t="s">
        <v>195</v>
      </c>
      <c r="B234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234)))</f>
        <v>2</v>
      </c>
      <c r="C234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234)))</f>
        <v>1</v>
      </c>
      <c r="D234" s="12">
        <f t="shared" si="3"/>
        <v>0.5</v>
      </c>
      <c r="E234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234)))/C234,0)</f>
        <v>0</v>
      </c>
    </row>
    <row r="235" spans="1:6" ht="15" customHeight="1" x14ac:dyDescent="0.3">
      <c r="A235" s="8" t="s">
        <v>197</v>
      </c>
      <c r="B235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235)))</f>
        <v>1</v>
      </c>
      <c r="C235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235)))</f>
        <v>0</v>
      </c>
      <c r="D235" s="12">
        <f t="shared" si="3"/>
        <v>0</v>
      </c>
      <c r="E235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235)))/C235,0)</f>
        <v>0</v>
      </c>
    </row>
    <row r="236" spans="1:6" ht="15" customHeight="1" x14ac:dyDescent="0.3">
      <c r="A236" s="8" t="s">
        <v>199</v>
      </c>
      <c r="B236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236)))</f>
        <v>0</v>
      </c>
      <c r="C236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236)))</f>
        <v>0</v>
      </c>
      <c r="D236" s="12">
        <f t="shared" si="3"/>
        <v>0</v>
      </c>
      <c r="E236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AN$2:$AN$374=$A236)))/C236,0)</f>
        <v>0</v>
      </c>
    </row>
    <row r="238" spans="1:6" ht="18.75" customHeight="1" x14ac:dyDescent="0.3">
      <c r="A238" s="121" t="s">
        <v>248</v>
      </c>
      <c r="B238" s="121"/>
      <c r="C238" s="121"/>
      <c r="D238" s="121"/>
      <c r="E238" s="121"/>
      <c r="F238" s="121"/>
    </row>
    <row r="239" spans="1:6" ht="15" customHeight="1" x14ac:dyDescent="0.3">
      <c r="A239" s="7" t="s">
        <v>75</v>
      </c>
      <c r="B239" s="7" t="s">
        <v>182</v>
      </c>
      <c r="C239" s="7" t="s">
        <v>183</v>
      </c>
      <c r="D239" s="7" t="s">
        <v>184</v>
      </c>
      <c r="E239" s="7" t="s">
        <v>185</v>
      </c>
    </row>
    <row r="240" spans="1:6" ht="15" customHeight="1" x14ac:dyDescent="0.3">
      <c r="A240" s="8" t="s">
        <v>249</v>
      </c>
      <c r="B240" s="10">
        <f>SUMPRODUCT(--((REPRODUTIVO!$AI$2:$AI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I$2:$I$374=$A240)))</f>
        <v>0</v>
      </c>
      <c r="C240" s="10">
        <f>SUMPRODUCT(--((REPRODUTIVO!$AH$2:$AH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I$2:$I$374=$A240)))</f>
        <v>0</v>
      </c>
      <c r="D240" s="12">
        <f>IFERROR(C240/B240,0)</f>
        <v>0</v>
      </c>
      <c r="E240" s="12">
        <f>IFERROR(SUMPRODUCT(--((REPRODUTIVO!$AJ$2:$AJ$374)),--(((REPRODUTIVO!$J$2:$J$374&gt;=$B$5)*(REPRODUTIVO!$J$2:$J$374&lt;=$D$5)*(($F$5="(Todos)")+(REPRODUTIVO!$AK$2:$AK$374&amp;""=$F$5)&gt;0)*(($B$6="(Todos)")+(REPRODUTIVO!$AP$2:$AP$374=$B$6)&gt;0)*(($D$6="(Todos)")+(REPRODUTIVO!$B$2:$B$374=$D$6)&gt;0)*(($F$6="(Todos)")+(REPRODUTIVO!$K$2:$K$374=$F$6)&gt;0)*(($B$7="(Todos)")+(REPRODUTIVO!$L$2:$L$374=$B$7)&gt;0)*(($D$7="(Todos)")+(REPRODUTIVO!$N$2:$N$374=$D$7)&gt;0)*(($F$7="(Todos)")+(REPRODUTIVO!$O$2:$O$374=$F$7)&gt;0)*(REPRODUTIVO!$AM$2:$AM$374&gt;=$B$8)*(REPRODUTIVO!$AM$2:$AM$374&lt;=$D$8))),--((REPRODUTIVO!$I$2:$I$374=$A240)))/C240,0)</f>
        <v>0</v>
      </c>
    </row>
    <row r="257" spans="1:1" ht="15" customHeight="1" x14ac:dyDescent="0.3">
      <c r="A257" s="13" t="s">
        <v>250</v>
      </c>
    </row>
  </sheetData>
  <mergeCells count="29">
    <mergeCell ref="A1:N1"/>
    <mergeCell ref="A2:N2"/>
    <mergeCell ref="A4:G4"/>
    <mergeCell ref="A10:N10"/>
    <mergeCell ref="A11:B11"/>
    <mergeCell ref="C11:D11"/>
    <mergeCell ref="E11:F11"/>
    <mergeCell ref="G11:H11"/>
    <mergeCell ref="I11:J11"/>
    <mergeCell ref="K11:L11"/>
    <mergeCell ref="M11:N11"/>
    <mergeCell ref="K12:L13"/>
    <mergeCell ref="M12:N13"/>
    <mergeCell ref="A15:F15"/>
    <mergeCell ref="A62:F62"/>
    <mergeCell ref="A81:F81"/>
    <mergeCell ref="A12:B13"/>
    <mergeCell ref="C12:D13"/>
    <mergeCell ref="E12:F13"/>
    <mergeCell ref="G12:H13"/>
    <mergeCell ref="I12:J13"/>
    <mergeCell ref="A195:F195"/>
    <mergeCell ref="A214:F214"/>
    <mergeCell ref="A238:F238"/>
    <mergeCell ref="A100:F100"/>
    <mergeCell ref="A119:F119"/>
    <mergeCell ref="A138:F138"/>
    <mergeCell ref="A157:F157"/>
    <mergeCell ref="A176:F176"/>
  </mergeCells>
  <dataValidations count="7">
    <dataValidation type="list" allowBlank="1" sqref="F5" xr:uid="{00000000-0002-0000-0300-000000000000}">
      <formula1>$AR$1:$AR$6</formula1>
      <formula2>0</formula2>
    </dataValidation>
    <dataValidation type="list" allowBlank="1" sqref="B6" xr:uid="{00000000-0002-0000-0300-000001000000}">
      <formula1>$AS$1:$AS$3</formula1>
      <formula2>0</formula2>
    </dataValidation>
    <dataValidation type="list" allowBlank="1" sqref="D6" xr:uid="{00000000-0002-0000-0300-000002000000}">
      <formula1>$AT$1:$AT$5</formula1>
      <formula2>0</formula2>
    </dataValidation>
    <dataValidation type="list" allowBlank="1" sqref="F6" xr:uid="{00000000-0002-0000-0300-000003000000}">
      <formula1>$AU$1:$AU$3</formula1>
      <formula2>0</formula2>
    </dataValidation>
    <dataValidation type="list" allowBlank="1" sqref="B7" xr:uid="{00000000-0002-0000-0300-000004000000}">
      <formula1>$AV$1:$AV$3</formula1>
      <formula2>0</formula2>
    </dataValidation>
    <dataValidation type="list" allowBlank="1" sqref="D7" xr:uid="{00000000-0002-0000-0300-000005000000}">
      <formula1>$AW$1:$AW$4</formula1>
      <formula2>0</formula2>
    </dataValidation>
    <dataValidation type="list" allowBlank="1" sqref="F7" xr:uid="{00000000-0002-0000-0300-000006000000}">
      <formula1>$AX$1:$AX$16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A21C5A"/>
  </sheetPr>
  <dimension ref="A1:N86"/>
  <sheetViews>
    <sheetView showGridLines="0" zoomScaleNormal="100" workbookViewId="0">
      <selection activeCell="C86" sqref="C86"/>
    </sheetView>
  </sheetViews>
  <sheetFormatPr defaultColWidth="8.6640625" defaultRowHeight="14.4" x14ac:dyDescent="0.3"/>
  <cols>
    <col min="1" max="14" width="16" customWidth="1"/>
  </cols>
  <sheetData>
    <row r="1" spans="1:14" ht="39.75" customHeight="1" x14ac:dyDescent="0.3">
      <c r="A1" s="122" t="s">
        <v>251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</row>
    <row r="2" spans="1:14" ht="15" customHeight="1" x14ac:dyDescent="0.3">
      <c r="A2" s="123" t="s">
        <v>252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</row>
    <row r="4" spans="1:14" ht="18.75" customHeight="1" x14ac:dyDescent="0.3">
      <c r="A4" s="124" t="s">
        <v>253</v>
      </c>
      <c r="B4" s="124"/>
      <c r="C4" s="124"/>
      <c r="D4" s="124"/>
    </row>
    <row r="5" spans="1:14" ht="15.75" customHeight="1" x14ac:dyDescent="0.3">
      <c r="A5" s="1" t="s">
        <v>53</v>
      </c>
      <c r="B5" s="3" t="s">
        <v>54</v>
      </c>
      <c r="D5" s="159" t="s">
        <v>254</v>
      </c>
      <c r="E5" s="159"/>
      <c r="F5" s="159"/>
      <c r="G5" s="41">
        <f>IFERROR(SUMPRODUCT(--((REPRODUTIVO!$AP$2:$AP$374="Novilha")*(REPRODUTIVO!$R$2:$R$374=1)*(REPRODUTIVO!$AQ$2:$AQ$374)))/SUMPRODUCT(--((REPRODUTIVO!$AP$2:$AP$374="Novilha")*(REPRODUTIVO!$R$2:$R$374=1)*(--(REPRODUTIVO!$AQ$2:$AQ$374&lt;&gt;"")))),0)</f>
        <v>27.210084033613452</v>
      </c>
    </row>
    <row r="7" spans="1:14" ht="18.75" customHeight="1" x14ac:dyDescent="0.3">
      <c r="A7" s="121" t="s">
        <v>255</v>
      </c>
      <c r="B7" s="121"/>
      <c r="C7" s="121"/>
      <c r="D7" s="121"/>
      <c r="E7" s="121"/>
      <c r="F7" s="121"/>
      <c r="G7" s="121"/>
      <c r="H7" s="121"/>
      <c r="I7" s="121"/>
      <c r="J7" s="121"/>
    </row>
    <row r="8" spans="1:14" ht="15" customHeight="1" x14ac:dyDescent="0.3">
      <c r="A8" s="7" t="s">
        <v>256</v>
      </c>
      <c r="B8" s="7" t="s">
        <v>257</v>
      </c>
      <c r="C8" s="7" t="s">
        <v>184</v>
      </c>
      <c r="D8" s="7" t="s">
        <v>185</v>
      </c>
      <c r="E8" s="7" t="s">
        <v>258</v>
      </c>
      <c r="F8" s="7" t="s">
        <v>259</v>
      </c>
      <c r="G8" s="7" t="s">
        <v>260</v>
      </c>
      <c r="H8" s="7" t="s">
        <v>261</v>
      </c>
    </row>
    <row r="9" spans="1:14" ht="15" customHeight="1" x14ac:dyDescent="0.3">
      <c r="A9" s="8" t="s">
        <v>188</v>
      </c>
      <c r="B9" s="10">
        <f>SUMPRODUCT(--((REPRODUTIVO!$AL$2:$AL$374=$A9)*1),--((($B$5="(Todos)")+(REPRODUTIVO!$AP$2:$AP$374=$B$5)&gt;0)*1))</f>
        <v>5</v>
      </c>
      <c r="C9" s="12">
        <f>IFERROR(SUMPRODUCT(--((REPRODUTIVO!$AH$2:$AH$374)),--((REPRODUTIVO!$AL$2:$AL$374=$A9)),--((($B$5="(Todos)")+(REPRODUTIVO!$AP$2:$AP$374=$B$5)&gt;0)))/SUMPRODUCT(--((REPRODUTIVO!$AI$2:$AI$374)),--((REPRODUTIVO!$AL$2:$AL$374=$A9)),--((($B$5="(Todos)")+(REPRODUTIVO!$AP$2:$AP$374=$B$5)&gt;0))),0)</f>
        <v>1</v>
      </c>
      <c r="D9" s="12">
        <f>IFERROR(SUMPRODUCT(--((REPRODUTIVO!$AJ$2:$AJ$374)),--((REPRODUTIVO!$AL$2:$AL$374=$A9)),--((($B$5="(Todos)")+(REPRODUTIVO!$AP$2:$AP$374=$B$5)&gt;0)))/SUMPRODUCT(--((REPRODUTIVO!$AH$2:$AH$374)),--((REPRODUTIVO!$AL$2:$AL$374=$A9)),--((($B$5="(Todos)")+(REPRODUTIVO!$AP$2:$AP$374=$B$5)&gt;0))),0)</f>
        <v>0</v>
      </c>
      <c r="E9" s="12">
        <f>IFERROR(SUMPRODUCT(--((REPRODUTIVO!$K$2:$K$374="Cobertura")*1),--((REPRODUTIVO!$AL$2:$AL$374=$A9)),--((($B$5="(Todos)")+(REPRODUTIVO!$AP$2:$AP$374=$B$5)&gt;0)))/SUMPRODUCT(--((REPRODUTIVO!$AL$2:$AL$374=$A9)*1),--((($B$5="(Todos)")+(REPRODUTIVO!$AP$2:$AP$374=$B$5)&gt;0)*1)),0)</f>
        <v>1</v>
      </c>
      <c r="F9" s="12">
        <f>IFERROR(SUMPRODUCT(--((REPRODUTIVO!$K$2:$K$374="Inseminação Artificial")*1),--((REPRODUTIVO!$AL$2:$AL$374=$A9)),--((($B$5="(Todos)")+(REPRODUTIVO!$AP$2:$AP$374=$B$5)&gt;0)))/SUMPRODUCT(--((REPRODUTIVO!$AL$2:$AL$374=$A9)*1),--((($B$5="(Todos)")+(REPRODUTIVO!$AP$2:$AP$374=$B$5)&gt;0)*1)),0)</f>
        <v>0</v>
      </c>
      <c r="G9" s="12">
        <f>IFERROR(SUMPRODUCT(--((REPRODUTIVO!$L$2:$L$374="CIO NATURAL")*1),--((REPRODUTIVO!$AL$2:$AL$374=$A9)),--((($B$5="(Todos)")+(REPRODUTIVO!$AP$2:$AP$374=$B$5)&gt;0)))/SUMPRODUCT(--((REPRODUTIVO!$AL$2:$AL$374=$A9)*1),--((($B$5="(Todos)")+(REPRODUTIVO!$AP$2:$AP$374=$B$5)&gt;0)*1)),0)</f>
        <v>1</v>
      </c>
      <c r="H9" s="12">
        <f>IFERROR(SUMPRODUCT(--((REPRODUTIVO!$L$2:$L$374="PROTOCOLO IATF")*1),--((REPRODUTIVO!$AL$2:$AL$374=$A9)),--((($B$5="(Todos)")+(REPRODUTIVO!$AP$2:$AP$374=$B$5)&gt;0)))/SUMPRODUCT(--((REPRODUTIVO!$AL$2:$AL$374=$A9)*1),--((($B$5="(Todos)")+(REPRODUTIVO!$AP$2:$AP$374=$B$5)&gt;0)*1)),0)</f>
        <v>0</v>
      </c>
    </row>
    <row r="10" spans="1:14" ht="15" customHeight="1" x14ac:dyDescent="0.3">
      <c r="A10" s="8" t="s">
        <v>190</v>
      </c>
      <c r="B10" s="10">
        <f>SUMPRODUCT(--((REPRODUTIVO!$AL$2:$AL$374=$A10)*1),--((($B$5="(Todos)")+(REPRODUTIVO!$AP$2:$AP$374=$B$5)&gt;0)*1))</f>
        <v>2</v>
      </c>
      <c r="C10" s="12">
        <f>IFERROR(SUMPRODUCT(--((REPRODUTIVO!$AH$2:$AH$374)),--((REPRODUTIVO!$AL$2:$AL$374=$A10)),--((($B$5="(Todos)")+(REPRODUTIVO!$AP$2:$AP$374=$B$5)&gt;0)))/SUMPRODUCT(--((REPRODUTIVO!$AI$2:$AI$374)),--((REPRODUTIVO!$AL$2:$AL$374=$A10)),--((($B$5="(Todos)")+(REPRODUTIVO!$AP$2:$AP$374=$B$5)&gt;0))),0)</f>
        <v>1</v>
      </c>
      <c r="D10" s="12">
        <f>IFERROR(SUMPRODUCT(--((REPRODUTIVO!$AJ$2:$AJ$374)),--((REPRODUTIVO!$AL$2:$AL$374=$A10)),--((($B$5="(Todos)")+(REPRODUTIVO!$AP$2:$AP$374=$B$5)&gt;0)))/SUMPRODUCT(--((REPRODUTIVO!$AH$2:$AH$374)),--((REPRODUTIVO!$AL$2:$AL$374=$A10)),--((($B$5="(Todos)")+(REPRODUTIVO!$AP$2:$AP$374=$B$5)&gt;0))),0)</f>
        <v>0</v>
      </c>
      <c r="E10" s="12">
        <f>IFERROR(SUMPRODUCT(--((REPRODUTIVO!$K$2:$K$374="Cobertura")*1),--((REPRODUTIVO!$AL$2:$AL$374=$A10)),--((($B$5="(Todos)")+(REPRODUTIVO!$AP$2:$AP$374=$B$5)&gt;0)))/SUMPRODUCT(--((REPRODUTIVO!$AL$2:$AL$374=$A10)*1),--((($B$5="(Todos)")+(REPRODUTIVO!$AP$2:$AP$374=$B$5)&gt;0)*1)),0)</f>
        <v>1</v>
      </c>
      <c r="F10" s="12">
        <f>IFERROR(SUMPRODUCT(--((REPRODUTIVO!$K$2:$K$374="Inseminação Artificial")*1),--((REPRODUTIVO!$AL$2:$AL$374=$A10)),--((($B$5="(Todos)")+(REPRODUTIVO!$AP$2:$AP$374=$B$5)&gt;0)))/SUMPRODUCT(--((REPRODUTIVO!$AL$2:$AL$374=$A10)*1),--((($B$5="(Todos)")+(REPRODUTIVO!$AP$2:$AP$374=$B$5)&gt;0)*1)),0)</f>
        <v>0</v>
      </c>
      <c r="G10" s="12">
        <f>IFERROR(SUMPRODUCT(--((REPRODUTIVO!$L$2:$L$374="CIO NATURAL")*1),--((REPRODUTIVO!$AL$2:$AL$374=$A10)),--((($B$5="(Todos)")+(REPRODUTIVO!$AP$2:$AP$374=$B$5)&gt;0)))/SUMPRODUCT(--((REPRODUTIVO!$AL$2:$AL$374=$A10)*1),--((($B$5="(Todos)")+(REPRODUTIVO!$AP$2:$AP$374=$B$5)&gt;0)*1)),0)</f>
        <v>1</v>
      </c>
      <c r="H10" s="12">
        <f>IFERROR(SUMPRODUCT(--((REPRODUTIVO!$L$2:$L$374="PROTOCOLO IATF")*1),--((REPRODUTIVO!$AL$2:$AL$374=$A10)),--((($B$5="(Todos)")+(REPRODUTIVO!$AP$2:$AP$374=$B$5)&gt;0)))/SUMPRODUCT(--((REPRODUTIVO!$AL$2:$AL$374=$A10)*1),--((($B$5="(Todos)")+(REPRODUTIVO!$AP$2:$AP$374=$B$5)&gt;0)*1)),0)</f>
        <v>0</v>
      </c>
    </row>
    <row r="11" spans="1:14" ht="15" customHeight="1" x14ac:dyDescent="0.3">
      <c r="A11" s="8" t="s">
        <v>192</v>
      </c>
      <c r="B11" s="10">
        <f>SUMPRODUCT(--((REPRODUTIVO!$AL$2:$AL$374=$A11)*1),--((($B$5="(Todos)")+(REPRODUTIVO!$AP$2:$AP$374=$B$5)&gt;0)*1))</f>
        <v>3</v>
      </c>
      <c r="C11" s="12">
        <f>IFERROR(SUMPRODUCT(--((REPRODUTIVO!$AH$2:$AH$374)),--((REPRODUTIVO!$AL$2:$AL$374=$A11)),--((($B$5="(Todos)")+(REPRODUTIVO!$AP$2:$AP$374=$B$5)&gt;0)))/SUMPRODUCT(--((REPRODUTIVO!$AI$2:$AI$374)),--((REPRODUTIVO!$AL$2:$AL$374=$A11)),--((($B$5="(Todos)")+(REPRODUTIVO!$AP$2:$AP$374=$B$5)&gt;0))),0)</f>
        <v>1</v>
      </c>
      <c r="D11" s="12">
        <f>IFERROR(SUMPRODUCT(--((REPRODUTIVO!$AJ$2:$AJ$374)),--((REPRODUTIVO!$AL$2:$AL$374=$A11)),--((($B$5="(Todos)")+(REPRODUTIVO!$AP$2:$AP$374=$B$5)&gt;0)))/SUMPRODUCT(--((REPRODUTIVO!$AH$2:$AH$374)),--((REPRODUTIVO!$AL$2:$AL$374=$A11)),--((($B$5="(Todos)")+(REPRODUTIVO!$AP$2:$AP$374=$B$5)&gt;0))),0)</f>
        <v>0</v>
      </c>
      <c r="E11" s="12">
        <f>IFERROR(SUMPRODUCT(--((REPRODUTIVO!$K$2:$K$374="Cobertura")*1),--((REPRODUTIVO!$AL$2:$AL$374=$A11)),--((($B$5="(Todos)")+(REPRODUTIVO!$AP$2:$AP$374=$B$5)&gt;0)))/SUMPRODUCT(--((REPRODUTIVO!$AL$2:$AL$374=$A11)*1),--((($B$5="(Todos)")+(REPRODUTIVO!$AP$2:$AP$374=$B$5)&gt;0)*1)),0)</f>
        <v>1</v>
      </c>
      <c r="F11" s="12">
        <f>IFERROR(SUMPRODUCT(--((REPRODUTIVO!$K$2:$K$374="Inseminação Artificial")*1),--((REPRODUTIVO!$AL$2:$AL$374=$A11)),--((($B$5="(Todos)")+(REPRODUTIVO!$AP$2:$AP$374=$B$5)&gt;0)))/SUMPRODUCT(--((REPRODUTIVO!$AL$2:$AL$374=$A11)*1),--((($B$5="(Todos)")+(REPRODUTIVO!$AP$2:$AP$374=$B$5)&gt;0)*1)),0)</f>
        <v>0</v>
      </c>
      <c r="G11" s="12">
        <f>IFERROR(SUMPRODUCT(--((REPRODUTIVO!$L$2:$L$374="CIO NATURAL")*1),--((REPRODUTIVO!$AL$2:$AL$374=$A11)),--((($B$5="(Todos)")+(REPRODUTIVO!$AP$2:$AP$374=$B$5)&gt;0)))/SUMPRODUCT(--((REPRODUTIVO!$AL$2:$AL$374=$A11)*1),--((($B$5="(Todos)")+(REPRODUTIVO!$AP$2:$AP$374=$B$5)&gt;0)*1)),0)</f>
        <v>1</v>
      </c>
      <c r="H11" s="12">
        <f>IFERROR(SUMPRODUCT(--((REPRODUTIVO!$L$2:$L$374="PROTOCOLO IATF")*1),--((REPRODUTIVO!$AL$2:$AL$374=$A11)),--((($B$5="(Todos)")+(REPRODUTIVO!$AP$2:$AP$374=$B$5)&gt;0)))/SUMPRODUCT(--((REPRODUTIVO!$AL$2:$AL$374=$A11)*1),--((($B$5="(Todos)")+(REPRODUTIVO!$AP$2:$AP$374=$B$5)&gt;0)*1)),0)</f>
        <v>0</v>
      </c>
    </row>
    <row r="12" spans="1:14" ht="15" customHeight="1" x14ac:dyDescent="0.3">
      <c r="A12" s="8" t="s">
        <v>194</v>
      </c>
      <c r="B12" s="10">
        <f>SUMPRODUCT(--((REPRODUTIVO!$AL$2:$AL$374=$A12)*1),--((($B$5="(Todos)")+(REPRODUTIVO!$AP$2:$AP$374=$B$5)&gt;0)*1))</f>
        <v>1</v>
      </c>
      <c r="C12" s="12">
        <f>IFERROR(SUMPRODUCT(--((REPRODUTIVO!$AH$2:$AH$374)),--((REPRODUTIVO!$AL$2:$AL$374=$A12)),--((($B$5="(Todos)")+(REPRODUTIVO!$AP$2:$AP$374=$B$5)&gt;0)))/SUMPRODUCT(--((REPRODUTIVO!$AI$2:$AI$374)),--((REPRODUTIVO!$AL$2:$AL$374=$A12)),--((($B$5="(Todos)")+(REPRODUTIVO!$AP$2:$AP$374=$B$5)&gt;0))),0)</f>
        <v>1</v>
      </c>
      <c r="D12" s="12">
        <f>IFERROR(SUMPRODUCT(--((REPRODUTIVO!$AJ$2:$AJ$374)),--((REPRODUTIVO!$AL$2:$AL$374=$A12)),--((($B$5="(Todos)")+(REPRODUTIVO!$AP$2:$AP$374=$B$5)&gt;0)))/SUMPRODUCT(--((REPRODUTIVO!$AH$2:$AH$374)),--((REPRODUTIVO!$AL$2:$AL$374=$A12)),--((($B$5="(Todos)")+(REPRODUTIVO!$AP$2:$AP$374=$B$5)&gt;0))),0)</f>
        <v>0</v>
      </c>
      <c r="E12" s="12">
        <f>IFERROR(SUMPRODUCT(--((REPRODUTIVO!$K$2:$K$374="Cobertura")*1),--((REPRODUTIVO!$AL$2:$AL$374=$A12)),--((($B$5="(Todos)")+(REPRODUTIVO!$AP$2:$AP$374=$B$5)&gt;0)))/SUMPRODUCT(--((REPRODUTIVO!$AL$2:$AL$374=$A12)*1),--((($B$5="(Todos)")+(REPRODUTIVO!$AP$2:$AP$374=$B$5)&gt;0)*1)),0)</f>
        <v>1</v>
      </c>
      <c r="F12" s="12">
        <f>IFERROR(SUMPRODUCT(--((REPRODUTIVO!$K$2:$K$374="Inseminação Artificial")*1),--((REPRODUTIVO!$AL$2:$AL$374=$A12)),--((($B$5="(Todos)")+(REPRODUTIVO!$AP$2:$AP$374=$B$5)&gt;0)))/SUMPRODUCT(--((REPRODUTIVO!$AL$2:$AL$374=$A12)*1),--((($B$5="(Todos)")+(REPRODUTIVO!$AP$2:$AP$374=$B$5)&gt;0)*1)),0)</f>
        <v>0</v>
      </c>
      <c r="G12" s="12">
        <f>IFERROR(SUMPRODUCT(--((REPRODUTIVO!$L$2:$L$374="CIO NATURAL")*1),--((REPRODUTIVO!$AL$2:$AL$374=$A12)),--((($B$5="(Todos)")+(REPRODUTIVO!$AP$2:$AP$374=$B$5)&gt;0)))/SUMPRODUCT(--((REPRODUTIVO!$AL$2:$AL$374=$A12)*1),--((($B$5="(Todos)")+(REPRODUTIVO!$AP$2:$AP$374=$B$5)&gt;0)*1)),0)</f>
        <v>1</v>
      </c>
      <c r="H12" s="12">
        <f>IFERROR(SUMPRODUCT(--((REPRODUTIVO!$L$2:$L$374="PROTOCOLO IATF")*1),--((REPRODUTIVO!$AL$2:$AL$374=$A12)),--((($B$5="(Todos)")+(REPRODUTIVO!$AP$2:$AP$374=$B$5)&gt;0)))/SUMPRODUCT(--((REPRODUTIVO!$AL$2:$AL$374=$A12)*1),--((($B$5="(Todos)")+(REPRODUTIVO!$AP$2:$AP$374=$B$5)&gt;0)*1)),0)</f>
        <v>0</v>
      </c>
    </row>
    <row r="13" spans="1:14" ht="15" customHeight="1" x14ac:dyDescent="0.3">
      <c r="A13" s="8" t="s">
        <v>196</v>
      </c>
      <c r="B13" s="10">
        <f>SUMPRODUCT(--((REPRODUTIVO!$AL$2:$AL$374=$A13)*1),--((($B$5="(Todos)")+(REPRODUTIVO!$AP$2:$AP$374=$B$5)&gt;0)*1))</f>
        <v>3</v>
      </c>
      <c r="C13" s="12">
        <f>IFERROR(SUMPRODUCT(--((REPRODUTIVO!$AH$2:$AH$374)),--((REPRODUTIVO!$AL$2:$AL$374=$A13)),--((($B$5="(Todos)")+(REPRODUTIVO!$AP$2:$AP$374=$B$5)&gt;0)))/SUMPRODUCT(--((REPRODUTIVO!$AI$2:$AI$374)),--((REPRODUTIVO!$AL$2:$AL$374=$A13)),--((($B$5="(Todos)")+(REPRODUTIVO!$AP$2:$AP$374=$B$5)&gt;0))),0)</f>
        <v>1</v>
      </c>
      <c r="D13" s="12">
        <f>IFERROR(SUMPRODUCT(--((REPRODUTIVO!$AJ$2:$AJ$374)),--((REPRODUTIVO!$AL$2:$AL$374=$A13)),--((($B$5="(Todos)")+(REPRODUTIVO!$AP$2:$AP$374=$B$5)&gt;0)))/SUMPRODUCT(--((REPRODUTIVO!$AH$2:$AH$374)),--((REPRODUTIVO!$AL$2:$AL$374=$A13)),--((($B$5="(Todos)")+(REPRODUTIVO!$AP$2:$AP$374=$B$5)&gt;0))),0)</f>
        <v>0</v>
      </c>
      <c r="E13" s="12">
        <f>IFERROR(SUMPRODUCT(--((REPRODUTIVO!$K$2:$K$374="Cobertura")*1),--((REPRODUTIVO!$AL$2:$AL$374=$A13)),--((($B$5="(Todos)")+(REPRODUTIVO!$AP$2:$AP$374=$B$5)&gt;0)))/SUMPRODUCT(--((REPRODUTIVO!$AL$2:$AL$374=$A13)*1),--((($B$5="(Todos)")+(REPRODUTIVO!$AP$2:$AP$374=$B$5)&gt;0)*1)),0)</f>
        <v>1</v>
      </c>
      <c r="F13" s="12">
        <f>IFERROR(SUMPRODUCT(--((REPRODUTIVO!$K$2:$K$374="Inseminação Artificial")*1),--((REPRODUTIVO!$AL$2:$AL$374=$A13)),--((($B$5="(Todos)")+(REPRODUTIVO!$AP$2:$AP$374=$B$5)&gt;0)))/SUMPRODUCT(--((REPRODUTIVO!$AL$2:$AL$374=$A13)*1),--((($B$5="(Todos)")+(REPRODUTIVO!$AP$2:$AP$374=$B$5)&gt;0)*1)),0)</f>
        <v>0</v>
      </c>
      <c r="G13" s="12">
        <f>IFERROR(SUMPRODUCT(--((REPRODUTIVO!$L$2:$L$374="CIO NATURAL")*1),--((REPRODUTIVO!$AL$2:$AL$374=$A13)),--((($B$5="(Todos)")+(REPRODUTIVO!$AP$2:$AP$374=$B$5)&gt;0)))/SUMPRODUCT(--((REPRODUTIVO!$AL$2:$AL$374=$A13)*1),--((($B$5="(Todos)")+(REPRODUTIVO!$AP$2:$AP$374=$B$5)&gt;0)*1)),0)</f>
        <v>1</v>
      </c>
      <c r="H13" s="12">
        <f>IFERROR(SUMPRODUCT(--((REPRODUTIVO!$L$2:$L$374="PROTOCOLO IATF")*1),--((REPRODUTIVO!$AL$2:$AL$374=$A13)),--((($B$5="(Todos)")+(REPRODUTIVO!$AP$2:$AP$374=$B$5)&gt;0)))/SUMPRODUCT(--((REPRODUTIVO!$AL$2:$AL$374=$A13)*1),--((($B$5="(Todos)")+(REPRODUTIVO!$AP$2:$AP$374=$B$5)&gt;0)*1)),0)</f>
        <v>0</v>
      </c>
    </row>
    <row r="14" spans="1:14" ht="15" customHeight="1" x14ac:dyDescent="0.3">
      <c r="A14" s="8" t="s">
        <v>198</v>
      </c>
      <c r="B14" s="10">
        <f>SUMPRODUCT(--((REPRODUTIVO!$AL$2:$AL$374=$A14)*1),--((($B$5="(Todos)")+(REPRODUTIVO!$AP$2:$AP$374=$B$5)&gt;0)*1))</f>
        <v>3</v>
      </c>
      <c r="C14" s="12">
        <f>IFERROR(SUMPRODUCT(--((REPRODUTIVO!$AH$2:$AH$374)),--((REPRODUTIVO!$AL$2:$AL$374=$A14)),--((($B$5="(Todos)")+(REPRODUTIVO!$AP$2:$AP$374=$B$5)&gt;0)))/SUMPRODUCT(--((REPRODUTIVO!$AI$2:$AI$374)),--((REPRODUTIVO!$AL$2:$AL$374=$A14)),--((($B$5="(Todos)")+(REPRODUTIVO!$AP$2:$AP$374=$B$5)&gt;0))),0)</f>
        <v>1</v>
      </c>
      <c r="D14" s="12">
        <f>IFERROR(SUMPRODUCT(--((REPRODUTIVO!$AJ$2:$AJ$374)),--((REPRODUTIVO!$AL$2:$AL$374=$A14)),--((($B$5="(Todos)")+(REPRODUTIVO!$AP$2:$AP$374=$B$5)&gt;0)))/SUMPRODUCT(--((REPRODUTIVO!$AH$2:$AH$374)),--((REPRODUTIVO!$AL$2:$AL$374=$A14)),--((($B$5="(Todos)")+(REPRODUTIVO!$AP$2:$AP$374=$B$5)&gt;0))),0)</f>
        <v>0</v>
      </c>
      <c r="E14" s="12">
        <f>IFERROR(SUMPRODUCT(--((REPRODUTIVO!$K$2:$K$374="Cobertura")*1),--((REPRODUTIVO!$AL$2:$AL$374=$A14)),--((($B$5="(Todos)")+(REPRODUTIVO!$AP$2:$AP$374=$B$5)&gt;0)))/SUMPRODUCT(--((REPRODUTIVO!$AL$2:$AL$374=$A14)*1),--((($B$5="(Todos)")+(REPRODUTIVO!$AP$2:$AP$374=$B$5)&gt;0)*1)),0)</f>
        <v>1</v>
      </c>
      <c r="F14" s="12">
        <f>IFERROR(SUMPRODUCT(--((REPRODUTIVO!$K$2:$K$374="Inseminação Artificial")*1),--((REPRODUTIVO!$AL$2:$AL$374=$A14)),--((($B$5="(Todos)")+(REPRODUTIVO!$AP$2:$AP$374=$B$5)&gt;0)))/SUMPRODUCT(--((REPRODUTIVO!$AL$2:$AL$374=$A14)*1),--((($B$5="(Todos)")+(REPRODUTIVO!$AP$2:$AP$374=$B$5)&gt;0)*1)),0)</f>
        <v>0</v>
      </c>
      <c r="G14" s="12">
        <f>IFERROR(SUMPRODUCT(--((REPRODUTIVO!$L$2:$L$374="CIO NATURAL")*1),--((REPRODUTIVO!$AL$2:$AL$374=$A14)),--((($B$5="(Todos)")+(REPRODUTIVO!$AP$2:$AP$374=$B$5)&gt;0)))/SUMPRODUCT(--((REPRODUTIVO!$AL$2:$AL$374=$A14)*1),--((($B$5="(Todos)")+(REPRODUTIVO!$AP$2:$AP$374=$B$5)&gt;0)*1)),0)</f>
        <v>1</v>
      </c>
      <c r="H14" s="12">
        <f>IFERROR(SUMPRODUCT(--((REPRODUTIVO!$L$2:$L$374="PROTOCOLO IATF")*1),--((REPRODUTIVO!$AL$2:$AL$374=$A14)),--((($B$5="(Todos)")+(REPRODUTIVO!$AP$2:$AP$374=$B$5)&gt;0)))/SUMPRODUCT(--((REPRODUTIVO!$AL$2:$AL$374=$A14)*1),--((($B$5="(Todos)")+(REPRODUTIVO!$AP$2:$AP$374=$B$5)&gt;0)*1)),0)</f>
        <v>0</v>
      </c>
    </row>
    <row r="15" spans="1:14" ht="15" customHeight="1" x14ac:dyDescent="0.3">
      <c r="A15" s="8" t="s">
        <v>200</v>
      </c>
      <c r="B15" s="10">
        <f>SUMPRODUCT(--((REPRODUTIVO!$AL$2:$AL$374=$A15)*1),--((($B$5="(Todos)")+(REPRODUTIVO!$AP$2:$AP$374=$B$5)&gt;0)*1))</f>
        <v>7</v>
      </c>
      <c r="C15" s="12">
        <f>IFERROR(SUMPRODUCT(--((REPRODUTIVO!$AH$2:$AH$374)),--((REPRODUTIVO!$AL$2:$AL$374=$A15)),--((($B$5="(Todos)")+(REPRODUTIVO!$AP$2:$AP$374=$B$5)&gt;0)))/SUMPRODUCT(--((REPRODUTIVO!$AI$2:$AI$374)),--((REPRODUTIVO!$AL$2:$AL$374=$A15)),--((($B$5="(Todos)")+(REPRODUTIVO!$AP$2:$AP$374=$B$5)&gt;0))),0)</f>
        <v>0.4</v>
      </c>
      <c r="D15" s="12">
        <f>IFERROR(SUMPRODUCT(--((REPRODUTIVO!$AJ$2:$AJ$374)),--((REPRODUTIVO!$AL$2:$AL$374=$A15)),--((($B$5="(Todos)")+(REPRODUTIVO!$AP$2:$AP$374=$B$5)&gt;0)))/SUMPRODUCT(--((REPRODUTIVO!$AH$2:$AH$374)),--((REPRODUTIVO!$AL$2:$AL$374=$A15)),--((($B$5="(Todos)")+(REPRODUTIVO!$AP$2:$AP$374=$B$5)&gt;0))),0)</f>
        <v>0</v>
      </c>
      <c r="E15" s="12">
        <f>IFERROR(SUMPRODUCT(--((REPRODUTIVO!$K$2:$K$374="Cobertura")*1),--((REPRODUTIVO!$AL$2:$AL$374=$A15)),--((($B$5="(Todos)")+(REPRODUTIVO!$AP$2:$AP$374=$B$5)&gt;0)))/SUMPRODUCT(--((REPRODUTIVO!$AL$2:$AL$374=$A15)*1),--((($B$5="(Todos)")+(REPRODUTIVO!$AP$2:$AP$374=$B$5)&gt;0)*1)),0)</f>
        <v>0</v>
      </c>
      <c r="F15" s="12">
        <f>IFERROR(SUMPRODUCT(--((REPRODUTIVO!$K$2:$K$374="Inseminação Artificial")*1),--((REPRODUTIVO!$AL$2:$AL$374=$A15)),--((($B$5="(Todos)")+(REPRODUTIVO!$AP$2:$AP$374=$B$5)&gt;0)))/SUMPRODUCT(--((REPRODUTIVO!$AL$2:$AL$374=$A15)*1),--((($B$5="(Todos)")+(REPRODUTIVO!$AP$2:$AP$374=$B$5)&gt;0)*1)),0)</f>
        <v>1</v>
      </c>
      <c r="G15" s="12">
        <f>IFERROR(SUMPRODUCT(--((REPRODUTIVO!$L$2:$L$374="CIO NATURAL")*1),--((REPRODUTIVO!$AL$2:$AL$374=$A15)),--((($B$5="(Todos)")+(REPRODUTIVO!$AP$2:$AP$374=$B$5)&gt;0)))/SUMPRODUCT(--((REPRODUTIVO!$AL$2:$AL$374=$A15)*1),--((($B$5="(Todos)")+(REPRODUTIVO!$AP$2:$AP$374=$B$5)&gt;0)*1)),0)</f>
        <v>1</v>
      </c>
      <c r="H15" s="12">
        <f>IFERROR(SUMPRODUCT(--((REPRODUTIVO!$L$2:$L$374="PROTOCOLO IATF")*1),--((REPRODUTIVO!$AL$2:$AL$374=$A15)),--((($B$5="(Todos)")+(REPRODUTIVO!$AP$2:$AP$374=$B$5)&gt;0)))/SUMPRODUCT(--((REPRODUTIVO!$AL$2:$AL$374=$A15)*1),--((($B$5="(Todos)")+(REPRODUTIVO!$AP$2:$AP$374=$B$5)&gt;0)*1)),0)</f>
        <v>0</v>
      </c>
    </row>
    <row r="16" spans="1:14" ht="15" customHeight="1" x14ac:dyDescent="0.3">
      <c r="A16" s="8" t="s">
        <v>201</v>
      </c>
      <c r="B16" s="10">
        <f>SUMPRODUCT(--((REPRODUTIVO!$AL$2:$AL$374=$A16)*1),--((($B$5="(Todos)")+(REPRODUTIVO!$AP$2:$AP$374=$B$5)&gt;0)*1))</f>
        <v>2</v>
      </c>
      <c r="C16" s="12">
        <f>IFERROR(SUMPRODUCT(--((REPRODUTIVO!$AH$2:$AH$374)),--((REPRODUTIVO!$AL$2:$AL$374=$A16)),--((($B$5="(Todos)")+(REPRODUTIVO!$AP$2:$AP$374=$B$5)&gt;0)))/SUMPRODUCT(--((REPRODUTIVO!$AI$2:$AI$374)),--((REPRODUTIVO!$AL$2:$AL$374=$A16)),--((($B$5="(Todos)")+(REPRODUTIVO!$AP$2:$AP$374=$B$5)&gt;0))),0)</f>
        <v>0.5</v>
      </c>
      <c r="D16" s="12">
        <f>IFERROR(SUMPRODUCT(--((REPRODUTIVO!$AJ$2:$AJ$374)),--((REPRODUTIVO!$AL$2:$AL$374=$A16)),--((($B$5="(Todos)")+(REPRODUTIVO!$AP$2:$AP$374=$B$5)&gt;0)))/SUMPRODUCT(--((REPRODUTIVO!$AH$2:$AH$374)),--((REPRODUTIVO!$AL$2:$AL$374=$A16)),--((($B$5="(Todos)")+(REPRODUTIVO!$AP$2:$AP$374=$B$5)&gt;0))),0)</f>
        <v>0</v>
      </c>
      <c r="E16" s="12">
        <f>IFERROR(SUMPRODUCT(--((REPRODUTIVO!$K$2:$K$374="Cobertura")*1),--((REPRODUTIVO!$AL$2:$AL$374=$A16)),--((($B$5="(Todos)")+(REPRODUTIVO!$AP$2:$AP$374=$B$5)&gt;0)))/SUMPRODUCT(--((REPRODUTIVO!$AL$2:$AL$374=$A16)*1),--((($B$5="(Todos)")+(REPRODUTIVO!$AP$2:$AP$374=$B$5)&gt;0)*1)),0)</f>
        <v>0</v>
      </c>
      <c r="F16" s="12">
        <f>IFERROR(SUMPRODUCT(--((REPRODUTIVO!$K$2:$K$374="Inseminação Artificial")*1),--((REPRODUTIVO!$AL$2:$AL$374=$A16)),--((($B$5="(Todos)")+(REPRODUTIVO!$AP$2:$AP$374=$B$5)&gt;0)))/SUMPRODUCT(--((REPRODUTIVO!$AL$2:$AL$374=$A16)*1),--((($B$5="(Todos)")+(REPRODUTIVO!$AP$2:$AP$374=$B$5)&gt;0)*1)),0)</f>
        <v>1</v>
      </c>
      <c r="G16" s="12">
        <f>IFERROR(SUMPRODUCT(--((REPRODUTIVO!$L$2:$L$374="CIO NATURAL")*1),--((REPRODUTIVO!$AL$2:$AL$374=$A16)),--((($B$5="(Todos)")+(REPRODUTIVO!$AP$2:$AP$374=$B$5)&gt;0)))/SUMPRODUCT(--((REPRODUTIVO!$AL$2:$AL$374=$A16)*1),--((($B$5="(Todos)")+(REPRODUTIVO!$AP$2:$AP$374=$B$5)&gt;0)*1)),0)</f>
        <v>1</v>
      </c>
      <c r="H16" s="12">
        <f>IFERROR(SUMPRODUCT(--((REPRODUTIVO!$L$2:$L$374="PROTOCOLO IATF")*1),--((REPRODUTIVO!$AL$2:$AL$374=$A16)),--((($B$5="(Todos)")+(REPRODUTIVO!$AP$2:$AP$374=$B$5)&gt;0)))/SUMPRODUCT(--((REPRODUTIVO!$AL$2:$AL$374=$A16)*1),--((($B$5="(Todos)")+(REPRODUTIVO!$AP$2:$AP$374=$B$5)&gt;0)*1)),0)</f>
        <v>0</v>
      </c>
    </row>
    <row r="17" spans="1:8" ht="15" customHeight="1" x14ac:dyDescent="0.3">
      <c r="A17" s="8" t="s">
        <v>202</v>
      </c>
      <c r="B17" s="10">
        <f>SUMPRODUCT(--((REPRODUTIVO!$AL$2:$AL$374=$A17)*1),--((($B$5="(Todos)")+(REPRODUTIVO!$AP$2:$AP$374=$B$5)&gt;0)*1))</f>
        <v>2</v>
      </c>
      <c r="C17" s="12">
        <f>IFERROR(SUMPRODUCT(--((REPRODUTIVO!$AH$2:$AH$374)),--((REPRODUTIVO!$AL$2:$AL$374=$A17)),--((($B$5="(Todos)")+(REPRODUTIVO!$AP$2:$AP$374=$B$5)&gt;0)))/SUMPRODUCT(--((REPRODUTIVO!$AI$2:$AI$374)),--((REPRODUTIVO!$AL$2:$AL$374=$A17)),--((($B$5="(Todos)")+(REPRODUTIVO!$AP$2:$AP$374=$B$5)&gt;0))),0)</f>
        <v>0.5</v>
      </c>
      <c r="D17" s="12">
        <f>IFERROR(SUMPRODUCT(--((REPRODUTIVO!$AJ$2:$AJ$374)),--((REPRODUTIVO!$AL$2:$AL$374=$A17)),--((($B$5="(Todos)")+(REPRODUTIVO!$AP$2:$AP$374=$B$5)&gt;0)))/SUMPRODUCT(--((REPRODUTIVO!$AH$2:$AH$374)),--((REPRODUTIVO!$AL$2:$AL$374=$A17)),--((($B$5="(Todos)")+(REPRODUTIVO!$AP$2:$AP$374=$B$5)&gt;0))),0)</f>
        <v>0</v>
      </c>
      <c r="E17" s="12">
        <f>IFERROR(SUMPRODUCT(--((REPRODUTIVO!$K$2:$K$374="Cobertura")*1),--((REPRODUTIVO!$AL$2:$AL$374=$A17)),--((($B$5="(Todos)")+(REPRODUTIVO!$AP$2:$AP$374=$B$5)&gt;0)))/SUMPRODUCT(--((REPRODUTIVO!$AL$2:$AL$374=$A17)*1),--((($B$5="(Todos)")+(REPRODUTIVO!$AP$2:$AP$374=$B$5)&gt;0)*1)),0)</f>
        <v>0</v>
      </c>
      <c r="F17" s="12">
        <f>IFERROR(SUMPRODUCT(--((REPRODUTIVO!$K$2:$K$374="Inseminação Artificial")*1),--((REPRODUTIVO!$AL$2:$AL$374=$A17)),--((($B$5="(Todos)")+(REPRODUTIVO!$AP$2:$AP$374=$B$5)&gt;0)))/SUMPRODUCT(--((REPRODUTIVO!$AL$2:$AL$374=$A17)*1),--((($B$5="(Todos)")+(REPRODUTIVO!$AP$2:$AP$374=$B$5)&gt;0)*1)),0)</f>
        <v>1</v>
      </c>
      <c r="G17" s="12">
        <f>IFERROR(SUMPRODUCT(--((REPRODUTIVO!$L$2:$L$374="CIO NATURAL")*1),--((REPRODUTIVO!$AL$2:$AL$374=$A17)),--((($B$5="(Todos)")+(REPRODUTIVO!$AP$2:$AP$374=$B$5)&gt;0)))/SUMPRODUCT(--((REPRODUTIVO!$AL$2:$AL$374=$A17)*1),--((($B$5="(Todos)")+(REPRODUTIVO!$AP$2:$AP$374=$B$5)&gt;0)*1)),0)</f>
        <v>1</v>
      </c>
      <c r="H17" s="12">
        <f>IFERROR(SUMPRODUCT(--((REPRODUTIVO!$L$2:$L$374="PROTOCOLO IATF")*1),--((REPRODUTIVO!$AL$2:$AL$374=$A17)),--((($B$5="(Todos)")+(REPRODUTIVO!$AP$2:$AP$374=$B$5)&gt;0)))/SUMPRODUCT(--((REPRODUTIVO!$AL$2:$AL$374=$A17)*1),--((($B$5="(Todos)")+(REPRODUTIVO!$AP$2:$AP$374=$B$5)&gt;0)*1)),0)</f>
        <v>0</v>
      </c>
    </row>
    <row r="18" spans="1:8" ht="15" customHeight="1" x14ac:dyDescent="0.3">
      <c r="A18" s="8" t="s">
        <v>203</v>
      </c>
      <c r="B18" s="10">
        <f>SUMPRODUCT(--((REPRODUTIVO!$AL$2:$AL$374=$A18)*1),--((($B$5="(Todos)")+(REPRODUTIVO!$AP$2:$AP$374=$B$5)&gt;0)*1))</f>
        <v>4</v>
      </c>
      <c r="C18" s="12">
        <f>IFERROR(SUMPRODUCT(--((REPRODUTIVO!$AH$2:$AH$374)),--((REPRODUTIVO!$AL$2:$AL$374=$A18)),--((($B$5="(Todos)")+(REPRODUTIVO!$AP$2:$AP$374=$B$5)&gt;0)))/SUMPRODUCT(--((REPRODUTIVO!$AI$2:$AI$374)),--((REPRODUTIVO!$AL$2:$AL$374=$A18)),--((($B$5="(Todos)")+(REPRODUTIVO!$AP$2:$AP$374=$B$5)&gt;0))),0)</f>
        <v>0.25</v>
      </c>
      <c r="D18" s="12">
        <f>IFERROR(SUMPRODUCT(--((REPRODUTIVO!$AJ$2:$AJ$374)),--((REPRODUTIVO!$AL$2:$AL$374=$A18)),--((($B$5="(Todos)")+(REPRODUTIVO!$AP$2:$AP$374=$B$5)&gt;0)))/SUMPRODUCT(--((REPRODUTIVO!$AH$2:$AH$374)),--((REPRODUTIVO!$AL$2:$AL$374=$A18)),--((($B$5="(Todos)")+(REPRODUTIVO!$AP$2:$AP$374=$B$5)&gt;0))),0)</f>
        <v>0</v>
      </c>
      <c r="E18" s="12">
        <f>IFERROR(SUMPRODUCT(--((REPRODUTIVO!$K$2:$K$374="Cobertura")*1),--((REPRODUTIVO!$AL$2:$AL$374=$A18)),--((($B$5="(Todos)")+(REPRODUTIVO!$AP$2:$AP$374=$B$5)&gt;0)))/SUMPRODUCT(--((REPRODUTIVO!$AL$2:$AL$374=$A18)*1),--((($B$5="(Todos)")+(REPRODUTIVO!$AP$2:$AP$374=$B$5)&gt;0)*1)),0)</f>
        <v>0.25</v>
      </c>
      <c r="F18" s="12">
        <f>IFERROR(SUMPRODUCT(--((REPRODUTIVO!$K$2:$K$374="Inseminação Artificial")*1),--((REPRODUTIVO!$AL$2:$AL$374=$A18)),--((($B$5="(Todos)")+(REPRODUTIVO!$AP$2:$AP$374=$B$5)&gt;0)))/SUMPRODUCT(--((REPRODUTIVO!$AL$2:$AL$374=$A18)*1),--((($B$5="(Todos)")+(REPRODUTIVO!$AP$2:$AP$374=$B$5)&gt;0)*1)),0)</f>
        <v>0.75</v>
      </c>
      <c r="G18" s="12">
        <f>IFERROR(SUMPRODUCT(--((REPRODUTIVO!$L$2:$L$374="CIO NATURAL")*1),--((REPRODUTIVO!$AL$2:$AL$374=$A18)),--((($B$5="(Todos)")+(REPRODUTIVO!$AP$2:$AP$374=$B$5)&gt;0)))/SUMPRODUCT(--((REPRODUTIVO!$AL$2:$AL$374=$A18)*1),--((($B$5="(Todos)")+(REPRODUTIVO!$AP$2:$AP$374=$B$5)&gt;0)*1)),0)</f>
        <v>1</v>
      </c>
      <c r="H18" s="12">
        <f>IFERROR(SUMPRODUCT(--((REPRODUTIVO!$L$2:$L$374="PROTOCOLO IATF")*1),--((REPRODUTIVO!$AL$2:$AL$374=$A18)),--((($B$5="(Todos)")+(REPRODUTIVO!$AP$2:$AP$374=$B$5)&gt;0)))/SUMPRODUCT(--((REPRODUTIVO!$AL$2:$AL$374=$A18)*1),--((($B$5="(Todos)")+(REPRODUTIVO!$AP$2:$AP$374=$B$5)&gt;0)*1)),0)</f>
        <v>0</v>
      </c>
    </row>
    <row r="19" spans="1:8" ht="15" customHeight="1" x14ac:dyDescent="0.3">
      <c r="A19" s="8" t="s">
        <v>204</v>
      </c>
      <c r="B19" s="10">
        <f>SUMPRODUCT(--((REPRODUTIVO!$AL$2:$AL$374=$A19)*1),--((($B$5="(Todos)")+(REPRODUTIVO!$AP$2:$AP$374=$B$5)&gt;0)*1))</f>
        <v>4</v>
      </c>
      <c r="C19" s="12">
        <f>IFERROR(SUMPRODUCT(--((REPRODUTIVO!$AH$2:$AH$374)),--((REPRODUTIVO!$AL$2:$AL$374=$A19)),--((($B$5="(Todos)")+(REPRODUTIVO!$AP$2:$AP$374=$B$5)&gt;0)))/SUMPRODUCT(--((REPRODUTIVO!$AI$2:$AI$374)),--((REPRODUTIVO!$AL$2:$AL$374=$A19)),--((($B$5="(Todos)")+(REPRODUTIVO!$AP$2:$AP$374=$B$5)&gt;0))),0)</f>
        <v>0</v>
      </c>
      <c r="D19" s="12">
        <f>IFERROR(SUMPRODUCT(--((REPRODUTIVO!$AJ$2:$AJ$374)),--((REPRODUTIVO!$AL$2:$AL$374=$A19)),--((($B$5="(Todos)")+(REPRODUTIVO!$AP$2:$AP$374=$B$5)&gt;0)))/SUMPRODUCT(--((REPRODUTIVO!$AH$2:$AH$374)),--((REPRODUTIVO!$AL$2:$AL$374=$A19)),--((($B$5="(Todos)")+(REPRODUTIVO!$AP$2:$AP$374=$B$5)&gt;0))),0)</f>
        <v>0</v>
      </c>
      <c r="E19" s="12">
        <f>IFERROR(SUMPRODUCT(--((REPRODUTIVO!$K$2:$K$374="Cobertura")*1),--((REPRODUTIVO!$AL$2:$AL$374=$A19)),--((($B$5="(Todos)")+(REPRODUTIVO!$AP$2:$AP$374=$B$5)&gt;0)))/SUMPRODUCT(--((REPRODUTIVO!$AL$2:$AL$374=$A19)*1),--((($B$5="(Todos)")+(REPRODUTIVO!$AP$2:$AP$374=$B$5)&gt;0)*1)),0)</f>
        <v>0</v>
      </c>
      <c r="F19" s="12">
        <f>IFERROR(SUMPRODUCT(--((REPRODUTIVO!$K$2:$K$374="Inseminação Artificial")*1),--((REPRODUTIVO!$AL$2:$AL$374=$A19)),--((($B$5="(Todos)")+(REPRODUTIVO!$AP$2:$AP$374=$B$5)&gt;0)))/SUMPRODUCT(--((REPRODUTIVO!$AL$2:$AL$374=$A19)*1),--((($B$5="(Todos)")+(REPRODUTIVO!$AP$2:$AP$374=$B$5)&gt;0)*1)),0)</f>
        <v>1</v>
      </c>
      <c r="G19" s="12">
        <f>IFERROR(SUMPRODUCT(--((REPRODUTIVO!$L$2:$L$374="CIO NATURAL")*1),--((REPRODUTIVO!$AL$2:$AL$374=$A19)),--((($B$5="(Todos)")+(REPRODUTIVO!$AP$2:$AP$374=$B$5)&gt;0)))/SUMPRODUCT(--((REPRODUTIVO!$AL$2:$AL$374=$A19)*1),--((($B$5="(Todos)")+(REPRODUTIVO!$AP$2:$AP$374=$B$5)&gt;0)*1)),0)</f>
        <v>1</v>
      </c>
      <c r="H19" s="12">
        <f>IFERROR(SUMPRODUCT(--((REPRODUTIVO!$L$2:$L$374="PROTOCOLO IATF")*1),--((REPRODUTIVO!$AL$2:$AL$374=$A19)),--((($B$5="(Todos)")+(REPRODUTIVO!$AP$2:$AP$374=$B$5)&gt;0)))/SUMPRODUCT(--((REPRODUTIVO!$AL$2:$AL$374=$A19)*1),--((($B$5="(Todos)")+(REPRODUTIVO!$AP$2:$AP$374=$B$5)&gt;0)*1)),0)</f>
        <v>0</v>
      </c>
    </row>
    <row r="20" spans="1:8" ht="15" customHeight="1" x14ac:dyDescent="0.3">
      <c r="A20" s="8" t="s">
        <v>205</v>
      </c>
      <c r="B20" s="10">
        <f>SUMPRODUCT(--((REPRODUTIVO!$AL$2:$AL$374=$A20)*1),--((($B$5="(Todos)")+(REPRODUTIVO!$AP$2:$AP$374=$B$5)&gt;0)*1))</f>
        <v>4</v>
      </c>
      <c r="C20" s="12">
        <f>IFERROR(SUMPRODUCT(--((REPRODUTIVO!$AH$2:$AH$374)),--((REPRODUTIVO!$AL$2:$AL$374=$A20)),--((($B$5="(Todos)")+(REPRODUTIVO!$AP$2:$AP$374=$B$5)&gt;0)))/SUMPRODUCT(--((REPRODUTIVO!$AI$2:$AI$374)),--((REPRODUTIVO!$AL$2:$AL$374=$A20)),--((($B$5="(Todos)")+(REPRODUTIVO!$AP$2:$AP$374=$B$5)&gt;0))),0)</f>
        <v>0.25</v>
      </c>
      <c r="D20" s="12">
        <f>IFERROR(SUMPRODUCT(--((REPRODUTIVO!$AJ$2:$AJ$374)),--((REPRODUTIVO!$AL$2:$AL$374=$A20)),--((($B$5="(Todos)")+(REPRODUTIVO!$AP$2:$AP$374=$B$5)&gt;0)))/SUMPRODUCT(--((REPRODUTIVO!$AH$2:$AH$374)),--((REPRODUTIVO!$AL$2:$AL$374=$A20)),--((($B$5="(Todos)")+(REPRODUTIVO!$AP$2:$AP$374=$B$5)&gt;0))),0)</f>
        <v>0</v>
      </c>
      <c r="E20" s="12">
        <f>IFERROR(SUMPRODUCT(--((REPRODUTIVO!$K$2:$K$374="Cobertura")*1),--((REPRODUTIVO!$AL$2:$AL$374=$A20)),--((($B$5="(Todos)")+(REPRODUTIVO!$AP$2:$AP$374=$B$5)&gt;0)))/SUMPRODUCT(--((REPRODUTIVO!$AL$2:$AL$374=$A20)*1),--((($B$5="(Todos)")+(REPRODUTIVO!$AP$2:$AP$374=$B$5)&gt;0)*1)),0)</f>
        <v>0</v>
      </c>
      <c r="F20" s="12">
        <f>IFERROR(SUMPRODUCT(--((REPRODUTIVO!$K$2:$K$374="Inseminação Artificial")*1),--((REPRODUTIVO!$AL$2:$AL$374=$A20)),--((($B$5="(Todos)")+(REPRODUTIVO!$AP$2:$AP$374=$B$5)&gt;0)))/SUMPRODUCT(--((REPRODUTIVO!$AL$2:$AL$374=$A20)*1),--((($B$5="(Todos)")+(REPRODUTIVO!$AP$2:$AP$374=$B$5)&gt;0)*1)),0)</f>
        <v>1</v>
      </c>
      <c r="G20" s="12">
        <f>IFERROR(SUMPRODUCT(--((REPRODUTIVO!$L$2:$L$374="CIO NATURAL")*1),--((REPRODUTIVO!$AL$2:$AL$374=$A20)),--((($B$5="(Todos)")+(REPRODUTIVO!$AP$2:$AP$374=$B$5)&gt;0)))/SUMPRODUCT(--((REPRODUTIVO!$AL$2:$AL$374=$A20)*1),--((($B$5="(Todos)")+(REPRODUTIVO!$AP$2:$AP$374=$B$5)&gt;0)*1)),0)</f>
        <v>1</v>
      </c>
      <c r="H20" s="12">
        <f>IFERROR(SUMPRODUCT(--((REPRODUTIVO!$L$2:$L$374="PROTOCOLO IATF")*1),--((REPRODUTIVO!$AL$2:$AL$374=$A20)),--((($B$5="(Todos)")+(REPRODUTIVO!$AP$2:$AP$374=$B$5)&gt;0)))/SUMPRODUCT(--((REPRODUTIVO!$AL$2:$AL$374=$A20)*1),--((($B$5="(Todos)")+(REPRODUTIVO!$AP$2:$AP$374=$B$5)&gt;0)*1)),0)</f>
        <v>0</v>
      </c>
    </row>
    <row r="21" spans="1:8" ht="15" customHeight="1" x14ac:dyDescent="0.3">
      <c r="A21" s="8" t="s">
        <v>206</v>
      </c>
      <c r="B21" s="10">
        <f>SUMPRODUCT(--((REPRODUTIVO!$AL$2:$AL$374=$A21)*1),--((($B$5="(Todos)")+(REPRODUTIVO!$AP$2:$AP$374=$B$5)&gt;0)*1))</f>
        <v>10</v>
      </c>
      <c r="C21" s="12">
        <f>IFERROR(SUMPRODUCT(--((REPRODUTIVO!$AH$2:$AH$374)),--((REPRODUTIVO!$AL$2:$AL$374=$A21)),--((($B$5="(Todos)")+(REPRODUTIVO!$AP$2:$AP$374=$B$5)&gt;0)))/SUMPRODUCT(--((REPRODUTIVO!$AI$2:$AI$374)),--((REPRODUTIVO!$AL$2:$AL$374=$A21)),--((($B$5="(Todos)")+(REPRODUTIVO!$AP$2:$AP$374=$B$5)&gt;0))),0)</f>
        <v>0.5</v>
      </c>
      <c r="D21" s="12">
        <f>IFERROR(SUMPRODUCT(--((REPRODUTIVO!$AJ$2:$AJ$374)),--((REPRODUTIVO!$AL$2:$AL$374=$A21)),--((($B$5="(Todos)")+(REPRODUTIVO!$AP$2:$AP$374=$B$5)&gt;0)))/SUMPRODUCT(--((REPRODUTIVO!$AH$2:$AH$374)),--((REPRODUTIVO!$AL$2:$AL$374=$A21)),--((($B$5="(Todos)")+(REPRODUTIVO!$AP$2:$AP$374=$B$5)&gt;0))),0)</f>
        <v>0</v>
      </c>
      <c r="E21" s="12">
        <f>IFERROR(SUMPRODUCT(--((REPRODUTIVO!$K$2:$K$374="Cobertura")*1),--((REPRODUTIVO!$AL$2:$AL$374=$A21)),--((($B$5="(Todos)")+(REPRODUTIVO!$AP$2:$AP$374=$B$5)&gt;0)))/SUMPRODUCT(--((REPRODUTIVO!$AL$2:$AL$374=$A21)*1),--((($B$5="(Todos)")+(REPRODUTIVO!$AP$2:$AP$374=$B$5)&gt;0)*1)),0)</f>
        <v>0</v>
      </c>
      <c r="F21" s="12">
        <f>IFERROR(SUMPRODUCT(--((REPRODUTIVO!$K$2:$K$374="Inseminação Artificial")*1),--((REPRODUTIVO!$AL$2:$AL$374=$A21)),--((($B$5="(Todos)")+(REPRODUTIVO!$AP$2:$AP$374=$B$5)&gt;0)))/SUMPRODUCT(--((REPRODUTIVO!$AL$2:$AL$374=$A21)*1),--((($B$5="(Todos)")+(REPRODUTIVO!$AP$2:$AP$374=$B$5)&gt;0)*1)),0)</f>
        <v>1</v>
      </c>
      <c r="G21" s="12">
        <f>IFERROR(SUMPRODUCT(--((REPRODUTIVO!$L$2:$L$374="CIO NATURAL")*1),--((REPRODUTIVO!$AL$2:$AL$374=$A21)),--((($B$5="(Todos)")+(REPRODUTIVO!$AP$2:$AP$374=$B$5)&gt;0)))/SUMPRODUCT(--((REPRODUTIVO!$AL$2:$AL$374=$A21)*1),--((($B$5="(Todos)")+(REPRODUTIVO!$AP$2:$AP$374=$B$5)&gt;0)*1)),0)</f>
        <v>1</v>
      </c>
      <c r="H21" s="12">
        <f>IFERROR(SUMPRODUCT(--((REPRODUTIVO!$L$2:$L$374="PROTOCOLO IATF")*1),--((REPRODUTIVO!$AL$2:$AL$374=$A21)),--((($B$5="(Todos)")+(REPRODUTIVO!$AP$2:$AP$374=$B$5)&gt;0)))/SUMPRODUCT(--((REPRODUTIVO!$AL$2:$AL$374=$A21)*1),--((($B$5="(Todos)")+(REPRODUTIVO!$AP$2:$AP$374=$B$5)&gt;0)*1)),0)</f>
        <v>0</v>
      </c>
    </row>
    <row r="22" spans="1:8" ht="15" customHeight="1" x14ac:dyDescent="0.3">
      <c r="A22" s="8" t="s">
        <v>207</v>
      </c>
      <c r="B22" s="10">
        <f>SUMPRODUCT(--((REPRODUTIVO!$AL$2:$AL$374=$A22)*1),--((($B$5="(Todos)")+(REPRODUTIVO!$AP$2:$AP$374=$B$5)&gt;0)*1))</f>
        <v>9</v>
      </c>
      <c r="C22" s="12">
        <f>IFERROR(SUMPRODUCT(--((REPRODUTIVO!$AH$2:$AH$374)),--((REPRODUTIVO!$AL$2:$AL$374=$A22)),--((($B$5="(Todos)")+(REPRODUTIVO!$AP$2:$AP$374=$B$5)&gt;0)))/SUMPRODUCT(--((REPRODUTIVO!$AI$2:$AI$374)),--((REPRODUTIVO!$AL$2:$AL$374=$A22)),--((($B$5="(Todos)")+(REPRODUTIVO!$AP$2:$AP$374=$B$5)&gt;0))),0)</f>
        <v>0.66666666666666663</v>
      </c>
      <c r="D22" s="12">
        <f>IFERROR(SUMPRODUCT(--((REPRODUTIVO!$AJ$2:$AJ$374)),--((REPRODUTIVO!$AL$2:$AL$374=$A22)),--((($B$5="(Todos)")+(REPRODUTIVO!$AP$2:$AP$374=$B$5)&gt;0)))/SUMPRODUCT(--((REPRODUTIVO!$AH$2:$AH$374)),--((REPRODUTIVO!$AL$2:$AL$374=$A22)),--((($B$5="(Todos)")+(REPRODUTIVO!$AP$2:$AP$374=$B$5)&gt;0))),0)</f>
        <v>0.33333333333333331</v>
      </c>
      <c r="E22" s="12">
        <f>IFERROR(SUMPRODUCT(--((REPRODUTIVO!$K$2:$K$374="Cobertura")*1),--((REPRODUTIVO!$AL$2:$AL$374=$A22)),--((($B$5="(Todos)")+(REPRODUTIVO!$AP$2:$AP$374=$B$5)&gt;0)))/SUMPRODUCT(--((REPRODUTIVO!$AL$2:$AL$374=$A22)*1),--((($B$5="(Todos)")+(REPRODUTIVO!$AP$2:$AP$374=$B$5)&gt;0)*1)),0)</f>
        <v>0</v>
      </c>
      <c r="F22" s="12">
        <f>IFERROR(SUMPRODUCT(--((REPRODUTIVO!$K$2:$K$374="Inseminação Artificial")*1),--((REPRODUTIVO!$AL$2:$AL$374=$A22)),--((($B$5="(Todos)")+(REPRODUTIVO!$AP$2:$AP$374=$B$5)&gt;0)))/SUMPRODUCT(--((REPRODUTIVO!$AL$2:$AL$374=$A22)*1),--((($B$5="(Todos)")+(REPRODUTIVO!$AP$2:$AP$374=$B$5)&gt;0)*1)),0)</f>
        <v>1</v>
      </c>
      <c r="G22" s="12">
        <f>IFERROR(SUMPRODUCT(--((REPRODUTIVO!$L$2:$L$374="CIO NATURAL")*1),--((REPRODUTIVO!$AL$2:$AL$374=$A22)),--((($B$5="(Todos)")+(REPRODUTIVO!$AP$2:$AP$374=$B$5)&gt;0)))/SUMPRODUCT(--((REPRODUTIVO!$AL$2:$AL$374=$A22)*1),--((($B$5="(Todos)")+(REPRODUTIVO!$AP$2:$AP$374=$B$5)&gt;0)*1)),0)</f>
        <v>1</v>
      </c>
      <c r="H22" s="12">
        <f>IFERROR(SUMPRODUCT(--((REPRODUTIVO!$L$2:$L$374="PROTOCOLO IATF")*1),--((REPRODUTIVO!$AL$2:$AL$374=$A22)),--((($B$5="(Todos)")+(REPRODUTIVO!$AP$2:$AP$374=$B$5)&gt;0)))/SUMPRODUCT(--((REPRODUTIVO!$AL$2:$AL$374=$A22)*1),--((($B$5="(Todos)")+(REPRODUTIVO!$AP$2:$AP$374=$B$5)&gt;0)*1)),0)</f>
        <v>0</v>
      </c>
    </row>
    <row r="23" spans="1:8" ht="15" customHeight="1" x14ac:dyDescent="0.3">
      <c r="A23" s="8" t="s">
        <v>208</v>
      </c>
      <c r="B23" s="10">
        <f>SUMPRODUCT(--((REPRODUTIVO!$AL$2:$AL$374=$A23)*1),--((($B$5="(Todos)")+(REPRODUTIVO!$AP$2:$AP$374=$B$5)&gt;0)*1))</f>
        <v>11</v>
      </c>
      <c r="C23" s="12">
        <f>IFERROR(SUMPRODUCT(--((REPRODUTIVO!$AH$2:$AH$374)),--((REPRODUTIVO!$AL$2:$AL$374=$A23)),--((($B$5="(Todos)")+(REPRODUTIVO!$AP$2:$AP$374=$B$5)&gt;0)))/SUMPRODUCT(--((REPRODUTIVO!$AI$2:$AI$374)),--((REPRODUTIVO!$AL$2:$AL$374=$A23)),--((($B$5="(Todos)")+(REPRODUTIVO!$AP$2:$AP$374=$B$5)&gt;0))),0)</f>
        <v>0.18181818181818182</v>
      </c>
      <c r="D23" s="12">
        <f>IFERROR(SUMPRODUCT(--((REPRODUTIVO!$AJ$2:$AJ$374)),--((REPRODUTIVO!$AL$2:$AL$374=$A23)),--((($B$5="(Todos)")+(REPRODUTIVO!$AP$2:$AP$374=$B$5)&gt;0)))/SUMPRODUCT(--((REPRODUTIVO!$AH$2:$AH$374)),--((REPRODUTIVO!$AL$2:$AL$374=$A23)),--((($B$5="(Todos)")+(REPRODUTIVO!$AP$2:$AP$374=$B$5)&gt;0))),0)</f>
        <v>0.5</v>
      </c>
      <c r="E23" s="12">
        <f>IFERROR(SUMPRODUCT(--((REPRODUTIVO!$K$2:$K$374="Cobertura")*1),--((REPRODUTIVO!$AL$2:$AL$374=$A23)),--((($B$5="(Todos)")+(REPRODUTIVO!$AP$2:$AP$374=$B$5)&gt;0)))/SUMPRODUCT(--((REPRODUTIVO!$AL$2:$AL$374=$A23)*1),--((($B$5="(Todos)")+(REPRODUTIVO!$AP$2:$AP$374=$B$5)&gt;0)*1)),0)</f>
        <v>0</v>
      </c>
      <c r="F23" s="12">
        <f>IFERROR(SUMPRODUCT(--((REPRODUTIVO!$K$2:$K$374="Inseminação Artificial")*1),--((REPRODUTIVO!$AL$2:$AL$374=$A23)),--((($B$5="(Todos)")+(REPRODUTIVO!$AP$2:$AP$374=$B$5)&gt;0)))/SUMPRODUCT(--((REPRODUTIVO!$AL$2:$AL$374=$A23)*1),--((($B$5="(Todos)")+(REPRODUTIVO!$AP$2:$AP$374=$B$5)&gt;0)*1)),0)</f>
        <v>1</v>
      </c>
      <c r="G23" s="12">
        <f>IFERROR(SUMPRODUCT(--((REPRODUTIVO!$L$2:$L$374="CIO NATURAL")*1),--((REPRODUTIVO!$AL$2:$AL$374=$A23)),--((($B$5="(Todos)")+(REPRODUTIVO!$AP$2:$AP$374=$B$5)&gt;0)))/SUMPRODUCT(--((REPRODUTIVO!$AL$2:$AL$374=$A23)*1),--((($B$5="(Todos)")+(REPRODUTIVO!$AP$2:$AP$374=$B$5)&gt;0)*1)),0)</f>
        <v>1</v>
      </c>
      <c r="H23" s="12">
        <f>IFERROR(SUMPRODUCT(--((REPRODUTIVO!$L$2:$L$374="PROTOCOLO IATF")*1),--((REPRODUTIVO!$AL$2:$AL$374=$A23)),--((($B$5="(Todos)")+(REPRODUTIVO!$AP$2:$AP$374=$B$5)&gt;0)))/SUMPRODUCT(--((REPRODUTIVO!$AL$2:$AL$374=$A23)*1),--((($B$5="(Todos)")+(REPRODUTIVO!$AP$2:$AP$374=$B$5)&gt;0)*1)),0)</f>
        <v>0</v>
      </c>
    </row>
    <row r="24" spans="1:8" ht="15" customHeight="1" x14ac:dyDescent="0.3">
      <c r="A24" s="8" t="s">
        <v>209</v>
      </c>
      <c r="B24" s="10">
        <f>SUMPRODUCT(--((REPRODUTIVO!$AL$2:$AL$374=$A24)*1),--((($B$5="(Todos)")+(REPRODUTIVO!$AP$2:$AP$374=$B$5)&gt;0)*1))</f>
        <v>2</v>
      </c>
      <c r="C24" s="12">
        <f>IFERROR(SUMPRODUCT(--((REPRODUTIVO!$AH$2:$AH$374)),--((REPRODUTIVO!$AL$2:$AL$374=$A24)),--((($B$5="(Todos)")+(REPRODUTIVO!$AP$2:$AP$374=$B$5)&gt;0)))/SUMPRODUCT(--((REPRODUTIVO!$AI$2:$AI$374)),--((REPRODUTIVO!$AL$2:$AL$374=$A24)),--((($B$5="(Todos)")+(REPRODUTIVO!$AP$2:$AP$374=$B$5)&gt;0))),0)</f>
        <v>0</v>
      </c>
      <c r="D24" s="12">
        <f>IFERROR(SUMPRODUCT(--((REPRODUTIVO!$AJ$2:$AJ$374)),--((REPRODUTIVO!$AL$2:$AL$374=$A24)),--((($B$5="(Todos)")+(REPRODUTIVO!$AP$2:$AP$374=$B$5)&gt;0)))/SUMPRODUCT(--((REPRODUTIVO!$AH$2:$AH$374)),--((REPRODUTIVO!$AL$2:$AL$374=$A24)),--((($B$5="(Todos)")+(REPRODUTIVO!$AP$2:$AP$374=$B$5)&gt;0))),0)</f>
        <v>0</v>
      </c>
      <c r="E24" s="12">
        <f>IFERROR(SUMPRODUCT(--((REPRODUTIVO!$K$2:$K$374="Cobertura")*1),--((REPRODUTIVO!$AL$2:$AL$374=$A24)),--((($B$5="(Todos)")+(REPRODUTIVO!$AP$2:$AP$374=$B$5)&gt;0)))/SUMPRODUCT(--((REPRODUTIVO!$AL$2:$AL$374=$A24)*1),--((($B$5="(Todos)")+(REPRODUTIVO!$AP$2:$AP$374=$B$5)&gt;0)*1)),0)</f>
        <v>0</v>
      </c>
      <c r="F24" s="12">
        <f>IFERROR(SUMPRODUCT(--((REPRODUTIVO!$K$2:$K$374="Inseminação Artificial")*1),--((REPRODUTIVO!$AL$2:$AL$374=$A24)),--((($B$5="(Todos)")+(REPRODUTIVO!$AP$2:$AP$374=$B$5)&gt;0)))/SUMPRODUCT(--((REPRODUTIVO!$AL$2:$AL$374=$A24)*1),--((($B$5="(Todos)")+(REPRODUTIVO!$AP$2:$AP$374=$B$5)&gt;0)*1)),0)</f>
        <v>1</v>
      </c>
      <c r="G24" s="12">
        <f>IFERROR(SUMPRODUCT(--((REPRODUTIVO!$L$2:$L$374="CIO NATURAL")*1),--((REPRODUTIVO!$AL$2:$AL$374=$A24)),--((($B$5="(Todos)")+(REPRODUTIVO!$AP$2:$AP$374=$B$5)&gt;0)))/SUMPRODUCT(--((REPRODUTIVO!$AL$2:$AL$374=$A24)*1),--((($B$5="(Todos)")+(REPRODUTIVO!$AP$2:$AP$374=$B$5)&gt;0)*1)),0)</f>
        <v>1</v>
      </c>
      <c r="H24" s="12">
        <f>IFERROR(SUMPRODUCT(--((REPRODUTIVO!$L$2:$L$374="PROTOCOLO IATF")*1),--((REPRODUTIVO!$AL$2:$AL$374=$A24)),--((($B$5="(Todos)")+(REPRODUTIVO!$AP$2:$AP$374=$B$5)&gt;0)))/SUMPRODUCT(--((REPRODUTIVO!$AL$2:$AL$374=$A24)*1),--((($B$5="(Todos)")+(REPRODUTIVO!$AP$2:$AP$374=$B$5)&gt;0)*1)),0)</f>
        <v>0</v>
      </c>
    </row>
    <row r="25" spans="1:8" ht="15" customHeight="1" x14ac:dyDescent="0.3">
      <c r="A25" s="8" t="s">
        <v>210</v>
      </c>
      <c r="B25" s="10">
        <f>SUMPRODUCT(--((REPRODUTIVO!$AL$2:$AL$374=$A25)*1),--((($B$5="(Todos)")+(REPRODUTIVO!$AP$2:$AP$374=$B$5)&gt;0)*1))</f>
        <v>11</v>
      </c>
      <c r="C25" s="12">
        <f>IFERROR(SUMPRODUCT(--((REPRODUTIVO!$AH$2:$AH$374)),--((REPRODUTIVO!$AL$2:$AL$374=$A25)),--((($B$5="(Todos)")+(REPRODUTIVO!$AP$2:$AP$374=$B$5)&gt;0)))/SUMPRODUCT(--((REPRODUTIVO!$AI$2:$AI$374)),--((REPRODUTIVO!$AL$2:$AL$374=$A25)),--((($B$5="(Todos)")+(REPRODUTIVO!$AP$2:$AP$374=$B$5)&gt;0))),0)</f>
        <v>0.36363636363636365</v>
      </c>
      <c r="D25" s="12">
        <f>IFERROR(SUMPRODUCT(--((REPRODUTIVO!$AJ$2:$AJ$374)),--((REPRODUTIVO!$AL$2:$AL$374=$A25)),--((($B$5="(Todos)")+(REPRODUTIVO!$AP$2:$AP$374=$B$5)&gt;0)))/SUMPRODUCT(--((REPRODUTIVO!$AH$2:$AH$374)),--((REPRODUTIVO!$AL$2:$AL$374=$A25)),--((($B$5="(Todos)")+(REPRODUTIVO!$AP$2:$AP$374=$B$5)&gt;0))),0)</f>
        <v>0.25</v>
      </c>
      <c r="E25" s="12">
        <f>IFERROR(SUMPRODUCT(--((REPRODUTIVO!$K$2:$K$374="Cobertura")*1),--((REPRODUTIVO!$AL$2:$AL$374=$A25)),--((($B$5="(Todos)")+(REPRODUTIVO!$AP$2:$AP$374=$B$5)&gt;0)))/SUMPRODUCT(--((REPRODUTIVO!$AL$2:$AL$374=$A25)*1),--((($B$5="(Todos)")+(REPRODUTIVO!$AP$2:$AP$374=$B$5)&gt;0)*1)),0)</f>
        <v>0</v>
      </c>
      <c r="F25" s="12">
        <f>IFERROR(SUMPRODUCT(--((REPRODUTIVO!$K$2:$K$374="Inseminação Artificial")*1),--((REPRODUTIVO!$AL$2:$AL$374=$A25)),--((($B$5="(Todos)")+(REPRODUTIVO!$AP$2:$AP$374=$B$5)&gt;0)))/SUMPRODUCT(--((REPRODUTIVO!$AL$2:$AL$374=$A25)*1),--((($B$5="(Todos)")+(REPRODUTIVO!$AP$2:$AP$374=$B$5)&gt;0)*1)),0)</f>
        <v>1</v>
      </c>
      <c r="G25" s="12">
        <f>IFERROR(SUMPRODUCT(--((REPRODUTIVO!$L$2:$L$374="CIO NATURAL")*1),--((REPRODUTIVO!$AL$2:$AL$374=$A25)),--((($B$5="(Todos)")+(REPRODUTIVO!$AP$2:$AP$374=$B$5)&gt;0)))/SUMPRODUCT(--((REPRODUTIVO!$AL$2:$AL$374=$A25)*1),--((($B$5="(Todos)")+(REPRODUTIVO!$AP$2:$AP$374=$B$5)&gt;0)*1)),0)</f>
        <v>1</v>
      </c>
      <c r="H25" s="12">
        <f>IFERROR(SUMPRODUCT(--((REPRODUTIVO!$L$2:$L$374="PROTOCOLO IATF")*1),--((REPRODUTIVO!$AL$2:$AL$374=$A25)),--((($B$5="(Todos)")+(REPRODUTIVO!$AP$2:$AP$374=$B$5)&gt;0)))/SUMPRODUCT(--((REPRODUTIVO!$AL$2:$AL$374=$A25)*1),--((($B$5="(Todos)")+(REPRODUTIVO!$AP$2:$AP$374=$B$5)&gt;0)*1)),0)</f>
        <v>0</v>
      </c>
    </row>
    <row r="26" spans="1:8" ht="15" customHeight="1" x14ac:dyDescent="0.3">
      <c r="A26" s="8" t="s">
        <v>211</v>
      </c>
      <c r="B26" s="10">
        <f>SUMPRODUCT(--((REPRODUTIVO!$AL$2:$AL$374=$A26)*1),--((($B$5="(Todos)")+(REPRODUTIVO!$AP$2:$AP$374=$B$5)&gt;0)*1))</f>
        <v>0</v>
      </c>
      <c r="C26" s="12">
        <f>IFERROR(SUMPRODUCT(--((REPRODUTIVO!$AH$2:$AH$374)),--((REPRODUTIVO!$AL$2:$AL$374=$A26)),--((($B$5="(Todos)")+(REPRODUTIVO!$AP$2:$AP$374=$B$5)&gt;0)))/SUMPRODUCT(--((REPRODUTIVO!$AI$2:$AI$374)),--((REPRODUTIVO!$AL$2:$AL$374=$A26)),--((($B$5="(Todos)")+(REPRODUTIVO!$AP$2:$AP$374=$B$5)&gt;0))),0)</f>
        <v>0</v>
      </c>
      <c r="D26" s="12">
        <f>IFERROR(SUMPRODUCT(--((REPRODUTIVO!$AJ$2:$AJ$374)),--((REPRODUTIVO!$AL$2:$AL$374=$A26)),--((($B$5="(Todos)")+(REPRODUTIVO!$AP$2:$AP$374=$B$5)&gt;0)))/SUMPRODUCT(--((REPRODUTIVO!$AH$2:$AH$374)),--((REPRODUTIVO!$AL$2:$AL$374=$A26)),--((($B$5="(Todos)")+(REPRODUTIVO!$AP$2:$AP$374=$B$5)&gt;0))),0)</f>
        <v>0</v>
      </c>
      <c r="E26" s="12">
        <f>IFERROR(SUMPRODUCT(--((REPRODUTIVO!$K$2:$K$374="Cobertura")*1),--((REPRODUTIVO!$AL$2:$AL$374=$A26)),--((($B$5="(Todos)")+(REPRODUTIVO!$AP$2:$AP$374=$B$5)&gt;0)))/SUMPRODUCT(--((REPRODUTIVO!$AL$2:$AL$374=$A26)*1),--((($B$5="(Todos)")+(REPRODUTIVO!$AP$2:$AP$374=$B$5)&gt;0)*1)),0)</f>
        <v>0</v>
      </c>
      <c r="F26" s="12">
        <f>IFERROR(SUMPRODUCT(--((REPRODUTIVO!$K$2:$K$374="Inseminação Artificial")*1),--((REPRODUTIVO!$AL$2:$AL$374=$A26)),--((($B$5="(Todos)")+(REPRODUTIVO!$AP$2:$AP$374=$B$5)&gt;0)))/SUMPRODUCT(--((REPRODUTIVO!$AL$2:$AL$374=$A26)*1),--((($B$5="(Todos)")+(REPRODUTIVO!$AP$2:$AP$374=$B$5)&gt;0)*1)),0)</f>
        <v>0</v>
      </c>
      <c r="G26" s="12">
        <f>IFERROR(SUMPRODUCT(--((REPRODUTIVO!$L$2:$L$374="CIO NATURAL")*1),--((REPRODUTIVO!$AL$2:$AL$374=$A26)),--((($B$5="(Todos)")+(REPRODUTIVO!$AP$2:$AP$374=$B$5)&gt;0)))/SUMPRODUCT(--((REPRODUTIVO!$AL$2:$AL$374=$A26)*1),--((($B$5="(Todos)")+(REPRODUTIVO!$AP$2:$AP$374=$B$5)&gt;0)*1)),0)</f>
        <v>0</v>
      </c>
      <c r="H26" s="12">
        <f>IFERROR(SUMPRODUCT(--((REPRODUTIVO!$L$2:$L$374="PROTOCOLO IATF")*1),--((REPRODUTIVO!$AL$2:$AL$374=$A26)),--((($B$5="(Todos)")+(REPRODUTIVO!$AP$2:$AP$374=$B$5)&gt;0)))/SUMPRODUCT(--((REPRODUTIVO!$AL$2:$AL$374=$A26)*1),--((($B$5="(Todos)")+(REPRODUTIVO!$AP$2:$AP$374=$B$5)&gt;0)*1)),0)</f>
        <v>0</v>
      </c>
    </row>
    <row r="27" spans="1:8" ht="15" customHeight="1" x14ac:dyDescent="0.3">
      <c r="A27" s="8" t="s">
        <v>212</v>
      </c>
      <c r="B27" s="10">
        <f>SUMPRODUCT(--((REPRODUTIVO!$AL$2:$AL$374=$A27)*1),--((($B$5="(Todos)")+(REPRODUTIVO!$AP$2:$AP$374=$B$5)&gt;0)*1))</f>
        <v>11</v>
      </c>
      <c r="C27" s="12">
        <f>IFERROR(SUMPRODUCT(--((REPRODUTIVO!$AH$2:$AH$374)),--((REPRODUTIVO!$AL$2:$AL$374=$A27)),--((($B$5="(Todos)")+(REPRODUTIVO!$AP$2:$AP$374=$B$5)&gt;0)))/SUMPRODUCT(--((REPRODUTIVO!$AI$2:$AI$374)),--((REPRODUTIVO!$AL$2:$AL$374=$A27)),--((($B$5="(Todos)")+(REPRODUTIVO!$AP$2:$AP$374=$B$5)&gt;0))),0)</f>
        <v>0.27272727272727271</v>
      </c>
      <c r="D27" s="12">
        <f>IFERROR(SUMPRODUCT(--((REPRODUTIVO!$AJ$2:$AJ$374)),--((REPRODUTIVO!$AL$2:$AL$374=$A27)),--((($B$5="(Todos)")+(REPRODUTIVO!$AP$2:$AP$374=$B$5)&gt;0)))/SUMPRODUCT(--((REPRODUTIVO!$AH$2:$AH$374)),--((REPRODUTIVO!$AL$2:$AL$374=$A27)),--((($B$5="(Todos)")+(REPRODUTIVO!$AP$2:$AP$374=$B$5)&gt;0))),0)</f>
        <v>0</v>
      </c>
      <c r="E27" s="12">
        <f>IFERROR(SUMPRODUCT(--((REPRODUTIVO!$K$2:$K$374="Cobertura")*1),--((REPRODUTIVO!$AL$2:$AL$374=$A27)),--((($B$5="(Todos)")+(REPRODUTIVO!$AP$2:$AP$374=$B$5)&gt;0)))/SUMPRODUCT(--((REPRODUTIVO!$AL$2:$AL$374=$A27)*1),--((($B$5="(Todos)")+(REPRODUTIVO!$AP$2:$AP$374=$B$5)&gt;0)*1)),0)</f>
        <v>9.0909090909090912E-2</v>
      </c>
      <c r="F27" s="12">
        <f>IFERROR(SUMPRODUCT(--((REPRODUTIVO!$K$2:$K$374="Inseminação Artificial")*1),--((REPRODUTIVO!$AL$2:$AL$374=$A27)),--((($B$5="(Todos)")+(REPRODUTIVO!$AP$2:$AP$374=$B$5)&gt;0)))/SUMPRODUCT(--((REPRODUTIVO!$AL$2:$AL$374=$A27)*1),--((($B$5="(Todos)")+(REPRODUTIVO!$AP$2:$AP$374=$B$5)&gt;0)*1)),0)</f>
        <v>0.90909090909090906</v>
      </c>
      <c r="G27" s="12">
        <f>IFERROR(SUMPRODUCT(--((REPRODUTIVO!$L$2:$L$374="CIO NATURAL")*1),--((REPRODUTIVO!$AL$2:$AL$374=$A27)),--((($B$5="(Todos)")+(REPRODUTIVO!$AP$2:$AP$374=$B$5)&gt;0)))/SUMPRODUCT(--((REPRODUTIVO!$AL$2:$AL$374=$A27)*1),--((($B$5="(Todos)")+(REPRODUTIVO!$AP$2:$AP$374=$B$5)&gt;0)*1)),0)</f>
        <v>1</v>
      </c>
      <c r="H27" s="12">
        <f>IFERROR(SUMPRODUCT(--((REPRODUTIVO!$L$2:$L$374="PROTOCOLO IATF")*1),--((REPRODUTIVO!$AL$2:$AL$374=$A27)),--((($B$5="(Todos)")+(REPRODUTIVO!$AP$2:$AP$374=$B$5)&gt;0)))/SUMPRODUCT(--((REPRODUTIVO!$AL$2:$AL$374=$A27)*1),--((($B$5="(Todos)")+(REPRODUTIVO!$AP$2:$AP$374=$B$5)&gt;0)*1)),0)</f>
        <v>0</v>
      </c>
    </row>
    <row r="28" spans="1:8" ht="15" customHeight="1" x14ac:dyDescent="0.3">
      <c r="A28" s="8" t="s">
        <v>213</v>
      </c>
      <c r="B28" s="10">
        <f>SUMPRODUCT(--((REPRODUTIVO!$AL$2:$AL$374=$A28)*1),--((($B$5="(Todos)")+(REPRODUTIVO!$AP$2:$AP$374=$B$5)&gt;0)*1))</f>
        <v>10</v>
      </c>
      <c r="C28" s="12">
        <f>IFERROR(SUMPRODUCT(--((REPRODUTIVO!$AH$2:$AH$374)),--((REPRODUTIVO!$AL$2:$AL$374=$A28)),--((($B$5="(Todos)")+(REPRODUTIVO!$AP$2:$AP$374=$B$5)&gt;0)))/SUMPRODUCT(--((REPRODUTIVO!$AI$2:$AI$374)),--((REPRODUTIVO!$AL$2:$AL$374=$A28)),--((($B$5="(Todos)")+(REPRODUTIVO!$AP$2:$AP$374=$B$5)&gt;0))),0)</f>
        <v>0.2</v>
      </c>
      <c r="D28" s="12">
        <f>IFERROR(SUMPRODUCT(--((REPRODUTIVO!$AJ$2:$AJ$374)),--((REPRODUTIVO!$AL$2:$AL$374=$A28)),--((($B$5="(Todos)")+(REPRODUTIVO!$AP$2:$AP$374=$B$5)&gt;0)))/SUMPRODUCT(--((REPRODUTIVO!$AH$2:$AH$374)),--((REPRODUTIVO!$AL$2:$AL$374=$A28)),--((($B$5="(Todos)")+(REPRODUTIVO!$AP$2:$AP$374=$B$5)&gt;0))),0)</f>
        <v>0</v>
      </c>
      <c r="E28" s="12">
        <f>IFERROR(SUMPRODUCT(--((REPRODUTIVO!$K$2:$K$374="Cobertura")*1),--((REPRODUTIVO!$AL$2:$AL$374=$A28)),--((($B$5="(Todos)")+(REPRODUTIVO!$AP$2:$AP$374=$B$5)&gt;0)))/SUMPRODUCT(--((REPRODUTIVO!$AL$2:$AL$374=$A28)*1),--((($B$5="(Todos)")+(REPRODUTIVO!$AP$2:$AP$374=$B$5)&gt;0)*1)),0)</f>
        <v>0</v>
      </c>
      <c r="F28" s="12">
        <f>IFERROR(SUMPRODUCT(--((REPRODUTIVO!$K$2:$K$374="Inseminação Artificial")*1),--((REPRODUTIVO!$AL$2:$AL$374=$A28)),--((($B$5="(Todos)")+(REPRODUTIVO!$AP$2:$AP$374=$B$5)&gt;0)))/SUMPRODUCT(--((REPRODUTIVO!$AL$2:$AL$374=$A28)*1),--((($B$5="(Todos)")+(REPRODUTIVO!$AP$2:$AP$374=$B$5)&gt;0)*1)),0)</f>
        <v>1</v>
      </c>
      <c r="G28" s="12">
        <f>IFERROR(SUMPRODUCT(--((REPRODUTIVO!$L$2:$L$374="CIO NATURAL")*1),--((REPRODUTIVO!$AL$2:$AL$374=$A28)),--((($B$5="(Todos)")+(REPRODUTIVO!$AP$2:$AP$374=$B$5)&gt;0)))/SUMPRODUCT(--((REPRODUTIVO!$AL$2:$AL$374=$A28)*1),--((($B$5="(Todos)")+(REPRODUTIVO!$AP$2:$AP$374=$B$5)&gt;0)*1)),0)</f>
        <v>1</v>
      </c>
      <c r="H28" s="12">
        <f>IFERROR(SUMPRODUCT(--((REPRODUTIVO!$L$2:$L$374="PROTOCOLO IATF")*1),--((REPRODUTIVO!$AL$2:$AL$374=$A28)),--((($B$5="(Todos)")+(REPRODUTIVO!$AP$2:$AP$374=$B$5)&gt;0)))/SUMPRODUCT(--((REPRODUTIVO!$AL$2:$AL$374=$A28)*1),--((($B$5="(Todos)")+(REPRODUTIVO!$AP$2:$AP$374=$B$5)&gt;0)*1)),0)</f>
        <v>0</v>
      </c>
    </row>
    <row r="29" spans="1:8" ht="15" customHeight="1" x14ac:dyDescent="0.3">
      <c r="A29" s="8" t="s">
        <v>214</v>
      </c>
      <c r="B29" s="10">
        <f>SUMPRODUCT(--((REPRODUTIVO!$AL$2:$AL$374=$A29)*1),--((($B$5="(Todos)")+(REPRODUTIVO!$AP$2:$AP$374=$B$5)&gt;0)*1))</f>
        <v>4</v>
      </c>
      <c r="C29" s="12">
        <f>IFERROR(SUMPRODUCT(--((REPRODUTIVO!$AH$2:$AH$374)),--((REPRODUTIVO!$AL$2:$AL$374=$A29)),--((($B$5="(Todos)")+(REPRODUTIVO!$AP$2:$AP$374=$B$5)&gt;0)))/SUMPRODUCT(--((REPRODUTIVO!$AI$2:$AI$374)),--((REPRODUTIVO!$AL$2:$AL$374=$A29)),--((($B$5="(Todos)")+(REPRODUTIVO!$AP$2:$AP$374=$B$5)&gt;0))),0)</f>
        <v>0.75</v>
      </c>
      <c r="D29" s="12">
        <f>IFERROR(SUMPRODUCT(--((REPRODUTIVO!$AJ$2:$AJ$374)),--((REPRODUTIVO!$AL$2:$AL$374=$A29)),--((($B$5="(Todos)")+(REPRODUTIVO!$AP$2:$AP$374=$B$5)&gt;0)))/SUMPRODUCT(--((REPRODUTIVO!$AH$2:$AH$374)),--((REPRODUTIVO!$AL$2:$AL$374=$A29)),--((($B$5="(Todos)")+(REPRODUTIVO!$AP$2:$AP$374=$B$5)&gt;0))),0)</f>
        <v>0</v>
      </c>
      <c r="E29" s="12">
        <f>IFERROR(SUMPRODUCT(--((REPRODUTIVO!$K$2:$K$374="Cobertura")*1),--((REPRODUTIVO!$AL$2:$AL$374=$A29)),--((($B$5="(Todos)")+(REPRODUTIVO!$AP$2:$AP$374=$B$5)&gt;0)))/SUMPRODUCT(--((REPRODUTIVO!$AL$2:$AL$374=$A29)*1),--((($B$5="(Todos)")+(REPRODUTIVO!$AP$2:$AP$374=$B$5)&gt;0)*1)),0)</f>
        <v>0</v>
      </c>
      <c r="F29" s="12">
        <f>IFERROR(SUMPRODUCT(--((REPRODUTIVO!$K$2:$K$374="Inseminação Artificial")*1),--((REPRODUTIVO!$AL$2:$AL$374=$A29)),--((($B$5="(Todos)")+(REPRODUTIVO!$AP$2:$AP$374=$B$5)&gt;0)))/SUMPRODUCT(--((REPRODUTIVO!$AL$2:$AL$374=$A29)*1),--((($B$5="(Todos)")+(REPRODUTIVO!$AP$2:$AP$374=$B$5)&gt;0)*1)),0)</f>
        <v>1</v>
      </c>
      <c r="G29" s="12">
        <f>IFERROR(SUMPRODUCT(--((REPRODUTIVO!$L$2:$L$374="CIO NATURAL")*1),--((REPRODUTIVO!$AL$2:$AL$374=$A29)),--((($B$5="(Todos)")+(REPRODUTIVO!$AP$2:$AP$374=$B$5)&gt;0)))/SUMPRODUCT(--((REPRODUTIVO!$AL$2:$AL$374=$A29)*1),--((($B$5="(Todos)")+(REPRODUTIVO!$AP$2:$AP$374=$B$5)&gt;0)*1)),0)</f>
        <v>1</v>
      </c>
      <c r="H29" s="12">
        <f>IFERROR(SUMPRODUCT(--((REPRODUTIVO!$L$2:$L$374="PROTOCOLO IATF")*1),--((REPRODUTIVO!$AL$2:$AL$374=$A29)),--((($B$5="(Todos)")+(REPRODUTIVO!$AP$2:$AP$374=$B$5)&gt;0)))/SUMPRODUCT(--((REPRODUTIVO!$AL$2:$AL$374=$A29)*1),--((($B$5="(Todos)")+(REPRODUTIVO!$AP$2:$AP$374=$B$5)&gt;0)*1)),0)</f>
        <v>0</v>
      </c>
    </row>
    <row r="30" spans="1:8" ht="15" customHeight="1" x14ac:dyDescent="0.3">
      <c r="A30" s="8" t="s">
        <v>215</v>
      </c>
      <c r="B30" s="10">
        <f>SUMPRODUCT(--((REPRODUTIVO!$AL$2:$AL$374=$A30)*1),--((($B$5="(Todos)")+(REPRODUTIVO!$AP$2:$AP$374=$B$5)&gt;0)*1))</f>
        <v>6</v>
      </c>
      <c r="C30" s="12">
        <f>IFERROR(SUMPRODUCT(--((REPRODUTIVO!$AH$2:$AH$374)),--((REPRODUTIVO!$AL$2:$AL$374=$A30)),--((($B$5="(Todos)")+(REPRODUTIVO!$AP$2:$AP$374=$B$5)&gt;0)))/SUMPRODUCT(--((REPRODUTIVO!$AI$2:$AI$374)),--((REPRODUTIVO!$AL$2:$AL$374=$A30)),--((($B$5="(Todos)")+(REPRODUTIVO!$AP$2:$AP$374=$B$5)&gt;0))),0)</f>
        <v>0.5</v>
      </c>
      <c r="D30" s="12">
        <f>IFERROR(SUMPRODUCT(--((REPRODUTIVO!$AJ$2:$AJ$374)),--((REPRODUTIVO!$AL$2:$AL$374=$A30)),--((($B$5="(Todos)")+(REPRODUTIVO!$AP$2:$AP$374=$B$5)&gt;0)))/SUMPRODUCT(--((REPRODUTIVO!$AH$2:$AH$374)),--((REPRODUTIVO!$AL$2:$AL$374=$A30)),--((($B$5="(Todos)")+(REPRODUTIVO!$AP$2:$AP$374=$B$5)&gt;0))),0)</f>
        <v>0</v>
      </c>
      <c r="E30" s="12">
        <f>IFERROR(SUMPRODUCT(--((REPRODUTIVO!$K$2:$K$374="Cobertura")*1),--((REPRODUTIVO!$AL$2:$AL$374=$A30)),--((($B$5="(Todos)")+(REPRODUTIVO!$AP$2:$AP$374=$B$5)&gt;0)))/SUMPRODUCT(--((REPRODUTIVO!$AL$2:$AL$374=$A30)*1),--((($B$5="(Todos)")+(REPRODUTIVO!$AP$2:$AP$374=$B$5)&gt;0)*1)),0)</f>
        <v>0</v>
      </c>
      <c r="F30" s="12">
        <f>IFERROR(SUMPRODUCT(--((REPRODUTIVO!$K$2:$K$374="Inseminação Artificial")*1),--((REPRODUTIVO!$AL$2:$AL$374=$A30)),--((($B$5="(Todos)")+(REPRODUTIVO!$AP$2:$AP$374=$B$5)&gt;0)))/SUMPRODUCT(--((REPRODUTIVO!$AL$2:$AL$374=$A30)*1),--((($B$5="(Todos)")+(REPRODUTIVO!$AP$2:$AP$374=$B$5)&gt;0)*1)),0)</f>
        <v>1</v>
      </c>
      <c r="G30" s="12">
        <f>IFERROR(SUMPRODUCT(--((REPRODUTIVO!$L$2:$L$374="CIO NATURAL")*1),--((REPRODUTIVO!$AL$2:$AL$374=$A30)),--((($B$5="(Todos)")+(REPRODUTIVO!$AP$2:$AP$374=$B$5)&gt;0)))/SUMPRODUCT(--((REPRODUTIVO!$AL$2:$AL$374=$A30)*1),--((($B$5="(Todos)")+(REPRODUTIVO!$AP$2:$AP$374=$B$5)&gt;0)*1)),0)</f>
        <v>1</v>
      </c>
      <c r="H30" s="12">
        <f>IFERROR(SUMPRODUCT(--((REPRODUTIVO!$L$2:$L$374="PROTOCOLO IATF")*1),--((REPRODUTIVO!$AL$2:$AL$374=$A30)),--((($B$5="(Todos)")+(REPRODUTIVO!$AP$2:$AP$374=$B$5)&gt;0)))/SUMPRODUCT(--((REPRODUTIVO!$AL$2:$AL$374=$A30)*1),--((($B$5="(Todos)")+(REPRODUTIVO!$AP$2:$AP$374=$B$5)&gt;0)*1)),0)</f>
        <v>0</v>
      </c>
    </row>
    <row r="31" spans="1:8" ht="15" customHeight="1" x14ac:dyDescent="0.3">
      <c r="A31" s="8" t="s">
        <v>216</v>
      </c>
      <c r="B31" s="10">
        <f>SUMPRODUCT(--((REPRODUTIVO!$AL$2:$AL$374=$A31)*1),--((($B$5="(Todos)")+(REPRODUTIVO!$AP$2:$AP$374=$B$5)&gt;0)*1))</f>
        <v>9</v>
      </c>
      <c r="C31" s="12">
        <f>IFERROR(SUMPRODUCT(--((REPRODUTIVO!$AH$2:$AH$374)),--((REPRODUTIVO!$AL$2:$AL$374=$A31)),--((($B$5="(Todos)")+(REPRODUTIVO!$AP$2:$AP$374=$B$5)&gt;0)))/SUMPRODUCT(--((REPRODUTIVO!$AI$2:$AI$374)),--((REPRODUTIVO!$AL$2:$AL$374=$A31)),--((($B$5="(Todos)")+(REPRODUTIVO!$AP$2:$AP$374=$B$5)&gt;0))),0)</f>
        <v>0.44444444444444442</v>
      </c>
      <c r="D31" s="12">
        <f>IFERROR(SUMPRODUCT(--((REPRODUTIVO!$AJ$2:$AJ$374)),--((REPRODUTIVO!$AL$2:$AL$374=$A31)),--((($B$5="(Todos)")+(REPRODUTIVO!$AP$2:$AP$374=$B$5)&gt;0)))/SUMPRODUCT(--((REPRODUTIVO!$AH$2:$AH$374)),--((REPRODUTIVO!$AL$2:$AL$374=$A31)),--((($B$5="(Todos)")+(REPRODUTIVO!$AP$2:$AP$374=$B$5)&gt;0))),0)</f>
        <v>0</v>
      </c>
      <c r="E31" s="12">
        <f>IFERROR(SUMPRODUCT(--((REPRODUTIVO!$K$2:$K$374="Cobertura")*1),--((REPRODUTIVO!$AL$2:$AL$374=$A31)),--((($B$5="(Todos)")+(REPRODUTIVO!$AP$2:$AP$374=$B$5)&gt;0)))/SUMPRODUCT(--((REPRODUTIVO!$AL$2:$AL$374=$A31)*1),--((($B$5="(Todos)")+(REPRODUTIVO!$AP$2:$AP$374=$B$5)&gt;0)*1)),0)</f>
        <v>0.22222222222222221</v>
      </c>
      <c r="F31" s="12">
        <f>IFERROR(SUMPRODUCT(--((REPRODUTIVO!$K$2:$K$374="Inseminação Artificial")*1),--((REPRODUTIVO!$AL$2:$AL$374=$A31)),--((($B$5="(Todos)")+(REPRODUTIVO!$AP$2:$AP$374=$B$5)&gt;0)))/SUMPRODUCT(--((REPRODUTIVO!$AL$2:$AL$374=$A31)*1),--((($B$5="(Todos)")+(REPRODUTIVO!$AP$2:$AP$374=$B$5)&gt;0)*1)),0)</f>
        <v>0.77777777777777779</v>
      </c>
      <c r="G31" s="12">
        <f>IFERROR(SUMPRODUCT(--((REPRODUTIVO!$L$2:$L$374="CIO NATURAL")*1),--((REPRODUTIVO!$AL$2:$AL$374=$A31)),--((($B$5="(Todos)")+(REPRODUTIVO!$AP$2:$AP$374=$B$5)&gt;0)))/SUMPRODUCT(--((REPRODUTIVO!$AL$2:$AL$374=$A31)*1),--((($B$5="(Todos)")+(REPRODUTIVO!$AP$2:$AP$374=$B$5)&gt;0)*1)),0)</f>
        <v>1</v>
      </c>
      <c r="H31" s="12">
        <f>IFERROR(SUMPRODUCT(--((REPRODUTIVO!$L$2:$L$374="PROTOCOLO IATF")*1),--((REPRODUTIVO!$AL$2:$AL$374=$A31)),--((($B$5="(Todos)")+(REPRODUTIVO!$AP$2:$AP$374=$B$5)&gt;0)))/SUMPRODUCT(--((REPRODUTIVO!$AL$2:$AL$374=$A31)*1),--((($B$5="(Todos)")+(REPRODUTIVO!$AP$2:$AP$374=$B$5)&gt;0)*1)),0)</f>
        <v>0</v>
      </c>
    </row>
    <row r="32" spans="1:8" ht="15" customHeight="1" x14ac:dyDescent="0.3">
      <c r="A32" s="8" t="s">
        <v>217</v>
      </c>
      <c r="B32" s="10">
        <f>SUMPRODUCT(--((REPRODUTIVO!$AL$2:$AL$374=$A32)*1),--((($B$5="(Todos)")+(REPRODUTIVO!$AP$2:$AP$374=$B$5)&gt;0)*1))</f>
        <v>3</v>
      </c>
      <c r="C32" s="12">
        <f>IFERROR(SUMPRODUCT(--((REPRODUTIVO!$AH$2:$AH$374)),--((REPRODUTIVO!$AL$2:$AL$374=$A32)),--((($B$5="(Todos)")+(REPRODUTIVO!$AP$2:$AP$374=$B$5)&gt;0)))/SUMPRODUCT(--((REPRODUTIVO!$AI$2:$AI$374)),--((REPRODUTIVO!$AL$2:$AL$374=$A32)),--((($B$5="(Todos)")+(REPRODUTIVO!$AP$2:$AP$374=$B$5)&gt;0))),0)</f>
        <v>0</v>
      </c>
      <c r="D32" s="12">
        <f>IFERROR(SUMPRODUCT(--((REPRODUTIVO!$AJ$2:$AJ$374)),--((REPRODUTIVO!$AL$2:$AL$374=$A32)),--((($B$5="(Todos)")+(REPRODUTIVO!$AP$2:$AP$374=$B$5)&gt;0)))/SUMPRODUCT(--((REPRODUTIVO!$AH$2:$AH$374)),--((REPRODUTIVO!$AL$2:$AL$374=$A32)),--((($B$5="(Todos)")+(REPRODUTIVO!$AP$2:$AP$374=$B$5)&gt;0))),0)</f>
        <v>0</v>
      </c>
      <c r="E32" s="12">
        <f>IFERROR(SUMPRODUCT(--((REPRODUTIVO!$K$2:$K$374="Cobertura")*1),--((REPRODUTIVO!$AL$2:$AL$374=$A32)),--((($B$5="(Todos)")+(REPRODUTIVO!$AP$2:$AP$374=$B$5)&gt;0)))/SUMPRODUCT(--((REPRODUTIVO!$AL$2:$AL$374=$A32)*1),--((($B$5="(Todos)")+(REPRODUTIVO!$AP$2:$AP$374=$B$5)&gt;0)*1)),0)</f>
        <v>0</v>
      </c>
      <c r="F32" s="12">
        <f>IFERROR(SUMPRODUCT(--((REPRODUTIVO!$K$2:$K$374="Inseminação Artificial")*1),--((REPRODUTIVO!$AL$2:$AL$374=$A32)),--((($B$5="(Todos)")+(REPRODUTIVO!$AP$2:$AP$374=$B$5)&gt;0)))/SUMPRODUCT(--((REPRODUTIVO!$AL$2:$AL$374=$A32)*1),--((($B$5="(Todos)")+(REPRODUTIVO!$AP$2:$AP$374=$B$5)&gt;0)*1)),0)</f>
        <v>1</v>
      </c>
      <c r="G32" s="12">
        <f>IFERROR(SUMPRODUCT(--((REPRODUTIVO!$L$2:$L$374="CIO NATURAL")*1),--((REPRODUTIVO!$AL$2:$AL$374=$A32)),--((($B$5="(Todos)")+(REPRODUTIVO!$AP$2:$AP$374=$B$5)&gt;0)))/SUMPRODUCT(--((REPRODUTIVO!$AL$2:$AL$374=$A32)*1),--((($B$5="(Todos)")+(REPRODUTIVO!$AP$2:$AP$374=$B$5)&gt;0)*1)),0)</f>
        <v>1</v>
      </c>
      <c r="H32" s="12">
        <f>IFERROR(SUMPRODUCT(--((REPRODUTIVO!$L$2:$L$374="PROTOCOLO IATF")*1),--((REPRODUTIVO!$AL$2:$AL$374=$A32)),--((($B$5="(Todos)")+(REPRODUTIVO!$AP$2:$AP$374=$B$5)&gt;0)))/SUMPRODUCT(--((REPRODUTIVO!$AL$2:$AL$374=$A32)*1),--((($B$5="(Todos)")+(REPRODUTIVO!$AP$2:$AP$374=$B$5)&gt;0)*1)),0)</f>
        <v>0</v>
      </c>
    </row>
    <row r="33" spans="1:8" ht="15" customHeight="1" x14ac:dyDescent="0.3">
      <c r="A33" s="8" t="s">
        <v>218</v>
      </c>
      <c r="B33" s="10">
        <f>SUMPRODUCT(--((REPRODUTIVO!$AL$2:$AL$374=$A33)*1),--((($B$5="(Todos)")+(REPRODUTIVO!$AP$2:$AP$374=$B$5)&gt;0)*1))</f>
        <v>7</v>
      </c>
      <c r="C33" s="12">
        <f>IFERROR(SUMPRODUCT(--((REPRODUTIVO!$AH$2:$AH$374)),--((REPRODUTIVO!$AL$2:$AL$374=$A33)),--((($B$5="(Todos)")+(REPRODUTIVO!$AP$2:$AP$374=$B$5)&gt;0)))/SUMPRODUCT(--((REPRODUTIVO!$AI$2:$AI$374)),--((REPRODUTIVO!$AL$2:$AL$374=$A33)),--((($B$5="(Todos)")+(REPRODUTIVO!$AP$2:$AP$374=$B$5)&gt;0))),0)</f>
        <v>0.8571428571428571</v>
      </c>
      <c r="D33" s="12">
        <f>IFERROR(SUMPRODUCT(--((REPRODUTIVO!$AJ$2:$AJ$374)),--((REPRODUTIVO!$AL$2:$AL$374=$A33)),--((($B$5="(Todos)")+(REPRODUTIVO!$AP$2:$AP$374=$B$5)&gt;0)))/SUMPRODUCT(--((REPRODUTIVO!$AH$2:$AH$374)),--((REPRODUTIVO!$AL$2:$AL$374=$A33)),--((($B$5="(Todos)")+(REPRODUTIVO!$AP$2:$AP$374=$B$5)&gt;0))),0)</f>
        <v>0.33333333333333331</v>
      </c>
      <c r="E33" s="12">
        <f>IFERROR(SUMPRODUCT(--((REPRODUTIVO!$K$2:$K$374="Cobertura")*1),--((REPRODUTIVO!$AL$2:$AL$374=$A33)),--((($B$5="(Todos)")+(REPRODUTIVO!$AP$2:$AP$374=$B$5)&gt;0)))/SUMPRODUCT(--((REPRODUTIVO!$AL$2:$AL$374=$A33)*1),--((($B$5="(Todos)")+(REPRODUTIVO!$AP$2:$AP$374=$B$5)&gt;0)*1)),0)</f>
        <v>0.2857142857142857</v>
      </c>
      <c r="F33" s="12">
        <f>IFERROR(SUMPRODUCT(--((REPRODUTIVO!$K$2:$K$374="Inseminação Artificial")*1),--((REPRODUTIVO!$AL$2:$AL$374=$A33)),--((($B$5="(Todos)")+(REPRODUTIVO!$AP$2:$AP$374=$B$5)&gt;0)))/SUMPRODUCT(--((REPRODUTIVO!$AL$2:$AL$374=$A33)*1),--((($B$5="(Todos)")+(REPRODUTIVO!$AP$2:$AP$374=$B$5)&gt;0)*1)),0)</f>
        <v>0.7142857142857143</v>
      </c>
      <c r="G33" s="12">
        <f>IFERROR(SUMPRODUCT(--((REPRODUTIVO!$L$2:$L$374="CIO NATURAL")*1),--((REPRODUTIVO!$AL$2:$AL$374=$A33)),--((($B$5="(Todos)")+(REPRODUTIVO!$AP$2:$AP$374=$B$5)&gt;0)))/SUMPRODUCT(--((REPRODUTIVO!$AL$2:$AL$374=$A33)*1),--((($B$5="(Todos)")+(REPRODUTIVO!$AP$2:$AP$374=$B$5)&gt;0)*1)),0)</f>
        <v>1</v>
      </c>
      <c r="H33" s="12">
        <f>IFERROR(SUMPRODUCT(--((REPRODUTIVO!$L$2:$L$374="PROTOCOLO IATF")*1),--((REPRODUTIVO!$AL$2:$AL$374=$A33)),--((($B$5="(Todos)")+(REPRODUTIVO!$AP$2:$AP$374=$B$5)&gt;0)))/SUMPRODUCT(--((REPRODUTIVO!$AL$2:$AL$374=$A33)*1),--((($B$5="(Todos)")+(REPRODUTIVO!$AP$2:$AP$374=$B$5)&gt;0)*1)),0)</f>
        <v>0</v>
      </c>
    </row>
    <row r="34" spans="1:8" ht="15" customHeight="1" x14ac:dyDescent="0.3">
      <c r="A34" s="8" t="s">
        <v>219</v>
      </c>
      <c r="B34" s="10">
        <f>SUMPRODUCT(--((REPRODUTIVO!$AL$2:$AL$374=$A34)*1),--((($B$5="(Todos)")+(REPRODUTIVO!$AP$2:$AP$374=$B$5)&gt;0)*1))</f>
        <v>12</v>
      </c>
      <c r="C34" s="12">
        <f>IFERROR(SUMPRODUCT(--((REPRODUTIVO!$AH$2:$AH$374)),--((REPRODUTIVO!$AL$2:$AL$374=$A34)),--((($B$5="(Todos)")+(REPRODUTIVO!$AP$2:$AP$374=$B$5)&gt;0)))/SUMPRODUCT(--((REPRODUTIVO!$AI$2:$AI$374)),--((REPRODUTIVO!$AL$2:$AL$374=$A34)),--((($B$5="(Todos)")+(REPRODUTIVO!$AP$2:$AP$374=$B$5)&gt;0))),0)</f>
        <v>0.75</v>
      </c>
      <c r="D34" s="12">
        <f>IFERROR(SUMPRODUCT(--((REPRODUTIVO!$AJ$2:$AJ$374)),--((REPRODUTIVO!$AL$2:$AL$374=$A34)),--((($B$5="(Todos)")+(REPRODUTIVO!$AP$2:$AP$374=$B$5)&gt;0)))/SUMPRODUCT(--((REPRODUTIVO!$AH$2:$AH$374)),--((REPRODUTIVO!$AL$2:$AL$374=$A34)),--((($B$5="(Todos)")+(REPRODUTIVO!$AP$2:$AP$374=$B$5)&gt;0))),0)</f>
        <v>0.22222222222222221</v>
      </c>
      <c r="E34" s="12">
        <f>IFERROR(SUMPRODUCT(--((REPRODUTIVO!$K$2:$K$374="Cobertura")*1),--((REPRODUTIVO!$AL$2:$AL$374=$A34)),--((($B$5="(Todos)")+(REPRODUTIVO!$AP$2:$AP$374=$B$5)&gt;0)))/SUMPRODUCT(--((REPRODUTIVO!$AL$2:$AL$374=$A34)*1),--((($B$5="(Todos)")+(REPRODUTIVO!$AP$2:$AP$374=$B$5)&gt;0)*1)),0)</f>
        <v>0.5</v>
      </c>
      <c r="F34" s="12">
        <f>IFERROR(SUMPRODUCT(--((REPRODUTIVO!$K$2:$K$374="Inseminação Artificial")*1),--((REPRODUTIVO!$AL$2:$AL$374=$A34)),--((($B$5="(Todos)")+(REPRODUTIVO!$AP$2:$AP$374=$B$5)&gt;0)))/SUMPRODUCT(--((REPRODUTIVO!$AL$2:$AL$374=$A34)*1),--((($B$5="(Todos)")+(REPRODUTIVO!$AP$2:$AP$374=$B$5)&gt;0)*1)),0)</f>
        <v>0.5</v>
      </c>
      <c r="G34" s="12">
        <f>IFERROR(SUMPRODUCT(--((REPRODUTIVO!$L$2:$L$374="CIO NATURAL")*1),--((REPRODUTIVO!$AL$2:$AL$374=$A34)),--((($B$5="(Todos)")+(REPRODUTIVO!$AP$2:$AP$374=$B$5)&gt;0)))/SUMPRODUCT(--((REPRODUTIVO!$AL$2:$AL$374=$A34)*1),--((($B$5="(Todos)")+(REPRODUTIVO!$AP$2:$AP$374=$B$5)&gt;0)*1)),0)</f>
        <v>1</v>
      </c>
      <c r="H34" s="12">
        <f>IFERROR(SUMPRODUCT(--((REPRODUTIVO!$L$2:$L$374="PROTOCOLO IATF")*1),--((REPRODUTIVO!$AL$2:$AL$374=$A34)),--((($B$5="(Todos)")+(REPRODUTIVO!$AP$2:$AP$374=$B$5)&gt;0)))/SUMPRODUCT(--((REPRODUTIVO!$AL$2:$AL$374=$A34)*1),--((($B$5="(Todos)")+(REPRODUTIVO!$AP$2:$AP$374=$B$5)&gt;0)*1)),0)</f>
        <v>0</v>
      </c>
    </row>
    <row r="35" spans="1:8" ht="15" customHeight="1" x14ac:dyDescent="0.3">
      <c r="A35" s="8" t="s">
        <v>220</v>
      </c>
      <c r="B35" s="10">
        <f>SUMPRODUCT(--((REPRODUTIVO!$AL$2:$AL$374=$A35)*1),--((($B$5="(Todos)")+(REPRODUTIVO!$AP$2:$AP$374=$B$5)&gt;0)*1))</f>
        <v>4</v>
      </c>
      <c r="C35" s="12">
        <f>IFERROR(SUMPRODUCT(--((REPRODUTIVO!$AH$2:$AH$374)),--((REPRODUTIVO!$AL$2:$AL$374=$A35)),--((($B$5="(Todos)")+(REPRODUTIVO!$AP$2:$AP$374=$B$5)&gt;0)))/SUMPRODUCT(--((REPRODUTIVO!$AI$2:$AI$374)),--((REPRODUTIVO!$AL$2:$AL$374=$A35)),--((($B$5="(Todos)")+(REPRODUTIVO!$AP$2:$AP$374=$B$5)&gt;0))),0)</f>
        <v>0.75</v>
      </c>
      <c r="D35" s="12">
        <f>IFERROR(SUMPRODUCT(--((REPRODUTIVO!$AJ$2:$AJ$374)),--((REPRODUTIVO!$AL$2:$AL$374=$A35)),--((($B$5="(Todos)")+(REPRODUTIVO!$AP$2:$AP$374=$B$5)&gt;0)))/SUMPRODUCT(--((REPRODUTIVO!$AH$2:$AH$374)),--((REPRODUTIVO!$AL$2:$AL$374=$A35)),--((($B$5="(Todos)")+(REPRODUTIVO!$AP$2:$AP$374=$B$5)&gt;0))),0)</f>
        <v>0</v>
      </c>
      <c r="E35" s="12">
        <f>IFERROR(SUMPRODUCT(--((REPRODUTIVO!$K$2:$K$374="Cobertura")*1),--((REPRODUTIVO!$AL$2:$AL$374=$A35)),--((($B$5="(Todos)")+(REPRODUTIVO!$AP$2:$AP$374=$B$5)&gt;0)))/SUMPRODUCT(--((REPRODUTIVO!$AL$2:$AL$374=$A35)*1),--((($B$5="(Todos)")+(REPRODUTIVO!$AP$2:$AP$374=$B$5)&gt;0)*1)),0)</f>
        <v>0.25</v>
      </c>
      <c r="F35" s="12">
        <f>IFERROR(SUMPRODUCT(--((REPRODUTIVO!$K$2:$K$374="Inseminação Artificial")*1),--((REPRODUTIVO!$AL$2:$AL$374=$A35)),--((($B$5="(Todos)")+(REPRODUTIVO!$AP$2:$AP$374=$B$5)&gt;0)))/SUMPRODUCT(--((REPRODUTIVO!$AL$2:$AL$374=$A35)*1),--((($B$5="(Todos)")+(REPRODUTIVO!$AP$2:$AP$374=$B$5)&gt;0)*1)),0)</f>
        <v>0.75</v>
      </c>
      <c r="G35" s="12">
        <f>IFERROR(SUMPRODUCT(--((REPRODUTIVO!$L$2:$L$374="CIO NATURAL")*1),--((REPRODUTIVO!$AL$2:$AL$374=$A35)),--((($B$5="(Todos)")+(REPRODUTIVO!$AP$2:$AP$374=$B$5)&gt;0)))/SUMPRODUCT(--((REPRODUTIVO!$AL$2:$AL$374=$A35)*1),--((($B$5="(Todos)")+(REPRODUTIVO!$AP$2:$AP$374=$B$5)&gt;0)*1)),0)</f>
        <v>1</v>
      </c>
      <c r="H35" s="12">
        <f>IFERROR(SUMPRODUCT(--((REPRODUTIVO!$L$2:$L$374="PROTOCOLO IATF")*1),--((REPRODUTIVO!$AL$2:$AL$374=$A35)),--((($B$5="(Todos)")+(REPRODUTIVO!$AP$2:$AP$374=$B$5)&gt;0)))/SUMPRODUCT(--((REPRODUTIVO!$AL$2:$AL$374=$A35)*1),--((($B$5="(Todos)")+(REPRODUTIVO!$AP$2:$AP$374=$B$5)&gt;0)*1)),0)</f>
        <v>0</v>
      </c>
    </row>
    <row r="36" spans="1:8" ht="15" customHeight="1" x14ac:dyDescent="0.3">
      <c r="A36" s="8" t="s">
        <v>221</v>
      </c>
      <c r="B36" s="10">
        <f>SUMPRODUCT(--((REPRODUTIVO!$AL$2:$AL$374=$A36)*1),--((($B$5="(Todos)")+(REPRODUTIVO!$AP$2:$AP$374=$B$5)&gt;0)*1))</f>
        <v>4</v>
      </c>
      <c r="C36" s="12">
        <f>IFERROR(SUMPRODUCT(--((REPRODUTIVO!$AH$2:$AH$374)),--((REPRODUTIVO!$AL$2:$AL$374=$A36)),--((($B$5="(Todos)")+(REPRODUTIVO!$AP$2:$AP$374=$B$5)&gt;0)))/SUMPRODUCT(--((REPRODUTIVO!$AI$2:$AI$374)),--((REPRODUTIVO!$AL$2:$AL$374=$A36)),--((($B$5="(Todos)")+(REPRODUTIVO!$AP$2:$AP$374=$B$5)&gt;0))),0)</f>
        <v>0.5</v>
      </c>
      <c r="D36" s="12">
        <f>IFERROR(SUMPRODUCT(--((REPRODUTIVO!$AJ$2:$AJ$374)),--((REPRODUTIVO!$AL$2:$AL$374=$A36)),--((($B$5="(Todos)")+(REPRODUTIVO!$AP$2:$AP$374=$B$5)&gt;0)))/SUMPRODUCT(--((REPRODUTIVO!$AH$2:$AH$374)),--((REPRODUTIVO!$AL$2:$AL$374=$A36)),--((($B$5="(Todos)")+(REPRODUTIVO!$AP$2:$AP$374=$B$5)&gt;0))),0)</f>
        <v>0</v>
      </c>
      <c r="E36" s="12">
        <f>IFERROR(SUMPRODUCT(--((REPRODUTIVO!$K$2:$K$374="Cobertura")*1),--((REPRODUTIVO!$AL$2:$AL$374=$A36)),--((($B$5="(Todos)")+(REPRODUTIVO!$AP$2:$AP$374=$B$5)&gt;0)))/SUMPRODUCT(--((REPRODUTIVO!$AL$2:$AL$374=$A36)*1),--((($B$5="(Todos)")+(REPRODUTIVO!$AP$2:$AP$374=$B$5)&gt;0)*1)),0)</f>
        <v>0.25</v>
      </c>
      <c r="F36" s="12">
        <f>IFERROR(SUMPRODUCT(--((REPRODUTIVO!$K$2:$K$374="Inseminação Artificial")*1),--((REPRODUTIVO!$AL$2:$AL$374=$A36)),--((($B$5="(Todos)")+(REPRODUTIVO!$AP$2:$AP$374=$B$5)&gt;0)))/SUMPRODUCT(--((REPRODUTIVO!$AL$2:$AL$374=$A36)*1),--((($B$5="(Todos)")+(REPRODUTIVO!$AP$2:$AP$374=$B$5)&gt;0)*1)),0)</f>
        <v>0.75</v>
      </c>
      <c r="G36" s="12">
        <f>IFERROR(SUMPRODUCT(--((REPRODUTIVO!$L$2:$L$374="CIO NATURAL")*1),--((REPRODUTIVO!$AL$2:$AL$374=$A36)),--((($B$5="(Todos)")+(REPRODUTIVO!$AP$2:$AP$374=$B$5)&gt;0)))/SUMPRODUCT(--((REPRODUTIVO!$AL$2:$AL$374=$A36)*1),--((($B$5="(Todos)")+(REPRODUTIVO!$AP$2:$AP$374=$B$5)&gt;0)*1)),0)</f>
        <v>1</v>
      </c>
      <c r="H36" s="12">
        <f>IFERROR(SUMPRODUCT(--((REPRODUTIVO!$L$2:$L$374="PROTOCOLO IATF")*1),--((REPRODUTIVO!$AL$2:$AL$374=$A36)),--((($B$5="(Todos)")+(REPRODUTIVO!$AP$2:$AP$374=$B$5)&gt;0)))/SUMPRODUCT(--((REPRODUTIVO!$AL$2:$AL$374=$A36)*1),--((($B$5="(Todos)")+(REPRODUTIVO!$AP$2:$AP$374=$B$5)&gt;0)*1)),0)</f>
        <v>0</v>
      </c>
    </row>
    <row r="37" spans="1:8" ht="15" customHeight="1" x14ac:dyDescent="0.3">
      <c r="A37" s="8" t="s">
        <v>222</v>
      </c>
      <c r="B37" s="10">
        <f>SUMPRODUCT(--((REPRODUTIVO!$AL$2:$AL$374=$A37)*1),--((($B$5="(Todos)")+(REPRODUTIVO!$AP$2:$AP$374=$B$5)&gt;0)*1))</f>
        <v>11</v>
      </c>
      <c r="C37" s="12">
        <f>IFERROR(SUMPRODUCT(--((REPRODUTIVO!$AH$2:$AH$374)),--((REPRODUTIVO!$AL$2:$AL$374=$A37)),--((($B$5="(Todos)")+(REPRODUTIVO!$AP$2:$AP$374=$B$5)&gt;0)))/SUMPRODUCT(--((REPRODUTIVO!$AI$2:$AI$374)),--((REPRODUTIVO!$AL$2:$AL$374=$A37)),--((($B$5="(Todos)")+(REPRODUTIVO!$AP$2:$AP$374=$B$5)&gt;0))),0)</f>
        <v>0.63636363636363635</v>
      </c>
      <c r="D37" s="12">
        <f>IFERROR(SUMPRODUCT(--((REPRODUTIVO!$AJ$2:$AJ$374)),--((REPRODUTIVO!$AL$2:$AL$374=$A37)),--((($B$5="(Todos)")+(REPRODUTIVO!$AP$2:$AP$374=$B$5)&gt;0)))/SUMPRODUCT(--((REPRODUTIVO!$AH$2:$AH$374)),--((REPRODUTIVO!$AL$2:$AL$374=$A37)),--((($B$5="(Todos)")+(REPRODUTIVO!$AP$2:$AP$374=$B$5)&gt;0))),0)</f>
        <v>0.2857142857142857</v>
      </c>
      <c r="E37" s="12">
        <f>IFERROR(SUMPRODUCT(--((REPRODUTIVO!$K$2:$K$374="Cobertura")*1),--((REPRODUTIVO!$AL$2:$AL$374=$A37)),--((($B$5="(Todos)")+(REPRODUTIVO!$AP$2:$AP$374=$B$5)&gt;0)))/SUMPRODUCT(--((REPRODUTIVO!$AL$2:$AL$374=$A37)*1),--((($B$5="(Todos)")+(REPRODUTIVO!$AP$2:$AP$374=$B$5)&gt;0)*1)),0)</f>
        <v>9.0909090909090912E-2</v>
      </c>
      <c r="F37" s="12">
        <f>IFERROR(SUMPRODUCT(--((REPRODUTIVO!$K$2:$K$374="Inseminação Artificial")*1),--((REPRODUTIVO!$AL$2:$AL$374=$A37)),--((($B$5="(Todos)")+(REPRODUTIVO!$AP$2:$AP$374=$B$5)&gt;0)))/SUMPRODUCT(--((REPRODUTIVO!$AL$2:$AL$374=$A37)*1),--((($B$5="(Todos)")+(REPRODUTIVO!$AP$2:$AP$374=$B$5)&gt;0)*1)),0)</f>
        <v>0.90909090909090906</v>
      </c>
      <c r="G37" s="12">
        <f>IFERROR(SUMPRODUCT(--((REPRODUTIVO!$L$2:$L$374="CIO NATURAL")*1),--((REPRODUTIVO!$AL$2:$AL$374=$A37)),--((($B$5="(Todos)")+(REPRODUTIVO!$AP$2:$AP$374=$B$5)&gt;0)))/SUMPRODUCT(--((REPRODUTIVO!$AL$2:$AL$374=$A37)*1),--((($B$5="(Todos)")+(REPRODUTIVO!$AP$2:$AP$374=$B$5)&gt;0)*1)),0)</f>
        <v>1</v>
      </c>
      <c r="H37" s="12">
        <f>IFERROR(SUMPRODUCT(--((REPRODUTIVO!$L$2:$L$374="PROTOCOLO IATF")*1),--((REPRODUTIVO!$AL$2:$AL$374=$A37)),--((($B$5="(Todos)")+(REPRODUTIVO!$AP$2:$AP$374=$B$5)&gt;0)))/SUMPRODUCT(--((REPRODUTIVO!$AL$2:$AL$374=$A37)*1),--((($B$5="(Todos)")+(REPRODUTIVO!$AP$2:$AP$374=$B$5)&gt;0)*1)),0)</f>
        <v>0</v>
      </c>
    </row>
    <row r="38" spans="1:8" ht="15" customHeight="1" x14ac:dyDescent="0.3">
      <c r="A38" s="8" t="s">
        <v>223</v>
      </c>
      <c r="B38" s="10">
        <f>SUMPRODUCT(--((REPRODUTIVO!$AL$2:$AL$374=$A38)*1),--((($B$5="(Todos)")+(REPRODUTIVO!$AP$2:$AP$374=$B$5)&gt;0)*1))</f>
        <v>3</v>
      </c>
      <c r="C38" s="12">
        <f>IFERROR(SUMPRODUCT(--((REPRODUTIVO!$AH$2:$AH$374)),--((REPRODUTIVO!$AL$2:$AL$374=$A38)),--((($B$5="(Todos)")+(REPRODUTIVO!$AP$2:$AP$374=$B$5)&gt;0)))/SUMPRODUCT(--((REPRODUTIVO!$AI$2:$AI$374)),--((REPRODUTIVO!$AL$2:$AL$374=$A38)),--((($B$5="(Todos)")+(REPRODUTIVO!$AP$2:$AP$374=$B$5)&gt;0))),0)</f>
        <v>1</v>
      </c>
      <c r="D38" s="12">
        <f>IFERROR(SUMPRODUCT(--((REPRODUTIVO!$AJ$2:$AJ$374)),--((REPRODUTIVO!$AL$2:$AL$374=$A38)),--((($B$5="(Todos)")+(REPRODUTIVO!$AP$2:$AP$374=$B$5)&gt;0)))/SUMPRODUCT(--((REPRODUTIVO!$AH$2:$AH$374)),--((REPRODUTIVO!$AL$2:$AL$374=$A38)),--((($B$5="(Todos)")+(REPRODUTIVO!$AP$2:$AP$374=$B$5)&gt;0))),0)</f>
        <v>0</v>
      </c>
      <c r="E38" s="12">
        <f>IFERROR(SUMPRODUCT(--((REPRODUTIVO!$K$2:$K$374="Cobertura")*1),--((REPRODUTIVO!$AL$2:$AL$374=$A38)),--((($B$5="(Todos)")+(REPRODUTIVO!$AP$2:$AP$374=$B$5)&gt;0)))/SUMPRODUCT(--((REPRODUTIVO!$AL$2:$AL$374=$A38)*1),--((($B$5="(Todos)")+(REPRODUTIVO!$AP$2:$AP$374=$B$5)&gt;0)*1)),0)</f>
        <v>0</v>
      </c>
      <c r="F38" s="12">
        <f>IFERROR(SUMPRODUCT(--((REPRODUTIVO!$K$2:$K$374="Inseminação Artificial")*1),--((REPRODUTIVO!$AL$2:$AL$374=$A38)),--((($B$5="(Todos)")+(REPRODUTIVO!$AP$2:$AP$374=$B$5)&gt;0)))/SUMPRODUCT(--((REPRODUTIVO!$AL$2:$AL$374=$A38)*1),--((($B$5="(Todos)")+(REPRODUTIVO!$AP$2:$AP$374=$B$5)&gt;0)*1)),0)</f>
        <v>1</v>
      </c>
      <c r="G38" s="12">
        <f>IFERROR(SUMPRODUCT(--((REPRODUTIVO!$L$2:$L$374="CIO NATURAL")*1),--((REPRODUTIVO!$AL$2:$AL$374=$A38)),--((($B$5="(Todos)")+(REPRODUTIVO!$AP$2:$AP$374=$B$5)&gt;0)))/SUMPRODUCT(--((REPRODUTIVO!$AL$2:$AL$374=$A38)*1),--((($B$5="(Todos)")+(REPRODUTIVO!$AP$2:$AP$374=$B$5)&gt;0)*1)),0)</f>
        <v>0.66666666666666663</v>
      </c>
      <c r="H38" s="12">
        <f>IFERROR(SUMPRODUCT(--((REPRODUTIVO!$L$2:$L$374="PROTOCOLO IATF")*1),--((REPRODUTIVO!$AL$2:$AL$374=$A38)),--((($B$5="(Todos)")+(REPRODUTIVO!$AP$2:$AP$374=$B$5)&gt;0)))/SUMPRODUCT(--((REPRODUTIVO!$AL$2:$AL$374=$A38)*1),--((($B$5="(Todos)")+(REPRODUTIVO!$AP$2:$AP$374=$B$5)&gt;0)*1)),0)</f>
        <v>0.33333333333333331</v>
      </c>
    </row>
    <row r="39" spans="1:8" ht="15" customHeight="1" x14ac:dyDescent="0.3">
      <c r="A39" s="8" t="s">
        <v>224</v>
      </c>
      <c r="B39" s="10">
        <f>SUMPRODUCT(--((REPRODUTIVO!$AL$2:$AL$374=$A39)*1),--((($B$5="(Todos)")+(REPRODUTIVO!$AP$2:$AP$374=$B$5)&gt;0)*1))</f>
        <v>8</v>
      </c>
      <c r="C39" s="12">
        <f>IFERROR(SUMPRODUCT(--((REPRODUTIVO!$AH$2:$AH$374)),--((REPRODUTIVO!$AL$2:$AL$374=$A39)),--((($B$5="(Todos)")+(REPRODUTIVO!$AP$2:$AP$374=$B$5)&gt;0)))/SUMPRODUCT(--((REPRODUTIVO!$AI$2:$AI$374)),--((REPRODUTIVO!$AL$2:$AL$374=$A39)),--((($B$5="(Todos)")+(REPRODUTIVO!$AP$2:$AP$374=$B$5)&gt;0))),0)</f>
        <v>0.625</v>
      </c>
      <c r="D39" s="12">
        <f>IFERROR(SUMPRODUCT(--((REPRODUTIVO!$AJ$2:$AJ$374)),--((REPRODUTIVO!$AL$2:$AL$374=$A39)),--((($B$5="(Todos)")+(REPRODUTIVO!$AP$2:$AP$374=$B$5)&gt;0)))/SUMPRODUCT(--((REPRODUTIVO!$AH$2:$AH$374)),--((REPRODUTIVO!$AL$2:$AL$374=$A39)),--((($B$5="(Todos)")+(REPRODUTIVO!$AP$2:$AP$374=$B$5)&gt;0))),0)</f>
        <v>0</v>
      </c>
      <c r="E39" s="12">
        <f>IFERROR(SUMPRODUCT(--((REPRODUTIVO!$K$2:$K$374="Cobertura")*1),--((REPRODUTIVO!$AL$2:$AL$374=$A39)),--((($B$5="(Todos)")+(REPRODUTIVO!$AP$2:$AP$374=$B$5)&gt;0)))/SUMPRODUCT(--((REPRODUTIVO!$AL$2:$AL$374=$A39)*1),--((($B$5="(Todos)")+(REPRODUTIVO!$AP$2:$AP$374=$B$5)&gt;0)*1)),0)</f>
        <v>0.125</v>
      </c>
      <c r="F39" s="12">
        <f>IFERROR(SUMPRODUCT(--((REPRODUTIVO!$K$2:$K$374="Inseminação Artificial")*1),--((REPRODUTIVO!$AL$2:$AL$374=$A39)),--((($B$5="(Todos)")+(REPRODUTIVO!$AP$2:$AP$374=$B$5)&gt;0)))/SUMPRODUCT(--((REPRODUTIVO!$AL$2:$AL$374=$A39)*1),--((($B$5="(Todos)")+(REPRODUTIVO!$AP$2:$AP$374=$B$5)&gt;0)*1)),0)</f>
        <v>0.875</v>
      </c>
      <c r="G39" s="12">
        <f>IFERROR(SUMPRODUCT(--((REPRODUTIVO!$L$2:$L$374="CIO NATURAL")*1),--((REPRODUTIVO!$AL$2:$AL$374=$A39)),--((($B$5="(Todos)")+(REPRODUTIVO!$AP$2:$AP$374=$B$5)&gt;0)))/SUMPRODUCT(--((REPRODUTIVO!$AL$2:$AL$374=$A39)*1),--((($B$5="(Todos)")+(REPRODUTIVO!$AP$2:$AP$374=$B$5)&gt;0)*1)),0)</f>
        <v>0.5</v>
      </c>
      <c r="H39" s="12">
        <f>IFERROR(SUMPRODUCT(--((REPRODUTIVO!$L$2:$L$374="PROTOCOLO IATF")*1),--((REPRODUTIVO!$AL$2:$AL$374=$A39)),--((($B$5="(Todos)")+(REPRODUTIVO!$AP$2:$AP$374=$B$5)&gt;0)))/SUMPRODUCT(--((REPRODUTIVO!$AL$2:$AL$374=$A39)*1),--((($B$5="(Todos)")+(REPRODUTIVO!$AP$2:$AP$374=$B$5)&gt;0)*1)),0)</f>
        <v>0.5</v>
      </c>
    </row>
    <row r="40" spans="1:8" ht="15" customHeight="1" x14ac:dyDescent="0.3">
      <c r="A40" s="8" t="s">
        <v>225</v>
      </c>
      <c r="B40" s="10">
        <f>SUMPRODUCT(--((REPRODUTIVO!$AL$2:$AL$374=$A40)*1),--((($B$5="(Todos)")+(REPRODUTIVO!$AP$2:$AP$374=$B$5)&gt;0)*1))</f>
        <v>13</v>
      </c>
      <c r="C40" s="12">
        <f>IFERROR(SUMPRODUCT(--((REPRODUTIVO!$AH$2:$AH$374)),--((REPRODUTIVO!$AL$2:$AL$374=$A40)),--((($B$5="(Todos)")+(REPRODUTIVO!$AP$2:$AP$374=$B$5)&gt;0)))/SUMPRODUCT(--((REPRODUTIVO!$AI$2:$AI$374)),--((REPRODUTIVO!$AL$2:$AL$374=$A40)),--((($B$5="(Todos)")+(REPRODUTIVO!$AP$2:$AP$374=$B$5)&gt;0))),0)</f>
        <v>0.53846153846153844</v>
      </c>
      <c r="D40" s="12">
        <f>IFERROR(SUMPRODUCT(--((REPRODUTIVO!$AJ$2:$AJ$374)),--((REPRODUTIVO!$AL$2:$AL$374=$A40)),--((($B$5="(Todos)")+(REPRODUTIVO!$AP$2:$AP$374=$B$5)&gt;0)))/SUMPRODUCT(--((REPRODUTIVO!$AH$2:$AH$374)),--((REPRODUTIVO!$AL$2:$AL$374=$A40)),--((($B$5="(Todos)")+(REPRODUTIVO!$AP$2:$AP$374=$B$5)&gt;0))),0)</f>
        <v>0.14285714285714285</v>
      </c>
      <c r="E40" s="12">
        <f>IFERROR(SUMPRODUCT(--((REPRODUTIVO!$K$2:$K$374="Cobertura")*1),--((REPRODUTIVO!$AL$2:$AL$374=$A40)),--((($B$5="(Todos)")+(REPRODUTIVO!$AP$2:$AP$374=$B$5)&gt;0)))/SUMPRODUCT(--((REPRODUTIVO!$AL$2:$AL$374=$A40)*1),--((($B$5="(Todos)")+(REPRODUTIVO!$AP$2:$AP$374=$B$5)&gt;0)*1)),0)</f>
        <v>0</v>
      </c>
      <c r="F40" s="12">
        <f>IFERROR(SUMPRODUCT(--((REPRODUTIVO!$K$2:$K$374="Inseminação Artificial")*1),--((REPRODUTIVO!$AL$2:$AL$374=$A40)),--((($B$5="(Todos)")+(REPRODUTIVO!$AP$2:$AP$374=$B$5)&gt;0)))/SUMPRODUCT(--((REPRODUTIVO!$AL$2:$AL$374=$A40)*1),--((($B$5="(Todos)")+(REPRODUTIVO!$AP$2:$AP$374=$B$5)&gt;0)*1)),0)</f>
        <v>1</v>
      </c>
      <c r="G40" s="12">
        <f>IFERROR(SUMPRODUCT(--((REPRODUTIVO!$L$2:$L$374="CIO NATURAL")*1),--((REPRODUTIVO!$AL$2:$AL$374=$A40)),--((($B$5="(Todos)")+(REPRODUTIVO!$AP$2:$AP$374=$B$5)&gt;0)))/SUMPRODUCT(--((REPRODUTIVO!$AL$2:$AL$374=$A40)*1),--((($B$5="(Todos)")+(REPRODUTIVO!$AP$2:$AP$374=$B$5)&gt;0)*1)),0)</f>
        <v>0.69230769230769229</v>
      </c>
      <c r="H40" s="12">
        <f>IFERROR(SUMPRODUCT(--((REPRODUTIVO!$L$2:$L$374="PROTOCOLO IATF")*1),--((REPRODUTIVO!$AL$2:$AL$374=$A40)),--((($B$5="(Todos)")+(REPRODUTIVO!$AP$2:$AP$374=$B$5)&gt;0)))/SUMPRODUCT(--((REPRODUTIVO!$AL$2:$AL$374=$A40)*1),--((($B$5="(Todos)")+(REPRODUTIVO!$AP$2:$AP$374=$B$5)&gt;0)*1)),0)</f>
        <v>0.30769230769230771</v>
      </c>
    </row>
    <row r="41" spans="1:8" ht="15" customHeight="1" x14ac:dyDescent="0.3">
      <c r="A41" s="8" t="s">
        <v>226</v>
      </c>
      <c r="B41" s="10">
        <f>SUMPRODUCT(--((REPRODUTIVO!$AL$2:$AL$374=$A41)*1),--((($B$5="(Todos)")+(REPRODUTIVO!$AP$2:$AP$374=$B$5)&gt;0)*1))</f>
        <v>15</v>
      </c>
      <c r="C41" s="12">
        <f>IFERROR(SUMPRODUCT(--((REPRODUTIVO!$AH$2:$AH$374)),--((REPRODUTIVO!$AL$2:$AL$374=$A41)),--((($B$5="(Todos)")+(REPRODUTIVO!$AP$2:$AP$374=$B$5)&gt;0)))/SUMPRODUCT(--((REPRODUTIVO!$AI$2:$AI$374)),--((REPRODUTIVO!$AL$2:$AL$374=$A41)),--((($B$5="(Todos)")+(REPRODUTIVO!$AP$2:$AP$374=$B$5)&gt;0))),0)</f>
        <v>0.46666666666666667</v>
      </c>
      <c r="D41" s="12">
        <f>IFERROR(SUMPRODUCT(--((REPRODUTIVO!$AJ$2:$AJ$374)),--((REPRODUTIVO!$AL$2:$AL$374=$A41)),--((($B$5="(Todos)")+(REPRODUTIVO!$AP$2:$AP$374=$B$5)&gt;0)))/SUMPRODUCT(--((REPRODUTIVO!$AH$2:$AH$374)),--((REPRODUTIVO!$AL$2:$AL$374=$A41)),--((($B$5="(Todos)")+(REPRODUTIVO!$AP$2:$AP$374=$B$5)&gt;0))),0)</f>
        <v>0.2857142857142857</v>
      </c>
      <c r="E41" s="12">
        <f>IFERROR(SUMPRODUCT(--((REPRODUTIVO!$K$2:$K$374="Cobertura")*1),--((REPRODUTIVO!$AL$2:$AL$374=$A41)),--((($B$5="(Todos)")+(REPRODUTIVO!$AP$2:$AP$374=$B$5)&gt;0)))/SUMPRODUCT(--((REPRODUTIVO!$AL$2:$AL$374=$A41)*1),--((($B$5="(Todos)")+(REPRODUTIVO!$AP$2:$AP$374=$B$5)&gt;0)*1)),0)</f>
        <v>6.6666666666666666E-2</v>
      </c>
      <c r="F41" s="12">
        <f>IFERROR(SUMPRODUCT(--((REPRODUTIVO!$K$2:$K$374="Inseminação Artificial")*1),--((REPRODUTIVO!$AL$2:$AL$374=$A41)),--((($B$5="(Todos)")+(REPRODUTIVO!$AP$2:$AP$374=$B$5)&gt;0)))/SUMPRODUCT(--((REPRODUTIVO!$AL$2:$AL$374=$A41)*1),--((($B$5="(Todos)")+(REPRODUTIVO!$AP$2:$AP$374=$B$5)&gt;0)*1)),0)</f>
        <v>0.93333333333333335</v>
      </c>
      <c r="G41" s="12">
        <f>IFERROR(SUMPRODUCT(--((REPRODUTIVO!$L$2:$L$374="CIO NATURAL")*1),--((REPRODUTIVO!$AL$2:$AL$374=$A41)),--((($B$5="(Todos)")+(REPRODUTIVO!$AP$2:$AP$374=$B$5)&gt;0)))/SUMPRODUCT(--((REPRODUTIVO!$AL$2:$AL$374=$A41)*1),--((($B$5="(Todos)")+(REPRODUTIVO!$AP$2:$AP$374=$B$5)&gt;0)*1)),0)</f>
        <v>0.8666666666666667</v>
      </c>
      <c r="H41" s="12">
        <f>IFERROR(SUMPRODUCT(--((REPRODUTIVO!$L$2:$L$374="PROTOCOLO IATF")*1),--((REPRODUTIVO!$AL$2:$AL$374=$A41)),--((($B$5="(Todos)")+(REPRODUTIVO!$AP$2:$AP$374=$B$5)&gt;0)))/SUMPRODUCT(--((REPRODUTIVO!$AL$2:$AL$374=$A41)*1),--((($B$5="(Todos)")+(REPRODUTIVO!$AP$2:$AP$374=$B$5)&gt;0)*1)),0)</f>
        <v>0.13333333333333333</v>
      </c>
    </row>
    <row r="42" spans="1:8" ht="15" customHeight="1" x14ac:dyDescent="0.3">
      <c r="A42" s="8" t="s">
        <v>227</v>
      </c>
      <c r="B42" s="10">
        <f>SUMPRODUCT(--((REPRODUTIVO!$AL$2:$AL$374=$A42)*1),--((($B$5="(Todos)")+(REPRODUTIVO!$AP$2:$AP$374=$B$5)&gt;0)*1))</f>
        <v>17</v>
      </c>
      <c r="C42" s="12">
        <f>IFERROR(SUMPRODUCT(--((REPRODUTIVO!$AH$2:$AH$374)),--((REPRODUTIVO!$AL$2:$AL$374=$A42)),--((($B$5="(Todos)")+(REPRODUTIVO!$AP$2:$AP$374=$B$5)&gt;0)))/SUMPRODUCT(--((REPRODUTIVO!$AI$2:$AI$374)),--((REPRODUTIVO!$AL$2:$AL$374=$A42)),--((($B$5="(Todos)")+(REPRODUTIVO!$AP$2:$AP$374=$B$5)&gt;0))),0)</f>
        <v>0.375</v>
      </c>
      <c r="D42" s="12">
        <f>IFERROR(SUMPRODUCT(--((REPRODUTIVO!$AJ$2:$AJ$374)),--((REPRODUTIVO!$AL$2:$AL$374=$A42)),--((($B$5="(Todos)")+(REPRODUTIVO!$AP$2:$AP$374=$B$5)&gt;0)))/SUMPRODUCT(--((REPRODUTIVO!$AH$2:$AH$374)),--((REPRODUTIVO!$AL$2:$AL$374=$A42)),--((($B$5="(Todos)")+(REPRODUTIVO!$AP$2:$AP$374=$B$5)&gt;0))),0)</f>
        <v>0.16666666666666666</v>
      </c>
      <c r="E42" s="12">
        <f>IFERROR(SUMPRODUCT(--((REPRODUTIVO!$K$2:$K$374="Cobertura")*1),--((REPRODUTIVO!$AL$2:$AL$374=$A42)),--((($B$5="(Todos)")+(REPRODUTIVO!$AP$2:$AP$374=$B$5)&gt;0)))/SUMPRODUCT(--((REPRODUTIVO!$AL$2:$AL$374=$A42)*1),--((($B$5="(Todos)")+(REPRODUTIVO!$AP$2:$AP$374=$B$5)&gt;0)*1)),0)</f>
        <v>5.8823529411764705E-2</v>
      </c>
      <c r="F42" s="12">
        <f>IFERROR(SUMPRODUCT(--((REPRODUTIVO!$K$2:$K$374="Inseminação Artificial")*1),--((REPRODUTIVO!$AL$2:$AL$374=$A42)),--((($B$5="(Todos)")+(REPRODUTIVO!$AP$2:$AP$374=$B$5)&gt;0)))/SUMPRODUCT(--((REPRODUTIVO!$AL$2:$AL$374=$A42)*1),--((($B$5="(Todos)")+(REPRODUTIVO!$AP$2:$AP$374=$B$5)&gt;0)*1)),0)</f>
        <v>0.94117647058823528</v>
      </c>
      <c r="G42" s="12">
        <f>IFERROR(SUMPRODUCT(--((REPRODUTIVO!$L$2:$L$374="CIO NATURAL")*1),--((REPRODUTIVO!$AL$2:$AL$374=$A42)),--((($B$5="(Todos)")+(REPRODUTIVO!$AP$2:$AP$374=$B$5)&gt;0)))/SUMPRODUCT(--((REPRODUTIVO!$AL$2:$AL$374=$A42)*1),--((($B$5="(Todos)")+(REPRODUTIVO!$AP$2:$AP$374=$B$5)&gt;0)*1)),0)</f>
        <v>1</v>
      </c>
      <c r="H42" s="12">
        <f>IFERROR(SUMPRODUCT(--((REPRODUTIVO!$L$2:$L$374="PROTOCOLO IATF")*1),--((REPRODUTIVO!$AL$2:$AL$374=$A42)),--((($B$5="(Todos)")+(REPRODUTIVO!$AP$2:$AP$374=$B$5)&gt;0)))/SUMPRODUCT(--((REPRODUTIVO!$AL$2:$AL$374=$A42)*1),--((($B$5="(Todos)")+(REPRODUTIVO!$AP$2:$AP$374=$B$5)&gt;0)*1)),0)</f>
        <v>0</v>
      </c>
    </row>
    <row r="43" spans="1:8" ht="15" customHeight="1" x14ac:dyDescent="0.3">
      <c r="A43" s="8" t="s">
        <v>228</v>
      </c>
      <c r="B43" s="10">
        <f>SUMPRODUCT(--((REPRODUTIVO!$AL$2:$AL$374=$A43)*1),--((($B$5="(Todos)")+(REPRODUTIVO!$AP$2:$AP$374=$B$5)&gt;0)*1))</f>
        <v>5</v>
      </c>
      <c r="C43" s="12">
        <f>IFERROR(SUMPRODUCT(--((REPRODUTIVO!$AH$2:$AH$374)),--((REPRODUTIVO!$AL$2:$AL$374=$A43)),--((($B$5="(Todos)")+(REPRODUTIVO!$AP$2:$AP$374=$B$5)&gt;0)))/SUMPRODUCT(--((REPRODUTIVO!$AI$2:$AI$374)),--((REPRODUTIVO!$AL$2:$AL$374=$A43)),--((($B$5="(Todos)")+(REPRODUTIVO!$AP$2:$AP$374=$B$5)&gt;0))),0)</f>
        <v>0.5</v>
      </c>
      <c r="D43" s="12">
        <f>IFERROR(SUMPRODUCT(--((REPRODUTIVO!$AJ$2:$AJ$374)),--((REPRODUTIVO!$AL$2:$AL$374=$A43)),--((($B$5="(Todos)")+(REPRODUTIVO!$AP$2:$AP$374=$B$5)&gt;0)))/SUMPRODUCT(--((REPRODUTIVO!$AH$2:$AH$374)),--((REPRODUTIVO!$AL$2:$AL$374=$A43)),--((($B$5="(Todos)")+(REPRODUTIVO!$AP$2:$AP$374=$B$5)&gt;0))),0)</f>
        <v>0</v>
      </c>
      <c r="E43" s="12">
        <f>IFERROR(SUMPRODUCT(--((REPRODUTIVO!$K$2:$K$374="Cobertura")*1),--((REPRODUTIVO!$AL$2:$AL$374=$A43)),--((($B$5="(Todos)")+(REPRODUTIVO!$AP$2:$AP$374=$B$5)&gt;0)))/SUMPRODUCT(--((REPRODUTIVO!$AL$2:$AL$374=$A43)*1),--((($B$5="(Todos)")+(REPRODUTIVO!$AP$2:$AP$374=$B$5)&gt;0)*1)),0)</f>
        <v>0.2</v>
      </c>
      <c r="F43" s="12">
        <f>IFERROR(SUMPRODUCT(--((REPRODUTIVO!$K$2:$K$374="Inseminação Artificial")*1),--((REPRODUTIVO!$AL$2:$AL$374=$A43)),--((($B$5="(Todos)")+(REPRODUTIVO!$AP$2:$AP$374=$B$5)&gt;0)))/SUMPRODUCT(--((REPRODUTIVO!$AL$2:$AL$374=$A43)*1),--((($B$5="(Todos)")+(REPRODUTIVO!$AP$2:$AP$374=$B$5)&gt;0)*1)),0)</f>
        <v>0.8</v>
      </c>
      <c r="G43" s="12">
        <f>IFERROR(SUMPRODUCT(--((REPRODUTIVO!$L$2:$L$374="CIO NATURAL")*1),--((REPRODUTIVO!$AL$2:$AL$374=$A43)),--((($B$5="(Todos)")+(REPRODUTIVO!$AP$2:$AP$374=$B$5)&gt;0)))/SUMPRODUCT(--((REPRODUTIVO!$AL$2:$AL$374=$A43)*1),--((($B$5="(Todos)")+(REPRODUTIVO!$AP$2:$AP$374=$B$5)&gt;0)*1)),0)</f>
        <v>0.6</v>
      </c>
      <c r="H43" s="12">
        <f>IFERROR(SUMPRODUCT(--((REPRODUTIVO!$L$2:$L$374="PROTOCOLO IATF")*1),--((REPRODUTIVO!$AL$2:$AL$374=$A43)),--((($B$5="(Todos)")+(REPRODUTIVO!$AP$2:$AP$374=$B$5)&gt;0)))/SUMPRODUCT(--((REPRODUTIVO!$AL$2:$AL$374=$A43)*1),--((($B$5="(Todos)")+(REPRODUTIVO!$AP$2:$AP$374=$B$5)&gt;0)*1)),0)</f>
        <v>0.4</v>
      </c>
    </row>
    <row r="44" spans="1:8" ht="15" customHeight="1" x14ac:dyDescent="0.3">
      <c r="A44" s="8" t="s">
        <v>229</v>
      </c>
      <c r="B44" s="10">
        <f>SUMPRODUCT(--((REPRODUTIVO!$AL$2:$AL$374=$A44)*1),--((($B$5="(Todos)")+(REPRODUTIVO!$AP$2:$AP$374=$B$5)&gt;0)*1))</f>
        <v>19</v>
      </c>
      <c r="C44" s="12">
        <f>IFERROR(SUMPRODUCT(--((REPRODUTIVO!$AH$2:$AH$374)),--((REPRODUTIVO!$AL$2:$AL$374=$A44)),--((($B$5="(Todos)")+(REPRODUTIVO!$AP$2:$AP$374=$B$5)&gt;0)))/SUMPRODUCT(--((REPRODUTIVO!$AI$2:$AI$374)),--((REPRODUTIVO!$AL$2:$AL$374=$A44)),--((($B$5="(Todos)")+(REPRODUTIVO!$AP$2:$AP$374=$B$5)&gt;0))),0)</f>
        <v>0.33333333333333331</v>
      </c>
      <c r="D44" s="12">
        <f>IFERROR(SUMPRODUCT(--((REPRODUTIVO!$AJ$2:$AJ$374)),--((REPRODUTIVO!$AL$2:$AL$374=$A44)),--((($B$5="(Todos)")+(REPRODUTIVO!$AP$2:$AP$374=$B$5)&gt;0)))/SUMPRODUCT(--((REPRODUTIVO!$AH$2:$AH$374)),--((REPRODUTIVO!$AL$2:$AL$374=$A44)),--((($B$5="(Todos)")+(REPRODUTIVO!$AP$2:$AP$374=$B$5)&gt;0))),0)</f>
        <v>0.16666666666666666</v>
      </c>
      <c r="E44" s="12">
        <f>IFERROR(SUMPRODUCT(--((REPRODUTIVO!$K$2:$K$374="Cobertura")*1),--((REPRODUTIVO!$AL$2:$AL$374=$A44)),--((($B$5="(Todos)")+(REPRODUTIVO!$AP$2:$AP$374=$B$5)&gt;0)))/SUMPRODUCT(--((REPRODUTIVO!$AL$2:$AL$374=$A44)*1),--((($B$5="(Todos)")+(REPRODUTIVO!$AP$2:$AP$374=$B$5)&gt;0)*1)),0)</f>
        <v>0.15789473684210525</v>
      </c>
      <c r="F44" s="12">
        <f>IFERROR(SUMPRODUCT(--((REPRODUTIVO!$K$2:$K$374="Inseminação Artificial")*1),--((REPRODUTIVO!$AL$2:$AL$374=$A44)),--((($B$5="(Todos)")+(REPRODUTIVO!$AP$2:$AP$374=$B$5)&gt;0)))/SUMPRODUCT(--((REPRODUTIVO!$AL$2:$AL$374=$A44)*1),--((($B$5="(Todos)")+(REPRODUTIVO!$AP$2:$AP$374=$B$5)&gt;0)*1)),0)</f>
        <v>0.84210526315789469</v>
      </c>
      <c r="G44" s="12">
        <f>IFERROR(SUMPRODUCT(--((REPRODUTIVO!$L$2:$L$374="CIO NATURAL")*1),--((REPRODUTIVO!$AL$2:$AL$374=$A44)),--((($B$5="(Todos)")+(REPRODUTIVO!$AP$2:$AP$374=$B$5)&gt;0)))/SUMPRODUCT(--((REPRODUTIVO!$AL$2:$AL$374=$A44)*1),--((($B$5="(Todos)")+(REPRODUTIVO!$AP$2:$AP$374=$B$5)&gt;0)*1)),0)</f>
        <v>0.63157894736842102</v>
      </c>
      <c r="H44" s="12">
        <f>IFERROR(SUMPRODUCT(--((REPRODUTIVO!$L$2:$L$374="PROTOCOLO IATF")*1),--((REPRODUTIVO!$AL$2:$AL$374=$A44)),--((($B$5="(Todos)")+(REPRODUTIVO!$AP$2:$AP$374=$B$5)&gt;0)))/SUMPRODUCT(--((REPRODUTIVO!$AL$2:$AL$374=$A44)*1),--((($B$5="(Todos)")+(REPRODUTIVO!$AP$2:$AP$374=$B$5)&gt;0)*1)),0)</f>
        <v>0.36842105263157893</v>
      </c>
    </row>
    <row r="45" spans="1:8" ht="15" customHeight="1" x14ac:dyDescent="0.3">
      <c r="A45" s="8" t="s">
        <v>230</v>
      </c>
      <c r="B45" s="10">
        <f>SUMPRODUCT(--((REPRODUTIVO!$AL$2:$AL$374=$A45)*1),--((($B$5="(Todos)")+(REPRODUTIVO!$AP$2:$AP$374=$B$5)&gt;0)*1))</f>
        <v>25</v>
      </c>
      <c r="C45" s="12">
        <f>IFERROR(SUMPRODUCT(--((REPRODUTIVO!$AH$2:$AH$374)),--((REPRODUTIVO!$AL$2:$AL$374=$A45)),--((($B$5="(Todos)")+(REPRODUTIVO!$AP$2:$AP$374=$B$5)&gt;0)))/SUMPRODUCT(--((REPRODUTIVO!$AI$2:$AI$374)),--((REPRODUTIVO!$AL$2:$AL$374=$A45)),--((($B$5="(Todos)")+(REPRODUTIVO!$AP$2:$AP$374=$B$5)&gt;0))),0)</f>
        <v>0.44</v>
      </c>
      <c r="D45" s="12">
        <f>IFERROR(SUMPRODUCT(--((REPRODUTIVO!$AJ$2:$AJ$374)),--((REPRODUTIVO!$AL$2:$AL$374=$A45)),--((($B$5="(Todos)")+(REPRODUTIVO!$AP$2:$AP$374=$B$5)&gt;0)))/SUMPRODUCT(--((REPRODUTIVO!$AH$2:$AH$374)),--((REPRODUTIVO!$AL$2:$AL$374=$A45)),--((($B$5="(Todos)")+(REPRODUTIVO!$AP$2:$AP$374=$B$5)&gt;0))),0)</f>
        <v>9.0909090909090912E-2</v>
      </c>
      <c r="E45" s="12">
        <f>IFERROR(SUMPRODUCT(--((REPRODUTIVO!$K$2:$K$374="Cobertura")*1),--((REPRODUTIVO!$AL$2:$AL$374=$A45)),--((($B$5="(Todos)")+(REPRODUTIVO!$AP$2:$AP$374=$B$5)&gt;0)))/SUMPRODUCT(--((REPRODUTIVO!$AL$2:$AL$374=$A45)*1),--((($B$5="(Todos)")+(REPRODUTIVO!$AP$2:$AP$374=$B$5)&gt;0)*1)),0)</f>
        <v>0.04</v>
      </c>
      <c r="F45" s="12">
        <f>IFERROR(SUMPRODUCT(--((REPRODUTIVO!$K$2:$K$374="Inseminação Artificial")*1),--((REPRODUTIVO!$AL$2:$AL$374=$A45)),--((($B$5="(Todos)")+(REPRODUTIVO!$AP$2:$AP$374=$B$5)&gt;0)))/SUMPRODUCT(--((REPRODUTIVO!$AL$2:$AL$374=$A45)*1),--((($B$5="(Todos)")+(REPRODUTIVO!$AP$2:$AP$374=$B$5)&gt;0)*1)),0)</f>
        <v>0.96</v>
      </c>
      <c r="G45" s="12">
        <f>IFERROR(SUMPRODUCT(--((REPRODUTIVO!$L$2:$L$374="CIO NATURAL")*1),--((REPRODUTIVO!$AL$2:$AL$374=$A45)),--((($B$5="(Todos)")+(REPRODUTIVO!$AP$2:$AP$374=$B$5)&gt;0)))/SUMPRODUCT(--((REPRODUTIVO!$AL$2:$AL$374=$A45)*1),--((($B$5="(Todos)")+(REPRODUTIVO!$AP$2:$AP$374=$B$5)&gt;0)*1)),0)</f>
        <v>0.48</v>
      </c>
      <c r="H45" s="12">
        <f>IFERROR(SUMPRODUCT(--((REPRODUTIVO!$L$2:$L$374="PROTOCOLO IATF")*1),--((REPRODUTIVO!$AL$2:$AL$374=$A45)),--((($B$5="(Todos)")+(REPRODUTIVO!$AP$2:$AP$374=$B$5)&gt;0)))/SUMPRODUCT(--((REPRODUTIVO!$AL$2:$AL$374=$A45)*1),--((($B$5="(Todos)")+(REPRODUTIVO!$AP$2:$AP$374=$B$5)&gt;0)*1)),0)</f>
        <v>0.52</v>
      </c>
    </row>
    <row r="46" spans="1:8" ht="15" customHeight="1" x14ac:dyDescent="0.3">
      <c r="A46" s="8" t="s">
        <v>231</v>
      </c>
      <c r="B46" s="10">
        <f>SUMPRODUCT(--((REPRODUTIVO!$AL$2:$AL$374=$A46)*1),--((($B$5="(Todos)")+(REPRODUTIVO!$AP$2:$AP$374=$B$5)&gt;0)*1))</f>
        <v>18</v>
      </c>
      <c r="C46" s="12">
        <f>IFERROR(SUMPRODUCT(--((REPRODUTIVO!$AH$2:$AH$374)),--((REPRODUTIVO!$AL$2:$AL$374=$A46)),--((($B$5="(Todos)")+(REPRODUTIVO!$AP$2:$AP$374=$B$5)&gt;0)))/SUMPRODUCT(--((REPRODUTIVO!$AI$2:$AI$374)),--((REPRODUTIVO!$AL$2:$AL$374=$A46)),--((($B$5="(Todos)")+(REPRODUTIVO!$AP$2:$AP$374=$B$5)&gt;0))),0)</f>
        <v>0.47058823529411764</v>
      </c>
      <c r="D46" s="12">
        <f>IFERROR(SUMPRODUCT(--((REPRODUTIVO!$AJ$2:$AJ$374)),--((REPRODUTIVO!$AL$2:$AL$374=$A46)),--((($B$5="(Todos)")+(REPRODUTIVO!$AP$2:$AP$374=$B$5)&gt;0)))/SUMPRODUCT(--((REPRODUTIVO!$AH$2:$AH$374)),--((REPRODUTIVO!$AL$2:$AL$374=$A46)),--((($B$5="(Todos)")+(REPRODUTIVO!$AP$2:$AP$374=$B$5)&gt;0))),0)</f>
        <v>0</v>
      </c>
      <c r="E46" s="12">
        <f>IFERROR(SUMPRODUCT(--((REPRODUTIVO!$K$2:$K$374="Cobertura")*1),--((REPRODUTIVO!$AL$2:$AL$374=$A46)),--((($B$5="(Todos)")+(REPRODUTIVO!$AP$2:$AP$374=$B$5)&gt;0)))/SUMPRODUCT(--((REPRODUTIVO!$AL$2:$AL$374=$A46)*1),--((($B$5="(Todos)")+(REPRODUTIVO!$AP$2:$AP$374=$B$5)&gt;0)*1)),0)</f>
        <v>0.16666666666666666</v>
      </c>
      <c r="F46" s="12">
        <f>IFERROR(SUMPRODUCT(--((REPRODUTIVO!$K$2:$K$374="Inseminação Artificial")*1),--((REPRODUTIVO!$AL$2:$AL$374=$A46)),--((($B$5="(Todos)")+(REPRODUTIVO!$AP$2:$AP$374=$B$5)&gt;0)))/SUMPRODUCT(--((REPRODUTIVO!$AL$2:$AL$374=$A46)*1),--((($B$5="(Todos)")+(REPRODUTIVO!$AP$2:$AP$374=$B$5)&gt;0)*1)),0)</f>
        <v>0.83333333333333337</v>
      </c>
      <c r="G46" s="12">
        <f>IFERROR(SUMPRODUCT(--((REPRODUTIVO!$L$2:$L$374="CIO NATURAL")*1),--((REPRODUTIVO!$AL$2:$AL$374=$A46)),--((($B$5="(Todos)")+(REPRODUTIVO!$AP$2:$AP$374=$B$5)&gt;0)))/SUMPRODUCT(--((REPRODUTIVO!$AL$2:$AL$374=$A46)*1),--((($B$5="(Todos)")+(REPRODUTIVO!$AP$2:$AP$374=$B$5)&gt;0)*1)),0)</f>
        <v>0.83333333333333337</v>
      </c>
      <c r="H46" s="12">
        <f>IFERROR(SUMPRODUCT(--((REPRODUTIVO!$L$2:$L$374="PROTOCOLO IATF")*1),--((REPRODUTIVO!$AL$2:$AL$374=$A46)),--((($B$5="(Todos)")+(REPRODUTIVO!$AP$2:$AP$374=$B$5)&gt;0)))/SUMPRODUCT(--((REPRODUTIVO!$AL$2:$AL$374=$A46)*1),--((($B$5="(Todos)")+(REPRODUTIVO!$AP$2:$AP$374=$B$5)&gt;0)*1)),0)</f>
        <v>0.16666666666666666</v>
      </c>
    </row>
    <row r="47" spans="1:8" ht="15" customHeight="1" x14ac:dyDescent="0.3">
      <c r="A47" s="8" t="s">
        <v>232</v>
      </c>
      <c r="B47" s="10">
        <f>SUMPRODUCT(--((REPRODUTIVO!$AL$2:$AL$374=$A47)*1),--((($B$5="(Todos)")+(REPRODUTIVO!$AP$2:$AP$374=$B$5)&gt;0)*1))</f>
        <v>16</v>
      </c>
      <c r="C47" s="12">
        <f>IFERROR(SUMPRODUCT(--((REPRODUTIVO!$AH$2:$AH$374)),--((REPRODUTIVO!$AL$2:$AL$374=$A47)),--((($B$5="(Todos)")+(REPRODUTIVO!$AP$2:$AP$374=$B$5)&gt;0)))/SUMPRODUCT(--((REPRODUTIVO!$AI$2:$AI$374)),--((REPRODUTIVO!$AL$2:$AL$374=$A47)),--((($B$5="(Todos)")+(REPRODUTIVO!$AP$2:$AP$374=$B$5)&gt;0))),0)</f>
        <v>0.75</v>
      </c>
      <c r="D47" s="12">
        <f>IFERROR(SUMPRODUCT(--((REPRODUTIVO!$AJ$2:$AJ$374)),--((REPRODUTIVO!$AL$2:$AL$374=$A47)),--((($B$5="(Todos)")+(REPRODUTIVO!$AP$2:$AP$374=$B$5)&gt;0)))/SUMPRODUCT(--((REPRODUTIVO!$AH$2:$AH$374)),--((REPRODUTIVO!$AL$2:$AL$374=$A47)),--((($B$5="(Todos)")+(REPRODUTIVO!$AP$2:$AP$374=$B$5)&gt;0))),0)</f>
        <v>0</v>
      </c>
      <c r="E47" s="12">
        <f>IFERROR(SUMPRODUCT(--((REPRODUTIVO!$K$2:$K$374="Cobertura")*1),--((REPRODUTIVO!$AL$2:$AL$374=$A47)),--((($B$5="(Todos)")+(REPRODUTIVO!$AP$2:$AP$374=$B$5)&gt;0)))/SUMPRODUCT(--((REPRODUTIVO!$AL$2:$AL$374=$A47)*1),--((($B$5="(Todos)")+(REPRODUTIVO!$AP$2:$AP$374=$B$5)&gt;0)*1)),0)</f>
        <v>0.25</v>
      </c>
      <c r="F47" s="12">
        <f>IFERROR(SUMPRODUCT(--((REPRODUTIVO!$K$2:$K$374="Inseminação Artificial")*1),--((REPRODUTIVO!$AL$2:$AL$374=$A47)),--((($B$5="(Todos)")+(REPRODUTIVO!$AP$2:$AP$374=$B$5)&gt;0)))/SUMPRODUCT(--((REPRODUTIVO!$AL$2:$AL$374=$A47)*1),--((($B$5="(Todos)")+(REPRODUTIVO!$AP$2:$AP$374=$B$5)&gt;0)*1)),0)</f>
        <v>0.75</v>
      </c>
      <c r="G47" s="12">
        <f>IFERROR(SUMPRODUCT(--((REPRODUTIVO!$L$2:$L$374="CIO NATURAL")*1),--((REPRODUTIVO!$AL$2:$AL$374=$A47)),--((($B$5="(Todos)")+(REPRODUTIVO!$AP$2:$AP$374=$B$5)&gt;0)))/SUMPRODUCT(--((REPRODUTIVO!$AL$2:$AL$374=$A47)*1),--((($B$5="(Todos)")+(REPRODUTIVO!$AP$2:$AP$374=$B$5)&gt;0)*1)),0)</f>
        <v>6.25E-2</v>
      </c>
      <c r="H47" s="12">
        <f>IFERROR(SUMPRODUCT(--((REPRODUTIVO!$L$2:$L$374="PROTOCOLO IATF")*1),--((REPRODUTIVO!$AL$2:$AL$374=$A47)),--((($B$5="(Todos)")+(REPRODUTIVO!$AP$2:$AP$374=$B$5)&gt;0)))/SUMPRODUCT(--((REPRODUTIVO!$AL$2:$AL$374=$A47)*1),--((($B$5="(Todos)")+(REPRODUTIVO!$AP$2:$AP$374=$B$5)&gt;0)*1)),0)</f>
        <v>0.9375</v>
      </c>
    </row>
    <row r="48" spans="1:8" ht="15" customHeight="1" x14ac:dyDescent="0.3">
      <c r="A48" s="8" t="s">
        <v>233</v>
      </c>
      <c r="B48" s="10">
        <f>SUMPRODUCT(--((REPRODUTIVO!$AL$2:$AL$374=$A48)*1),--((($B$5="(Todos)")+(REPRODUTIVO!$AP$2:$AP$374=$B$5)&gt;0)*1))</f>
        <v>11</v>
      </c>
      <c r="C48" s="12">
        <f>IFERROR(SUMPRODUCT(--((REPRODUTIVO!$AH$2:$AH$374)),--((REPRODUTIVO!$AL$2:$AL$374=$A48)),--((($B$5="(Todos)")+(REPRODUTIVO!$AP$2:$AP$374=$B$5)&gt;0)))/SUMPRODUCT(--((REPRODUTIVO!$AI$2:$AI$374)),--((REPRODUTIVO!$AL$2:$AL$374=$A48)),--((($B$5="(Todos)")+(REPRODUTIVO!$AP$2:$AP$374=$B$5)&gt;0))),0)</f>
        <v>0.72727272727272729</v>
      </c>
      <c r="D48" s="12">
        <f>IFERROR(SUMPRODUCT(--((REPRODUTIVO!$AJ$2:$AJ$374)),--((REPRODUTIVO!$AL$2:$AL$374=$A48)),--((($B$5="(Todos)")+(REPRODUTIVO!$AP$2:$AP$374=$B$5)&gt;0)))/SUMPRODUCT(--((REPRODUTIVO!$AH$2:$AH$374)),--((REPRODUTIVO!$AL$2:$AL$374=$A48)),--((($B$5="(Todos)")+(REPRODUTIVO!$AP$2:$AP$374=$B$5)&gt;0))),0)</f>
        <v>0</v>
      </c>
      <c r="E48" s="12">
        <f>IFERROR(SUMPRODUCT(--((REPRODUTIVO!$K$2:$K$374="Cobertura")*1),--((REPRODUTIVO!$AL$2:$AL$374=$A48)),--((($B$5="(Todos)")+(REPRODUTIVO!$AP$2:$AP$374=$B$5)&gt;0)))/SUMPRODUCT(--((REPRODUTIVO!$AL$2:$AL$374=$A48)*1),--((($B$5="(Todos)")+(REPRODUTIVO!$AP$2:$AP$374=$B$5)&gt;0)*1)),0)</f>
        <v>0.18181818181818182</v>
      </c>
      <c r="F48" s="12">
        <f>IFERROR(SUMPRODUCT(--((REPRODUTIVO!$K$2:$K$374="Inseminação Artificial")*1),--((REPRODUTIVO!$AL$2:$AL$374=$A48)),--((($B$5="(Todos)")+(REPRODUTIVO!$AP$2:$AP$374=$B$5)&gt;0)))/SUMPRODUCT(--((REPRODUTIVO!$AL$2:$AL$374=$A48)*1),--((($B$5="(Todos)")+(REPRODUTIVO!$AP$2:$AP$374=$B$5)&gt;0)*1)),0)</f>
        <v>0.81818181818181823</v>
      </c>
      <c r="G48" s="12">
        <f>IFERROR(SUMPRODUCT(--((REPRODUTIVO!$L$2:$L$374="CIO NATURAL")*1),--((REPRODUTIVO!$AL$2:$AL$374=$A48)),--((($B$5="(Todos)")+(REPRODUTIVO!$AP$2:$AP$374=$B$5)&gt;0)))/SUMPRODUCT(--((REPRODUTIVO!$AL$2:$AL$374=$A48)*1),--((($B$5="(Todos)")+(REPRODUTIVO!$AP$2:$AP$374=$B$5)&gt;0)*1)),0)</f>
        <v>0.36363636363636365</v>
      </c>
      <c r="H48" s="12">
        <f>IFERROR(SUMPRODUCT(--((REPRODUTIVO!$L$2:$L$374="PROTOCOLO IATF")*1),--((REPRODUTIVO!$AL$2:$AL$374=$A48)),--((($B$5="(Todos)")+(REPRODUTIVO!$AP$2:$AP$374=$B$5)&gt;0)))/SUMPRODUCT(--((REPRODUTIVO!$AL$2:$AL$374=$A48)*1),--((($B$5="(Todos)")+(REPRODUTIVO!$AP$2:$AP$374=$B$5)&gt;0)*1)),0)</f>
        <v>0.54545454545454541</v>
      </c>
    </row>
    <row r="49" spans="1:8" ht="15" customHeight="1" x14ac:dyDescent="0.3">
      <c r="A49" s="8" t="s">
        <v>234</v>
      </c>
      <c r="B49" s="10">
        <f>SUMPRODUCT(--((REPRODUTIVO!$AL$2:$AL$374=$A49)*1),--((($B$5="(Todos)")+(REPRODUTIVO!$AP$2:$AP$374=$B$5)&gt;0)*1))</f>
        <v>19</v>
      </c>
      <c r="C49" s="12">
        <f>IFERROR(SUMPRODUCT(--((REPRODUTIVO!$AH$2:$AH$374)),--((REPRODUTIVO!$AL$2:$AL$374=$A49)),--((($B$5="(Todos)")+(REPRODUTIVO!$AP$2:$AP$374=$B$5)&gt;0)))/SUMPRODUCT(--((REPRODUTIVO!$AI$2:$AI$374)),--((REPRODUTIVO!$AL$2:$AL$374=$A49)),--((($B$5="(Todos)")+(REPRODUTIVO!$AP$2:$AP$374=$B$5)&gt;0))),0)</f>
        <v>0.68421052631578949</v>
      </c>
      <c r="D49" s="12">
        <f>IFERROR(SUMPRODUCT(--((REPRODUTIVO!$AJ$2:$AJ$374)),--((REPRODUTIVO!$AL$2:$AL$374=$A49)),--((($B$5="(Todos)")+(REPRODUTIVO!$AP$2:$AP$374=$B$5)&gt;0)))/SUMPRODUCT(--((REPRODUTIVO!$AH$2:$AH$374)),--((REPRODUTIVO!$AL$2:$AL$374=$A49)),--((($B$5="(Todos)")+(REPRODUTIVO!$AP$2:$AP$374=$B$5)&gt;0))),0)</f>
        <v>7.6923076923076927E-2</v>
      </c>
      <c r="E49" s="12">
        <f>IFERROR(SUMPRODUCT(--((REPRODUTIVO!$K$2:$K$374="Cobertura")*1),--((REPRODUTIVO!$AL$2:$AL$374=$A49)),--((($B$5="(Todos)")+(REPRODUTIVO!$AP$2:$AP$374=$B$5)&gt;0)))/SUMPRODUCT(--((REPRODUTIVO!$AL$2:$AL$374=$A49)*1),--((($B$5="(Todos)")+(REPRODUTIVO!$AP$2:$AP$374=$B$5)&gt;0)*1)),0)</f>
        <v>0.47368421052631576</v>
      </c>
      <c r="F49" s="12">
        <f>IFERROR(SUMPRODUCT(--((REPRODUTIVO!$K$2:$K$374="Inseminação Artificial")*1),--((REPRODUTIVO!$AL$2:$AL$374=$A49)),--((($B$5="(Todos)")+(REPRODUTIVO!$AP$2:$AP$374=$B$5)&gt;0)))/SUMPRODUCT(--((REPRODUTIVO!$AL$2:$AL$374=$A49)*1),--((($B$5="(Todos)")+(REPRODUTIVO!$AP$2:$AP$374=$B$5)&gt;0)*1)),0)</f>
        <v>0.52631578947368418</v>
      </c>
      <c r="G49" s="12">
        <f>IFERROR(SUMPRODUCT(--((REPRODUTIVO!$L$2:$L$374="CIO NATURAL")*1),--((REPRODUTIVO!$AL$2:$AL$374=$A49)),--((($B$5="(Todos)")+(REPRODUTIVO!$AP$2:$AP$374=$B$5)&gt;0)))/SUMPRODUCT(--((REPRODUTIVO!$AL$2:$AL$374=$A49)*1),--((($B$5="(Todos)")+(REPRODUTIVO!$AP$2:$AP$374=$B$5)&gt;0)*1)),0)</f>
        <v>0.21052631578947367</v>
      </c>
      <c r="H49" s="12">
        <f>IFERROR(SUMPRODUCT(--((REPRODUTIVO!$L$2:$L$374="PROTOCOLO IATF")*1),--((REPRODUTIVO!$AL$2:$AL$374=$A49)),--((($B$5="(Todos)")+(REPRODUTIVO!$AP$2:$AP$374=$B$5)&gt;0)))/SUMPRODUCT(--((REPRODUTIVO!$AL$2:$AL$374=$A49)*1),--((($B$5="(Todos)")+(REPRODUTIVO!$AP$2:$AP$374=$B$5)&gt;0)*1)),0)</f>
        <v>0.78947368421052633</v>
      </c>
    </row>
    <row r="50" spans="1:8" ht="15" customHeight="1" x14ac:dyDescent="0.3">
      <c r="A50" s="8" t="s">
        <v>235</v>
      </c>
      <c r="B50" s="10">
        <f>SUMPRODUCT(--((REPRODUTIVO!$AL$2:$AL$374=$A50)*1),--((($B$5="(Todos)")+(REPRODUTIVO!$AP$2:$AP$374=$B$5)&gt;0)*1))</f>
        <v>10</v>
      </c>
      <c r="C50" s="12">
        <f>IFERROR(SUMPRODUCT(--((REPRODUTIVO!$AH$2:$AH$374)),--((REPRODUTIVO!$AL$2:$AL$374=$A50)),--((($B$5="(Todos)")+(REPRODUTIVO!$AP$2:$AP$374=$B$5)&gt;0)))/SUMPRODUCT(--((REPRODUTIVO!$AI$2:$AI$374)),--((REPRODUTIVO!$AL$2:$AL$374=$A50)),--((($B$5="(Todos)")+(REPRODUTIVO!$AP$2:$AP$374=$B$5)&gt;0))),0)</f>
        <v>0.3</v>
      </c>
      <c r="D50" s="12">
        <f>IFERROR(SUMPRODUCT(--((REPRODUTIVO!$AJ$2:$AJ$374)),--((REPRODUTIVO!$AL$2:$AL$374=$A50)),--((($B$5="(Todos)")+(REPRODUTIVO!$AP$2:$AP$374=$B$5)&gt;0)))/SUMPRODUCT(--((REPRODUTIVO!$AH$2:$AH$374)),--((REPRODUTIVO!$AL$2:$AL$374=$A50)),--((($B$5="(Todos)")+(REPRODUTIVO!$AP$2:$AP$374=$B$5)&gt;0))),0)</f>
        <v>0</v>
      </c>
      <c r="E50" s="12">
        <f>IFERROR(SUMPRODUCT(--((REPRODUTIVO!$K$2:$K$374="Cobertura")*1),--((REPRODUTIVO!$AL$2:$AL$374=$A50)),--((($B$5="(Todos)")+(REPRODUTIVO!$AP$2:$AP$374=$B$5)&gt;0)))/SUMPRODUCT(--((REPRODUTIVO!$AL$2:$AL$374=$A50)*1),--((($B$5="(Todos)")+(REPRODUTIVO!$AP$2:$AP$374=$B$5)&gt;0)*1)),0)</f>
        <v>0.2</v>
      </c>
      <c r="F50" s="12">
        <f>IFERROR(SUMPRODUCT(--((REPRODUTIVO!$K$2:$K$374="Inseminação Artificial")*1),--((REPRODUTIVO!$AL$2:$AL$374=$A50)),--((($B$5="(Todos)")+(REPRODUTIVO!$AP$2:$AP$374=$B$5)&gt;0)))/SUMPRODUCT(--((REPRODUTIVO!$AL$2:$AL$374=$A50)*1),--((($B$5="(Todos)")+(REPRODUTIVO!$AP$2:$AP$374=$B$5)&gt;0)*1)),0)</f>
        <v>0.8</v>
      </c>
      <c r="G50" s="12">
        <f>IFERROR(SUMPRODUCT(--((REPRODUTIVO!$L$2:$L$374="CIO NATURAL")*1),--((REPRODUTIVO!$AL$2:$AL$374=$A50)),--((($B$5="(Todos)")+(REPRODUTIVO!$AP$2:$AP$374=$B$5)&gt;0)))/SUMPRODUCT(--((REPRODUTIVO!$AL$2:$AL$374=$A50)*1),--((($B$5="(Todos)")+(REPRODUTIVO!$AP$2:$AP$374=$B$5)&gt;0)*1)),0)</f>
        <v>0.8</v>
      </c>
      <c r="H50" s="12">
        <f>IFERROR(SUMPRODUCT(--((REPRODUTIVO!$L$2:$L$374="PROTOCOLO IATF")*1),--((REPRODUTIVO!$AL$2:$AL$374=$A50)),--((($B$5="(Todos)")+(REPRODUTIVO!$AP$2:$AP$374=$B$5)&gt;0)))/SUMPRODUCT(--((REPRODUTIVO!$AL$2:$AL$374=$A50)*1),--((($B$5="(Todos)")+(REPRODUTIVO!$AP$2:$AP$374=$B$5)&gt;0)*1)),0)</f>
        <v>0.2</v>
      </c>
    </row>
    <row r="51" spans="1:8" ht="15" customHeight="1" x14ac:dyDescent="0.3">
      <c r="A51" s="8" t="s">
        <v>236</v>
      </c>
      <c r="B51" s="10">
        <f>SUMPRODUCT(--((REPRODUTIVO!$AL$2:$AL$374=$A51)*1),--((($B$5="(Todos)")+(REPRODUTIVO!$AP$2:$AP$374=$B$5)&gt;0)*1))</f>
        <v>12</v>
      </c>
      <c r="C51" s="12">
        <f>IFERROR(SUMPRODUCT(--((REPRODUTIVO!$AH$2:$AH$374)),--((REPRODUTIVO!$AL$2:$AL$374=$A51)),--((($B$5="(Todos)")+(REPRODUTIVO!$AP$2:$AP$374=$B$5)&gt;0)))/SUMPRODUCT(--((REPRODUTIVO!$AI$2:$AI$374)),--((REPRODUTIVO!$AL$2:$AL$374=$A51)),--((($B$5="(Todos)")+(REPRODUTIVO!$AP$2:$AP$374=$B$5)&gt;0))),0)</f>
        <v>0.5</v>
      </c>
      <c r="D51" s="12">
        <f>IFERROR(SUMPRODUCT(--((REPRODUTIVO!$AJ$2:$AJ$374)),--((REPRODUTIVO!$AL$2:$AL$374=$A51)),--((($B$5="(Todos)")+(REPRODUTIVO!$AP$2:$AP$374=$B$5)&gt;0)))/SUMPRODUCT(--((REPRODUTIVO!$AH$2:$AH$374)),--((REPRODUTIVO!$AL$2:$AL$374=$A51)),--((($B$5="(Todos)")+(REPRODUTIVO!$AP$2:$AP$374=$B$5)&gt;0))),0)</f>
        <v>0.16666666666666666</v>
      </c>
      <c r="E51" s="12">
        <f>IFERROR(SUMPRODUCT(--((REPRODUTIVO!$K$2:$K$374="Cobertura")*1),--((REPRODUTIVO!$AL$2:$AL$374=$A51)),--((($B$5="(Todos)")+(REPRODUTIVO!$AP$2:$AP$374=$B$5)&gt;0)))/SUMPRODUCT(--((REPRODUTIVO!$AL$2:$AL$374=$A51)*1),--((($B$5="(Todos)")+(REPRODUTIVO!$AP$2:$AP$374=$B$5)&gt;0)*1)),0)</f>
        <v>0.25</v>
      </c>
      <c r="F51" s="12">
        <f>IFERROR(SUMPRODUCT(--((REPRODUTIVO!$K$2:$K$374="Inseminação Artificial")*1),--((REPRODUTIVO!$AL$2:$AL$374=$A51)),--((($B$5="(Todos)")+(REPRODUTIVO!$AP$2:$AP$374=$B$5)&gt;0)))/SUMPRODUCT(--((REPRODUTIVO!$AL$2:$AL$374=$A51)*1),--((($B$5="(Todos)")+(REPRODUTIVO!$AP$2:$AP$374=$B$5)&gt;0)*1)),0)</f>
        <v>0.75</v>
      </c>
      <c r="G51" s="12">
        <f>IFERROR(SUMPRODUCT(--((REPRODUTIVO!$L$2:$L$374="CIO NATURAL")*1),--((REPRODUTIVO!$AL$2:$AL$374=$A51)),--((($B$5="(Todos)")+(REPRODUTIVO!$AP$2:$AP$374=$B$5)&gt;0)))/SUMPRODUCT(--((REPRODUTIVO!$AL$2:$AL$374=$A51)*1),--((($B$5="(Todos)")+(REPRODUTIVO!$AP$2:$AP$374=$B$5)&gt;0)*1)),0)</f>
        <v>0.25</v>
      </c>
      <c r="H51" s="12">
        <f>IFERROR(SUMPRODUCT(--((REPRODUTIVO!$L$2:$L$374="PROTOCOLO IATF")*1),--((REPRODUTIVO!$AL$2:$AL$374=$A51)),--((($B$5="(Todos)")+(REPRODUTIVO!$AP$2:$AP$374=$B$5)&gt;0)))/SUMPRODUCT(--((REPRODUTIVO!$AL$2:$AL$374=$A51)*1),--((($B$5="(Todos)")+(REPRODUTIVO!$AP$2:$AP$374=$B$5)&gt;0)*1)),0)</f>
        <v>0.75</v>
      </c>
    </row>
    <row r="52" spans="1:8" ht="15" customHeight="1" x14ac:dyDescent="0.3">
      <c r="A52" s="8" t="s">
        <v>237</v>
      </c>
      <c r="B52" s="10">
        <f>SUMPRODUCT(--((REPRODUTIVO!$AL$2:$AL$374=$A52)*1),--((($B$5="(Todos)")+(REPRODUTIVO!$AP$2:$AP$374=$B$5)&gt;0)*1))</f>
        <v>17</v>
      </c>
      <c r="C52" s="12">
        <f>IFERROR(SUMPRODUCT(--((REPRODUTIVO!$AH$2:$AH$374)),--((REPRODUTIVO!$AL$2:$AL$374=$A52)),--((($B$5="(Todos)")+(REPRODUTIVO!$AP$2:$AP$374=$B$5)&gt;0)))/SUMPRODUCT(--((REPRODUTIVO!$AI$2:$AI$374)),--((REPRODUTIVO!$AL$2:$AL$374=$A52)),--((($B$5="(Todos)")+(REPRODUTIVO!$AP$2:$AP$374=$B$5)&gt;0))),0)</f>
        <v>0</v>
      </c>
      <c r="D52" s="12">
        <f>IFERROR(SUMPRODUCT(--((REPRODUTIVO!$AJ$2:$AJ$374)),--((REPRODUTIVO!$AL$2:$AL$374=$A52)),--((($B$5="(Todos)")+(REPRODUTIVO!$AP$2:$AP$374=$B$5)&gt;0)))/SUMPRODUCT(--((REPRODUTIVO!$AH$2:$AH$374)),--((REPRODUTIVO!$AL$2:$AL$374=$A52)),--((($B$5="(Todos)")+(REPRODUTIVO!$AP$2:$AP$374=$B$5)&gt;0))),0)</f>
        <v>0</v>
      </c>
      <c r="E52" s="12">
        <f>IFERROR(SUMPRODUCT(--((REPRODUTIVO!$K$2:$K$374="Cobertura")*1),--((REPRODUTIVO!$AL$2:$AL$374=$A52)),--((($B$5="(Todos)")+(REPRODUTIVO!$AP$2:$AP$374=$B$5)&gt;0)))/SUMPRODUCT(--((REPRODUTIVO!$AL$2:$AL$374=$A52)*1),--((($B$5="(Todos)")+(REPRODUTIVO!$AP$2:$AP$374=$B$5)&gt;0)*1)),0)</f>
        <v>0.11764705882352941</v>
      </c>
      <c r="F52" s="12">
        <f>IFERROR(SUMPRODUCT(--((REPRODUTIVO!$K$2:$K$374="Inseminação Artificial")*1),--((REPRODUTIVO!$AL$2:$AL$374=$A52)),--((($B$5="(Todos)")+(REPRODUTIVO!$AP$2:$AP$374=$B$5)&gt;0)))/SUMPRODUCT(--((REPRODUTIVO!$AL$2:$AL$374=$A52)*1),--((($B$5="(Todos)")+(REPRODUTIVO!$AP$2:$AP$374=$B$5)&gt;0)*1)),0)</f>
        <v>0.88235294117647056</v>
      </c>
      <c r="G52" s="12">
        <f>IFERROR(SUMPRODUCT(--((REPRODUTIVO!$L$2:$L$374="CIO NATURAL")*1),--((REPRODUTIVO!$AL$2:$AL$374=$A52)),--((($B$5="(Todos)")+(REPRODUTIVO!$AP$2:$AP$374=$B$5)&gt;0)))/SUMPRODUCT(--((REPRODUTIVO!$AL$2:$AL$374=$A52)*1),--((($B$5="(Todos)")+(REPRODUTIVO!$AP$2:$AP$374=$B$5)&gt;0)*1)),0)</f>
        <v>0.47058823529411764</v>
      </c>
      <c r="H52" s="12">
        <f>IFERROR(SUMPRODUCT(--((REPRODUTIVO!$L$2:$L$374="PROTOCOLO IATF")*1),--((REPRODUTIVO!$AL$2:$AL$374=$A52)),--((($B$5="(Todos)")+(REPRODUTIVO!$AP$2:$AP$374=$B$5)&gt;0)))/SUMPRODUCT(--((REPRODUTIVO!$AL$2:$AL$374=$A52)*1),--((($B$5="(Todos)")+(REPRODUTIVO!$AP$2:$AP$374=$B$5)&gt;0)*1)),0)</f>
        <v>0.52941176470588236</v>
      </c>
    </row>
    <row r="86" spans="1:1" ht="15" customHeight="1" x14ac:dyDescent="0.3">
      <c r="A86" s="13" t="s">
        <v>262</v>
      </c>
    </row>
  </sheetData>
  <mergeCells count="5">
    <mergeCell ref="A1:N1"/>
    <mergeCell ref="A2:N2"/>
    <mergeCell ref="A4:D4"/>
    <mergeCell ref="D5:F5"/>
    <mergeCell ref="A7:J7"/>
  </mergeCells>
  <dataValidations count="1">
    <dataValidation type="list" allowBlank="1" sqref="B5" xr:uid="{00000000-0002-0000-0400-000000000000}">
      <formula1>"(Todos),Novilha,Vaca"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6E0B2A"/>
  </sheetPr>
  <dimension ref="A1:N75"/>
  <sheetViews>
    <sheetView showGridLines="0" zoomScaleNormal="100" workbookViewId="0">
      <selection activeCell="C5" sqref="C5"/>
    </sheetView>
  </sheetViews>
  <sheetFormatPr defaultColWidth="8.6640625" defaultRowHeight="14.4" x14ac:dyDescent="0.3"/>
  <cols>
    <col min="1" max="20" width="12" customWidth="1"/>
  </cols>
  <sheetData>
    <row r="1" spans="1:14" ht="39.75" customHeight="1" x14ac:dyDescent="0.3">
      <c r="A1" s="122" t="s">
        <v>263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</row>
    <row r="2" spans="1:14" ht="15" customHeight="1" x14ac:dyDescent="0.3">
      <c r="A2" s="123" t="s">
        <v>264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</row>
    <row r="4" spans="1:14" ht="18.75" customHeight="1" x14ac:dyDescent="0.3">
      <c r="A4" s="124" t="s">
        <v>253</v>
      </c>
      <c r="B4" s="124"/>
      <c r="C4" s="124"/>
      <c r="D4" s="124"/>
      <c r="F4" s="152" t="s">
        <v>265</v>
      </c>
      <c r="G4" s="152"/>
      <c r="H4" s="151" t="s">
        <v>266</v>
      </c>
      <c r="I4" s="151"/>
      <c r="J4" s="151" t="s">
        <v>267</v>
      </c>
      <c r="K4" s="151"/>
      <c r="L4" s="152" t="s">
        <v>268</v>
      </c>
      <c r="M4" s="152"/>
    </row>
    <row r="5" spans="1:14" ht="21.75" customHeight="1" x14ac:dyDescent="0.3">
      <c r="A5" s="1" t="s">
        <v>269</v>
      </c>
      <c r="C5" s="3" t="s">
        <v>270</v>
      </c>
      <c r="F5" s="149">
        <f>SUMPRODUCT(--((REPRODUTIVO!$AO$2:$AO$374)*(($C$5="(Todos)")+($C$5="Sim")*(REPRODUTIVO!$AD$2:$AD$374&lt;&gt;"")+($C$5="Não")*(REPRODUTIVO!$AD$2:$AD$374=""))))</f>
        <v>86</v>
      </c>
      <c r="G5" s="149"/>
      <c r="H5" s="149">
        <f>SUMPRODUCT(--((REPRODUTIVO!$AO$2:$AO$374)*(REPRODUTIVO!$AD$2:$AD$374&lt;&gt;"")))</f>
        <v>32</v>
      </c>
      <c r="I5" s="149"/>
      <c r="J5" s="160">
        <f>IFERROR(SUMPRODUCT(--((REPRODUTIVO!$AO$2:$AO$374)*(REPRODUTIVO!$AD$2:$AD$374&lt;&gt;"")))/SUMPRODUCT(--((REPRODUTIVO!$AO$2:$AO$374))),0)</f>
        <v>0.2711864406779661</v>
      </c>
      <c r="K5" s="160"/>
      <c r="L5" s="149">
        <f>SUMPRODUCT(--((REPRODUTIVO!$AO$2:$AO$374)*(($C$5="(Todos)")+($C$5="Sim")*(REPRODUTIVO!$AD$2:$AD$374&lt;&gt;"")+($C$5="Não")*(REPRODUTIVO!$AD$2:$AD$374=""))*(REPRODUTIVO!$F$2:$F$374&lt;&gt;"")))</f>
        <v>32</v>
      </c>
      <c r="M5" s="149"/>
    </row>
    <row r="6" spans="1:14" ht="15" customHeight="1" x14ac:dyDescent="0.3">
      <c r="F6" s="149"/>
      <c r="G6" s="149"/>
      <c r="H6" s="149"/>
      <c r="I6" s="149"/>
      <c r="J6" s="160"/>
      <c r="K6" s="160"/>
      <c r="L6" s="149"/>
      <c r="M6" s="149"/>
    </row>
    <row r="8" spans="1:14" ht="18.75" customHeight="1" x14ac:dyDescent="0.3">
      <c r="A8" s="121" t="s">
        <v>271</v>
      </c>
      <c r="B8" s="121"/>
      <c r="C8" s="121"/>
      <c r="D8" s="121"/>
    </row>
    <row r="9" spans="1:14" ht="15" customHeight="1" x14ac:dyDescent="0.3">
      <c r="A9" s="7" t="s">
        <v>75</v>
      </c>
      <c r="B9" s="7" t="s">
        <v>272</v>
      </c>
      <c r="C9" s="7" t="s">
        <v>273</v>
      </c>
    </row>
    <row r="10" spans="1:14" ht="15" customHeight="1" x14ac:dyDescent="0.3">
      <c r="A10" s="8" t="s">
        <v>274</v>
      </c>
      <c r="B10" s="10">
        <f>SUMPRODUCT(--((REPRODUTIVO!$AO$2:$AO$374)*(($C$5="(Todos)")+($C$5="Sim")*(REPRODUTIVO!$AD$2:$AD$374&lt;&gt;"")+($C$5="Não")*(REPRODUTIVO!$AD$2:$AD$374=""))*(REPRODUTIVO!$F$2:$F$374=$A10)))</f>
        <v>1</v>
      </c>
      <c r="C10" s="12">
        <f>IFERROR(B10/SUM($B$10:$B$12),0)</f>
        <v>3.2258064516129031E-2</v>
      </c>
    </row>
    <row r="11" spans="1:14" ht="15" customHeight="1" x14ac:dyDescent="0.3">
      <c r="A11" s="8" t="s">
        <v>275</v>
      </c>
      <c r="B11" s="10">
        <f>SUMPRODUCT(--((REPRODUTIVO!$AO$2:$AO$374)*(($C$5="(Todos)")+($C$5="Sim")*(REPRODUTIVO!$AD$2:$AD$374&lt;&gt;"")+($C$5="Não")*(REPRODUTIVO!$AD$2:$AD$374=""))*(REPRODUTIVO!$F$2:$F$374=$A11)))</f>
        <v>4</v>
      </c>
      <c r="C11" s="12">
        <f>IFERROR(B11/SUM($B$10:$B$12),0)</f>
        <v>0.12903225806451613</v>
      </c>
    </row>
    <row r="12" spans="1:14" ht="15" customHeight="1" x14ac:dyDescent="0.3">
      <c r="A12" s="8" t="s">
        <v>276</v>
      </c>
      <c r="B12" s="10">
        <f>SUMPRODUCT(--((REPRODUTIVO!$AO$2:$AO$374)*(($C$5="(Todos)")+($C$5="Sim")*(REPRODUTIVO!$AD$2:$AD$374&lt;&gt;"")+($C$5="Não")*(REPRODUTIVO!$AD$2:$AD$374=""))*(REPRODUTIVO!$F$2:$F$374=$A12)))</f>
        <v>26</v>
      </c>
      <c r="C12" s="12">
        <f>IFERROR(B12/SUM($B$10:$B$12),0)</f>
        <v>0.83870967741935487</v>
      </c>
    </row>
    <row r="23" spans="1:4" ht="18.75" customHeight="1" x14ac:dyDescent="0.3">
      <c r="A23" s="121" t="s">
        <v>277</v>
      </c>
      <c r="B23" s="121"/>
      <c r="C23" s="121"/>
      <c r="D23" s="121"/>
    </row>
    <row r="24" spans="1:4" ht="15" customHeight="1" x14ac:dyDescent="0.3">
      <c r="A24" s="7" t="s">
        <v>75</v>
      </c>
      <c r="B24" s="7" t="s">
        <v>272</v>
      </c>
      <c r="C24" s="7" t="s">
        <v>273</v>
      </c>
    </row>
    <row r="25" spans="1:4" ht="15" customHeight="1" x14ac:dyDescent="0.3">
      <c r="A25" s="8" t="s">
        <v>278</v>
      </c>
      <c r="B25" s="10">
        <f>SUMPRODUCT(--((REPRODUTIVO!$AO$2:$AO$374)*(($C$5="(Todos)")+($C$5="Sim")*(REPRODUTIVO!$AD$2:$AD$374&lt;&gt;"")+($C$5="Não")*(REPRODUTIVO!$AD$2:$AD$374=""))*(REPRODUTIVO!$H$2:$H$374=$A25)))</f>
        <v>10</v>
      </c>
      <c r="C25" s="12">
        <f>IFERROR(B25/SUM($B$25:$B$26),0)</f>
        <v>0.4</v>
      </c>
    </row>
    <row r="26" spans="1:4" ht="15" customHeight="1" x14ac:dyDescent="0.3">
      <c r="A26" s="8" t="s">
        <v>279</v>
      </c>
      <c r="B26" s="10">
        <f>SUMPRODUCT(--((REPRODUTIVO!$AO$2:$AO$374)*(($C$5="(Todos)")+($C$5="Sim")*(REPRODUTIVO!$AD$2:$AD$374&lt;&gt;"")+($C$5="Não")*(REPRODUTIVO!$AD$2:$AD$374=""))*(REPRODUTIVO!$H$2:$H$374=$A26)))</f>
        <v>15</v>
      </c>
      <c r="C26" s="12">
        <f>IFERROR(B26/SUM($B$25:$B$26),0)</f>
        <v>0.6</v>
      </c>
    </row>
    <row r="39" spans="1:4" ht="18.75" customHeight="1" x14ac:dyDescent="0.3">
      <c r="A39" s="121" t="s">
        <v>280</v>
      </c>
      <c r="B39" s="121"/>
      <c r="C39" s="121"/>
      <c r="D39" s="121"/>
    </row>
    <row r="40" spans="1:4" ht="15" customHeight="1" x14ac:dyDescent="0.3">
      <c r="A40" s="7" t="s">
        <v>281</v>
      </c>
      <c r="B40" s="7" t="s">
        <v>282</v>
      </c>
      <c r="C40" s="7" t="s">
        <v>273</v>
      </c>
    </row>
    <row r="41" spans="1:4" ht="15" customHeight="1" x14ac:dyDescent="0.3">
      <c r="A41" s="11">
        <v>0</v>
      </c>
      <c r="B41" s="10">
        <f>SUMPRODUCT(--((REPRODUTIVO!$AO$2:$AO$374)*(($C$5="(Todos)")+($C$5="Sim")*(REPRODUTIVO!$AD$2:$AD$374&lt;&gt;"")+($C$5="Não")*(REPRODUTIVO!$AD$2:$AD$374=""))*(REPRODUTIVO!$E$2:$E$374=$A41)))</f>
        <v>54</v>
      </c>
      <c r="C41" s="12">
        <f>IFERROR(B41/SUM($B$41:$B$44),0)</f>
        <v>0.62790697674418605</v>
      </c>
    </row>
    <row r="42" spans="1:4" ht="15" customHeight="1" x14ac:dyDescent="0.3">
      <c r="A42" s="11">
        <v>1</v>
      </c>
      <c r="B42" s="10">
        <f>SUMPRODUCT(--((REPRODUTIVO!$AO$2:$AO$374)*(($C$5="(Todos)")+($C$5="Sim")*(REPRODUTIVO!$AD$2:$AD$374&lt;&gt;"")+($C$5="Não")*(REPRODUTIVO!$AD$2:$AD$374=""))*(REPRODUTIVO!$E$2:$E$374=$A42)))</f>
        <v>26</v>
      </c>
      <c r="C42" s="12">
        <f>IFERROR(B42/SUM($B$41:$B$44),0)</f>
        <v>0.30232558139534882</v>
      </c>
    </row>
    <row r="43" spans="1:4" ht="15" customHeight="1" x14ac:dyDescent="0.3">
      <c r="A43" s="11">
        <v>2</v>
      </c>
      <c r="B43" s="10">
        <f>SUMPRODUCT(--((REPRODUTIVO!$AO$2:$AO$374)*(($C$5="(Todos)")+($C$5="Sim")*(REPRODUTIVO!$AD$2:$AD$374&lt;&gt;"")+($C$5="Não")*(REPRODUTIVO!$AD$2:$AD$374=""))*(REPRODUTIVO!$E$2:$E$374=$A43)))</f>
        <v>4</v>
      </c>
      <c r="C43" s="12">
        <f>IFERROR(B43/SUM($B$41:$B$44),0)</f>
        <v>4.6511627906976744E-2</v>
      </c>
    </row>
    <row r="44" spans="1:4" ht="15" customHeight="1" x14ac:dyDescent="0.3">
      <c r="A44" s="11">
        <v>3</v>
      </c>
      <c r="B44" s="10">
        <f>SUMPRODUCT(--((REPRODUTIVO!$AO$2:$AO$374)*(($C$5="(Todos)")+($C$5="Sim")*(REPRODUTIVO!$AD$2:$AD$374&lt;&gt;"")+($C$5="Não")*(REPRODUTIVO!$AD$2:$AD$374=""))*(REPRODUTIVO!$E$2:$E$374=$A44)))</f>
        <v>2</v>
      </c>
      <c r="C44" s="12">
        <f>IFERROR(B44/SUM($B$41:$B$44),0)</f>
        <v>2.3255813953488372E-2</v>
      </c>
    </row>
    <row r="55" spans="1:4" ht="18.75" customHeight="1" x14ac:dyDescent="0.3">
      <c r="A55" s="121" t="s">
        <v>283</v>
      </c>
      <c r="B55" s="121"/>
      <c r="C55" s="121"/>
      <c r="D55" s="121"/>
    </row>
    <row r="56" spans="1:4" ht="15" customHeight="1" x14ac:dyDescent="0.3">
      <c r="A56" s="7" t="s">
        <v>75</v>
      </c>
      <c r="B56" s="7" t="s">
        <v>272</v>
      </c>
      <c r="C56" s="7" t="s">
        <v>273</v>
      </c>
    </row>
    <row r="57" spans="1:4" ht="15" customHeight="1" x14ac:dyDescent="0.3">
      <c r="A57" s="8" t="s">
        <v>284</v>
      </c>
      <c r="B57" s="10">
        <f>SUMPRODUCT(--((REPRODUTIVO!$AO$2:$AO$374)*(REPRODUTIVO!$AD$2:$AD$374&lt;&gt;"")*(REPRODUTIVO!$AF$2:$AF$374=$A57)))</f>
        <v>7</v>
      </c>
      <c r="C57" s="12">
        <f t="shared" ref="C57:C66" si="0">IFERROR(B57/SUM($B$57:$B$66),0)</f>
        <v>0.21875</v>
      </c>
    </row>
    <row r="58" spans="1:4" ht="15" customHeight="1" x14ac:dyDescent="0.3">
      <c r="A58" s="8" t="s">
        <v>285</v>
      </c>
      <c r="B58" s="10">
        <f>SUMPRODUCT(--((REPRODUTIVO!$AO$2:$AO$374)*(REPRODUTIVO!$AD$2:$AD$374&lt;&gt;"")*(REPRODUTIVO!$AF$2:$AF$374=$A58)))</f>
        <v>1</v>
      </c>
      <c r="C58" s="12">
        <f t="shared" si="0"/>
        <v>3.125E-2</v>
      </c>
    </row>
    <row r="59" spans="1:4" ht="18.75" customHeight="1" x14ac:dyDescent="0.3">
      <c r="A59" s="8" t="s">
        <v>286</v>
      </c>
      <c r="B59" s="10">
        <f>SUMPRODUCT(--((REPRODUTIVO!$AO$2:$AO$374)*(REPRODUTIVO!$AD$2:$AD$374&lt;&gt;"")*(REPRODUTIVO!$AF$2:$AF$374=$A59)))</f>
        <v>2</v>
      </c>
      <c r="C59" s="12">
        <f t="shared" si="0"/>
        <v>6.25E-2</v>
      </c>
    </row>
    <row r="60" spans="1:4" ht="18.75" customHeight="1" x14ac:dyDescent="0.3">
      <c r="A60" s="8" t="s">
        <v>287</v>
      </c>
      <c r="B60" s="10">
        <f>SUMPRODUCT(--((REPRODUTIVO!$AO$2:$AO$374)*(REPRODUTIVO!$AD$2:$AD$374&lt;&gt;"")*(REPRODUTIVO!$AF$2:$AF$374=$A60)))</f>
        <v>2</v>
      </c>
      <c r="C60" s="12">
        <f t="shared" si="0"/>
        <v>6.25E-2</v>
      </c>
    </row>
    <row r="61" spans="1:4" ht="15" customHeight="1" x14ac:dyDescent="0.3">
      <c r="A61" s="8" t="s">
        <v>288</v>
      </c>
      <c r="B61" s="10">
        <f>SUMPRODUCT(--((REPRODUTIVO!$AO$2:$AO$374)*(REPRODUTIVO!$AD$2:$AD$374&lt;&gt;"")*(REPRODUTIVO!$AF$2:$AF$374=$A61)))</f>
        <v>4</v>
      </c>
      <c r="C61" s="12">
        <f t="shared" si="0"/>
        <v>0.125</v>
      </c>
    </row>
    <row r="62" spans="1:4" ht="18.75" customHeight="1" x14ac:dyDescent="0.3">
      <c r="A62" s="8" t="s">
        <v>289</v>
      </c>
      <c r="B62" s="10">
        <f>SUMPRODUCT(--((REPRODUTIVO!$AO$2:$AO$374)*(REPRODUTIVO!$AD$2:$AD$374&lt;&gt;"")*(REPRODUTIVO!$AF$2:$AF$374=$A62)))</f>
        <v>1</v>
      </c>
      <c r="C62" s="12">
        <f t="shared" si="0"/>
        <v>3.125E-2</v>
      </c>
    </row>
    <row r="63" spans="1:4" ht="18.75" customHeight="1" x14ac:dyDescent="0.3">
      <c r="A63" s="8" t="s">
        <v>290</v>
      </c>
      <c r="B63" s="10">
        <f>SUMPRODUCT(--((REPRODUTIVO!$AO$2:$AO$374)*(REPRODUTIVO!$AD$2:$AD$374&lt;&gt;"")*(REPRODUTIVO!$AF$2:$AF$374=$A63)))</f>
        <v>0</v>
      </c>
      <c r="C63" s="12">
        <f t="shared" si="0"/>
        <v>0</v>
      </c>
    </row>
    <row r="64" spans="1:4" ht="15" customHeight="1" x14ac:dyDescent="0.3">
      <c r="A64" s="8" t="s">
        <v>291</v>
      </c>
      <c r="B64" s="10">
        <f>SUMPRODUCT(--((REPRODUTIVO!$AO$2:$AO$374)*(REPRODUTIVO!$AD$2:$AD$374&lt;&gt;"")*(REPRODUTIVO!$AF$2:$AF$374=$A64)))</f>
        <v>3</v>
      </c>
      <c r="C64" s="12">
        <f t="shared" si="0"/>
        <v>9.375E-2</v>
      </c>
    </row>
    <row r="65" spans="1:4" ht="15" customHeight="1" x14ac:dyDescent="0.3">
      <c r="A65" s="8" t="s">
        <v>292</v>
      </c>
      <c r="B65" s="10">
        <f>SUMPRODUCT(--((REPRODUTIVO!$AO$2:$AO$374)*(REPRODUTIVO!$AD$2:$AD$374&lt;&gt;"")*(REPRODUTIVO!$AF$2:$AF$374=$A65)))</f>
        <v>4</v>
      </c>
      <c r="C65" s="12">
        <f t="shared" si="0"/>
        <v>0.125</v>
      </c>
    </row>
    <row r="66" spans="1:4" ht="15" customHeight="1" x14ac:dyDescent="0.3">
      <c r="A66" s="8" t="s">
        <v>293</v>
      </c>
      <c r="B66" s="10">
        <f>SUMPRODUCT(--((REPRODUTIVO!$AO$2:$AO$374)*(REPRODUTIVO!$AD$2:$AD$374&lt;&gt;"")*(REPRODUTIVO!$AF$2:$AF$374=$A66)))</f>
        <v>8</v>
      </c>
      <c r="C66" s="12">
        <f t="shared" si="0"/>
        <v>0.25</v>
      </c>
    </row>
    <row r="71" spans="1:4" ht="18.75" customHeight="1" x14ac:dyDescent="0.3">
      <c r="A71" s="121" t="s">
        <v>294</v>
      </c>
      <c r="B71" s="121"/>
      <c r="C71" s="121"/>
      <c r="D71" s="121"/>
    </row>
    <row r="72" spans="1:4" ht="15" customHeight="1" x14ac:dyDescent="0.3">
      <c r="A72" s="7" t="s">
        <v>75</v>
      </c>
      <c r="B72" s="7" t="s">
        <v>272</v>
      </c>
      <c r="C72" s="7" t="s">
        <v>273</v>
      </c>
    </row>
    <row r="73" spans="1:4" ht="18.75" customHeight="1" x14ac:dyDescent="0.3">
      <c r="A73" s="8" t="s">
        <v>295</v>
      </c>
      <c r="B73" s="10">
        <f>SUMPRODUCT(--((REPRODUTIVO!$AO$2:$AO$374)*(REPRODUTIVO!$AD$2:$AD$374&lt;&gt;"")*(REPRODUTIVO!$AE$2:$AE$374=$A73)))</f>
        <v>4</v>
      </c>
      <c r="C73" s="12">
        <f>IFERROR(B73/SUM($B$73:$B$75),0)</f>
        <v>0.125</v>
      </c>
    </row>
    <row r="74" spans="1:4" ht="15" customHeight="1" x14ac:dyDescent="0.3">
      <c r="A74" s="8" t="s">
        <v>296</v>
      </c>
      <c r="B74" s="10">
        <f>SUMPRODUCT(--((REPRODUTIVO!$AO$2:$AO$374)*(REPRODUTIVO!$AD$2:$AD$374&lt;&gt;"")*(REPRODUTIVO!$AE$2:$AE$374=$A74)))</f>
        <v>15</v>
      </c>
      <c r="C74" s="12">
        <f>IFERROR(B74/SUM($B$73:$B$75),0)</f>
        <v>0.46875</v>
      </c>
    </row>
    <row r="75" spans="1:4" ht="15" customHeight="1" x14ac:dyDescent="0.3">
      <c r="A75" s="8" t="s">
        <v>297</v>
      </c>
      <c r="B75" s="10">
        <f>SUMPRODUCT(--((REPRODUTIVO!$AO$2:$AO$374)*(REPRODUTIVO!$AD$2:$AD$374&lt;&gt;"")*(REPRODUTIVO!$AE$2:$AE$374=$A75)))</f>
        <v>13</v>
      </c>
      <c r="C75" s="12">
        <f>IFERROR(B75/SUM($B$73:$B$75),0)</f>
        <v>0.40625</v>
      </c>
    </row>
  </sheetData>
  <mergeCells count="16">
    <mergeCell ref="H5:I6"/>
    <mergeCell ref="J5:K6"/>
    <mergeCell ref="L5:M6"/>
    <mergeCell ref="A8:D8"/>
    <mergeCell ref="A1:N1"/>
    <mergeCell ref="A2:N2"/>
    <mergeCell ref="A4:D4"/>
    <mergeCell ref="F4:G4"/>
    <mergeCell ref="H4:I4"/>
    <mergeCell ref="J4:K4"/>
    <mergeCell ref="L4:M4"/>
    <mergeCell ref="A23:D23"/>
    <mergeCell ref="A39:D39"/>
    <mergeCell ref="A55:D55"/>
    <mergeCell ref="A71:D71"/>
    <mergeCell ref="F5:G6"/>
  </mergeCells>
  <dataValidations count="1">
    <dataValidation type="list" allowBlank="1" sqref="C5" xr:uid="{00000000-0002-0000-0500-000000000000}">
      <formula1>"(Todos),Sim,Não"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B00020"/>
    <outlinePr summaryBelow="0"/>
  </sheetPr>
  <dimension ref="A1:N68"/>
  <sheetViews>
    <sheetView showGridLines="0" zoomScaleNormal="100" workbookViewId="0">
      <selection activeCell="E37" sqref="E37"/>
    </sheetView>
  </sheetViews>
  <sheetFormatPr defaultColWidth="8.6640625" defaultRowHeight="14.4" outlineLevelRow="1" x14ac:dyDescent="0.3"/>
  <cols>
    <col min="1" max="1" width="46" customWidth="1"/>
    <col min="2" max="7" width="12.44140625" customWidth="1"/>
    <col min="8" max="8" width="15" customWidth="1"/>
    <col min="9" max="14" width="12.44140625" customWidth="1"/>
  </cols>
  <sheetData>
    <row r="1" spans="1:14" ht="39.75" customHeight="1" x14ac:dyDescent="0.3">
      <c r="A1" s="122" t="s">
        <v>298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</row>
    <row r="2" spans="1:14" ht="15" customHeight="1" x14ac:dyDescent="0.3">
      <c r="A2" s="123" t="s">
        <v>299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</row>
    <row r="4" spans="1:14" ht="15" customHeight="1" x14ac:dyDescent="0.3">
      <c r="A4" s="152" t="s">
        <v>300</v>
      </c>
      <c r="B4" s="152"/>
      <c r="C4" s="152" t="s">
        <v>301</v>
      </c>
      <c r="D4" s="152"/>
      <c r="E4" s="151" t="s">
        <v>302</v>
      </c>
      <c r="F4" s="151"/>
      <c r="G4" s="152" t="s">
        <v>303</v>
      </c>
      <c r="H4" s="152"/>
      <c r="I4" s="150" t="s">
        <v>304</v>
      </c>
      <c r="J4" s="150"/>
    </row>
    <row r="5" spans="1:14" ht="21.75" customHeight="1" x14ac:dyDescent="0.3">
      <c r="A5" s="149">
        <f>SUBTOTAL(103,ESTOQUE!$C$2:$C$100000)</f>
        <v>110</v>
      </c>
      <c r="B5" s="149"/>
      <c r="C5" s="164">
        <f>SUM(ESTOQUE!$H$2:$H$83)</f>
        <v>163637.27999999994</v>
      </c>
      <c r="D5" s="164"/>
      <c r="E5" s="149">
        <f>COUNTIF(ESTOQUE!$I$2:$I$83,"SIM")</f>
        <v>6</v>
      </c>
      <c r="F5" s="149"/>
      <c r="G5" s="164">
        <f>SUMIFS(CURVA_ABC!$G$2:$G$308,CURVA_ABC!$B$2:$B$308,"A")</f>
        <v>1642096.8</v>
      </c>
      <c r="H5" s="164"/>
      <c r="I5" s="160">
        <f>IFERROR(SUMIFS(CURVA_ABC!$G$2:$G$308,CURVA_ABC!$B$2:$B$308,"A")/SUM(CURVA_ABC!$G$2:$G$308),0)</f>
        <v>0.96437754141741194</v>
      </c>
      <c r="J5" s="160"/>
    </row>
    <row r="6" spans="1:14" ht="15" customHeight="1" x14ac:dyDescent="0.3">
      <c r="A6" s="149"/>
      <c r="B6" s="149"/>
      <c r="C6" s="164"/>
      <c r="D6" s="164"/>
      <c r="E6" s="149"/>
      <c r="F6" s="149"/>
      <c r="G6" s="164"/>
      <c r="H6" s="164"/>
      <c r="I6" s="160"/>
      <c r="J6" s="160"/>
    </row>
    <row r="8" spans="1:14" ht="18.75" customHeight="1" x14ac:dyDescent="0.3">
      <c r="A8" s="121" t="s">
        <v>305</v>
      </c>
      <c r="B8" s="121"/>
      <c r="C8" s="121"/>
      <c r="D8" s="121"/>
      <c r="E8" s="121"/>
      <c r="H8" s="43" t="s">
        <v>306</v>
      </c>
      <c r="I8" s="43" t="s">
        <v>307</v>
      </c>
    </row>
    <row r="9" spans="1:14" ht="15" customHeight="1" x14ac:dyDescent="0.3">
      <c r="A9" s="7" t="s">
        <v>308</v>
      </c>
      <c r="B9" s="7" t="s">
        <v>309</v>
      </c>
      <c r="C9" s="7" t="s">
        <v>310</v>
      </c>
      <c r="D9" s="7" t="s">
        <v>311</v>
      </c>
      <c r="E9" s="7" t="s">
        <v>312</v>
      </c>
      <c r="H9" s="44" t="s">
        <v>313</v>
      </c>
      <c r="I9" s="45">
        <f>SUMPRODUCT(--(--(LEFT(ESTOQUE!$A$2:$A$83,35)="Ingrediente para alimentação animal")),--(ESTOQUE!$H$2:$H$83))</f>
        <v>138558.10999999999</v>
      </c>
    </row>
    <row r="10" spans="1:14" ht="15" customHeight="1" collapsed="1" x14ac:dyDescent="0.3">
      <c r="A10" s="46" t="s">
        <v>313</v>
      </c>
      <c r="B10" s="47">
        <f>SUMPRODUCT(--(--(LEFT(ESTOQUE!$A$2:$A$83,35)="Ingrediente para alimentação animal")))</f>
        <v>8</v>
      </c>
      <c r="C10" s="47">
        <f>SUMPRODUCT(--(--(LEFT(ESTOQUE!$A$2:$A$83,35)="Ingrediente para alimentação animal")),--(--(ESTOQUE!$I$2:$I$83="SIM")))</f>
        <v>0</v>
      </c>
      <c r="D10" s="48">
        <f>SUMPRODUCT(--(--(LEFT(ESTOQUE!$A$2:$A$83,35)="Ingrediente para alimentação animal")),--(ESTOQUE!$H$2:$H$83))</f>
        <v>138558.10999999999</v>
      </c>
      <c r="E10" s="49">
        <f>IFERROR(D10/SUM(ESTOQUE!$H$2:$H$83),0)</f>
        <v>0.84673926381567843</v>
      </c>
      <c r="H10" s="44" t="s">
        <v>314</v>
      </c>
      <c r="I10" s="45">
        <f>SUMPRODUCT(--(--(LEFT(ESTOQUE!$A$2:$A$83,21)="Produtos veterinários")),--(ESTOQUE!$H$2:$H$83))</f>
        <v>25079.170000000006</v>
      </c>
    </row>
    <row r="11" spans="1:14" ht="15" hidden="1" customHeight="1" outlineLevel="1" x14ac:dyDescent="0.3">
      <c r="A11" s="8" t="s">
        <v>315</v>
      </c>
      <c r="B11" s="10">
        <f>COUNTIFS(ESTOQUE!$A$2:$A$83,"Ingrediente para alimentação animal - Concentrados energéticos")</f>
        <v>1</v>
      </c>
      <c r="C11" s="10">
        <f>COUNTIFS(ESTOQUE!$A$2:$A$83,"Ingrediente para alimentação animal - Concentrados energéticos",ESTOQUE!$I$2:$I$83,"SIM")</f>
        <v>0</v>
      </c>
      <c r="D11" s="50">
        <f>SUMIFS(ESTOQUE!$H$2:$H$83,ESTOQUE!$A$2:$A$83,"Ingrediente para alimentação animal - Concentrados energéticos")</f>
        <v>677.7</v>
      </c>
      <c r="E11" s="12">
        <f>IFERROR(D11/SUM(ESTOQUE!$H$2:$H$83),0)</f>
        <v>4.1414768077298785E-3</v>
      </c>
      <c r="H11" s="44" t="s">
        <v>316</v>
      </c>
      <c r="I11" s="45">
        <f>SUMPRODUCT(--(--(LEFT(ESTOQUE!$A$2:$A$83,5)="Sêmen")),--(ESTOQUE!$H$2:$H$83))</f>
        <v>0</v>
      </c>
    </row>
    <row r="12" spans="1:14" ht="15" hidden="1" customHeight="1" outlineLevel="1" x14ac:dyDescent="0.3">
      <c r="A12" s="8" t="s">
        <v>317</v>
      </c>
      <c r="B12" s="10">
        <f>COUNTIFS(ESTOQUE!$A$2:$A$83,"Ingrediente para alimentação animal - Concentrados protéicos")</f>
        <v>6</v>
      </c>
      <c r="C12" s="10">
        <f>COUNTIFS(ESTOQUE!$A$2:$A$83,"Ingrediente para alimentação animal - Concentrados protéicos",ESTOQUE!$I$2:$I$83,"SIM")</f>
        <v>0</v>
      </c>
      <c r="D12" s="50">
        <f>SUMIFS(ESTOQUE!$H$2:$H$83,ESTOQUE!$A$2:$A$83,"Ingrediente para alimentação animal - Concentrados protéicos")</f>
        <v>134229.39000000001</v>
      </c>
      <c r="E12" s="12">
        <f>IFERROR(D12/SUM(ESTOQUE!$H$2:$H$83),0)</f>
        <v>0.82028612306437787</v>
      </c>
    </row>
    <row r="13" spans="1:14" ht="15" hidden="1" customHeight="1" outlineLevel="1" x14ac:dyDescent="0.3">
      <c r="A13" s="8" t="s">
        <v>318</v>
      </c>
      <c r="B13" s="10">
        <f>COUNTIFS(ESTOQUE!$A$2:$A$83,"Ingrediente para alimentação animal - Minerais e aditivos")</f>
        <v>1</v>
      </c>
      <c r="C13" s="10">
        <f>COUNTIFS(ESTOQUE!$A$2:$A$83,"Ingrediente para alimentação animal - Minerais e aditivos",ESTOQUE!$I$2:$I$83,"SIM")</f>
        <v>0</v>
      </c>
      <c r="D13" s="50">
        <f>SUMIFS(ESTOQUE!$H$2:$H$83,ESTOQUE!$A$2:$A$83,"Ingrediente para alimentação animal - Minerais e aditivos")</f>
        <v>3651.02</v>
      </c>
      <c r="E13" s="12">
        <f>IFERROR(D13/SUM(ESTOQUE!$H$2:$H$83),0)</f>
        <v>2.2311663943570814E-2</v>
      </c>
    </row>
    <row r="14" spans="1:14" ht="15" customHeight="1" collapsed="1" x14ac:dyDescent="0.3">
      <c r="A14" s="46" t="s">
        <v>314</v>
      </c>
      <c r="B14" s="47">
        <f>SUMPRODUCT(--(--(LEFT(ESTOQUE!$A$2:$A$83,21)="Produtos veterinários")))</f>
        <v>74</v>
      </c>
      <c r="C14" s="47">
        <f>SUMPRODUCT(--(--(LEFT(ESTOQUE!$A$2:$A$83,21)="Produtos veterinários")),--(--(ESTOQUE!$I$2:$I$83="SIM")))</f>
        <v>6</v>
      </c>
      <c r="D14" s="48">
        <f>SUMPRODUCT(--(--(LEFT(ESTOQUE!$A$2:$A$83,21)="Produtos veterinários")),--(ESTOQUE!$H$2:$H$83))</f>
        <v>25079.170000000006</v>
      </c>
      <c r="E14" s="49">
        <f>IFERROR(D14/SUM(ESTOQUE!$H$2:$H$83),0)</f>
        <v>0.1532607361843219</v>
      </c>
    </row>
    <row r="15" spans="1:14" ht="15" hidden="1" customHeight="1" outlineLevel="1" x14ac:dyDescent="0.3">
      <c r="A15" s="8" t="s">
        <v>319</v>
      </c>
      <c r="B15" s="10">
        <f>COUNTIFS(ESTOQUE!$A$2:$A$83,"Produtos veterinários - Anti-inflamatórios, anti-piréticos, anti-alérgicos e analgésicos")</f>
        <v>8</v>
      </c>
      <c r="C15" s="10">
        <f>COUNTIFS(ESTOQUE!$A$2:$A$83,"Produtos veterinários - Anti-inflamatórios, anti-piréticos, anti-alérgicos e analgésicos",ESTOQUE!$I$2:$I$83,"SIM")</f>
        <v>1</v>
      </c>
      <c r="D15" s="50">
        <f>SUMIFS(ESTOQUE!$H$2:$H$83,ESTOQUE!$A$2:$A$83,"Produtos veterinários - Anti-inflamatórios, anti-piréticos, anti-alérgicos e analgésicos")</f>
        <v>982.26</v>
      </c>
      <c r="E15" s="12">
        <f>IFERROR(D15/SUM(ESTOQUE!$H$2:$H$83),0)</f>
        <v>6.0026663850682458E-3</v>
      </c>
    </row>
    <row r="16" spans="1:14" ht="15" hidden="1" customHeight="1" outlineLevel="1" x14ac:dyDescent="0.3">
      <c r="A16" s="8" t="s">
        <v>320</v>
      </c>
      <c r="B16" s="10">
        <f>COUNTIFS(ESTOQUE!$A$2:$A$83,"Produtos veterinários - Anti-sépticos e desinfetantes")</f>
        <v>1</v>
      </c>
      <c r="C16" s="10">
        <f>COUNTIFS(ESTOQUE!$A$2:$A$83,"Produtos veterinários - Anti-sépticos e desinfetantes",ESTOQUE!$I$2:$I$83,"SIM")</f>
        <v>0</v>
      </c>
      <c r="D16" s="50">
        <f>SUMIFS(ESTOQUE!$H$2:$H$83,ESTOQUE!$A$2:$A$83,"Produtos veterinários - Anti-sépticos e desinfetantes")</f>
        <v>38.5</v>
      </c>
      <c r="E16" s="12">
        <f>IFERROR(D16/SUM(ESTOQUE!$H$2:$H$83),0)</f>
        <v>2.3527646022960058E-4</v>
      </c>
    </row>
    <row r="17" spans="1:12" ht="15" hidden="1" customHeight="1" outlineLevel="1" x14ac:dyDescent="0.3">
      <c r="A17" s="8" t="s">
        <v>321</v>
      </c>
      <c r="B17" s="10">
        <f>COUNTIFS(ESTOQUE!$A$2:$A$83,"Produtos veterinários - Antimicrobianos gerais antifúngicos e antiprotozoários")</f>
        <v>28</v>
      </c>
      <c r="C17" s="10">
        <f>COUNTIFS(ESTOQUE!$A$2:$A$83,"Produtos veterinários - Antimicrobianos gerais antifúngicos e antiprotozoários",ESTOQUE!$I$2:$I$83,"SIM")</f>
        <v>3</v>
      </c>
      <c r="D17" s="50">
        <f>SUMIFS(ESTOQUE!$H$2:$H$83,ESTOQUE!$A$2:$A$83,"Produtos veterinários - Antimicrobianos gerais antifúngicos e antiprotozoários")</f>
        <v>9466.2400000000016</v>
      </c>
      <c r="E17" s="12">
        <f>IFERROR(D17/SUM(ESTOQUE!$H$2:$H$83),0)</f>
        <v>5.784892049048973E-2</v>
      </c>
    </row>
    <row r="18" spans="1:12" ht="15" hidden="1" customHeight="1" outlineLevel="1" x14ac:dyDescent="0.3">
      <c r="A18" s="8" t="s">
        <v>322</v>
      </c>
      <c r="B18" s="10">
        <f>COUNTIFS(ESTOQUE!$A$2:$A$83,"Produtos veterinários - Diagnósticos")</f>
        <v>1</v>
      </c>
      <c r="C18" s="10">
        <f>COUNTIFS(ESTOQUE!$A$2:$A$83,"Produtos veterinários - Diagnósticos",ESTOQUE!$I$2:$I$83,"SIM")</f>
        <v>0</v>
      </c>
      <c r="D18" s="50">
        <f>SUMIFS(ESTOQUE!$H$2:$H$83,ESTOQUE!$A$2:$A$83,"Produtos veterinários - Diagnósticos")</f>
        <v>2489.67</v>
      </c>
      <c r="E18" s="12">
        <f>IFERROR(D18/SUM(ESTOQUE!$H$2:$H$83),0)</f>
        <v>1.5214564798437134E-2</v>
      </c>
    </row>
    <row r="19" spans="1:12" ht="15" hidden="1" customHeight="1" outlineLevel="1" x14ac:dyDescent="0.3">
      <c r="A19" s="8" t="s">
        <v>323</v>
      </c>
      <c r="B19" s="10">
        <f>COUNTIFS(ESTOQUE!$A$2:$A$83,"Produtos veterinários - Ectoparasiticidas (anti-parasitários)")</f>
        <v>2</v>
      </c>
      <c r="C19" s="10">
        <f>COUNTIFS(ESTOQUE!$A$2:$A$83,"Produtos veterinários - Ectoparasiticidas (anti-parasitários)",ESTOQUE!$I$2:$I$83,"SIM")</f>
        <v>0</v>
      </c>
      <c r="D19" s="50">
        <f>SUMIFS(ESTOQUE!$H$2:$H$83,ESTOQUE!$A$2:$A$83,"Produtos veterinários - Ectoparasiticidas (anti-parasitários)")</f>
        <v>3444.13</v>
      </c>
      <c r="E19" s="12">
        <f>IFERROR(D19/SUM(ESTOQUE!$H$2:$H$83),0)</f>
        <v>2.1047343245988941E-2</v>
      </c>
    </row>
    <row r="20" spans="1:12" ht="18.75" hidden="1" customHeight="1" outlineLevel="1" x14ac:dyDescent="0.3">
      <c r="A20" s="8" t="s">
        <v>324</v>
      </c>
      <c r="B20" s="10">
        <f>COUNTIFS(ESTOQUE!$A$2:$A$83,"Produtos veterinários - Endectocidas (ação em endoparasitas e ectoparasitas) (anti-parasitários)")</f>
        <v>3</v>
      </c>
      <c r="C20" s="10">
        <f>COUNTIFS(ESTOQUE!$A$2:$A$83,"Produtos veterinários - Endectocidas (ação em endoparasitas e ectoparasitas) (anti-parasitários)",ESTOQUE!$I$2:$I$83,"SIM")</f>
        <v>1</v>
      </c>
      <c r="D20" s="50">
        <f>SUMIFS(ESTOQUE!$H$2:$H$83,ESTOQUE!$A$2:$A$83,"Produtos veterinários - Endectocidas (ação em endoparasitas e ectoparasitas) (anti-parasitários)")</f>
        <v>186.9</v>
      </c>
      <c r="E20" s="12">
        <f>IFERROR(D20/SUM(ESTOQUE!$H$2:$H$83),0)</f>
        <v>1.1421602705691519E-3</v>
      </c>
    </row>
    <row r="21" spans="1:12" ht="15" hidden="1" customHeight="1" outlineLevel="1" x14ac:dyDescent="0.3">
      <c r="A21" s="8" t="s">
        <v>325</v>
      </c>
      <c r="B21" s="10">
        <f>COUNTIFS(ESTOQUE!$A$2:$A$83,"Produtos veterinários - Endoparasiticidas (anti-parasitários)")</f>
        <v>3</v>
      </c>
      <c r="C21" s="10">
        <f>COUNTIFS(ESTOQUE!$A$2:$A$83,"Produtos veterinários - Endoparasiticidas (anti-parasitários)",ESTOQUE!$I$2:$I$83,"SIM")</f>
        <v>0</v>
      </c>
      <c r="D21" s="50">
        <f>SUMIFS(ESTOQUE!$H$2:$H$83,ESTOQUE!$A$2:$A$83,"Produtos veterinários - Endoparasiticidas (anti-parasitários)")</f>
        <v>179.61</v>
      </c>
      <c r="E21" s="12">
        <f>IFERROR(D21/SUM(ESTOQUE!$H$2:$H$83),0)</f>
        <v>1.0976105200477548E-3</v>
      </c>
    </row>
    <row r="22" spans="1:12" ht="15" hidden="1" customHeight="1" outlineLevel="1" x14ac:dyDescent="0.3">
      <c r="A22" s="8" t="s">
        <v>326</v>
      </c>
      <c r="B22" s="10">
        <f>COUNTIFS(ESTOQUE!$A$2:$A$83,"Produtos veterinários - Hidratação, estimulante e medicação suporte")</f>
        <v>12</v>
      </c>
      <c r="C22" s="10">
        <f>COUNTIFS(ESTOQUE!$A$2:$A$83,"Produtos veterinários - Hidratação, estimulante e medicação suporte",ESTOQUE!$I$2:$I$83,"SIM")</f>
        <v>0</v>
      </c>
      <c r="D22" s="50">
        <f>SUMIFS(ESTOQUE!$H$2:$H$83,ESTOQUE!$A$2:$A$83,"Produtos veterinários - Hidratação, estimulante e medicação suporte")</f>
        <v>4714.6899999999996</v>
      </c>
      <c r="E22" s="12">
        <f>IFERROR(D22/SUM(ESTOQUE!$H$2:$H$83),0)</f>
        <v>2.8811833098179102E-2</v>
      </c>
    </row>
    <row r="23" spans="1:12" ht="15" hidden="1" customHeight="1" outlineLevel="1" x14ac:dyDescent="0.3">
      <c r="A23" s="8" t="s">
        <v>327</v>
      </c>
      <c r="B23" s="10">
        <f>COUNTIFS(ESTOQUE!$A$2:$A$83,"Produtos veterinários - Hormônios/similares")</f>
        <v>11</v>
      </c>
      <c r="C23" s="10">
        <f>COUNTIFS(ESTOQUE!$A$2:$A$83,"Produtos veterinários - Hormônios/similares",ESTOQUE!$I$2:$I$83,"SIM")</f>
        <v>0</v>
      </c>
      <c r="D23" s="50">
        <f>SUMIFS(ESTOQUE!$H$2:$H$83,ESTOQUE!$A$2:$A$83,"Produtos veterinários - Hormônios/similares")</f>
        <v>3163.9599999999996</v>
      </c>
      <c r="E23" s="12">
        <f>IFERROR(D23/SUM(ESTOQUE!$H$2:$H$83),0)</f>
        <v>1.9335202833975246E-2</v>
      </c>
    </row>
    <row r="24" spans="1:12" ht="15" hidden="1" customHeight="1" outlineLevel="1" x14ac:dyDescent="0.3">
      <c r="A24" s="8" t="s">
        <v>328</v>
      </c>
      <c r="B24" s="10">
        <f>COUNTIFS(ESTOQUE!$A$2:$A$83,"Produtos veterinários - Imunização ativa")</f>
        <v>3</v>
      </c>
      <c r="C24" s="10">
        <f>COUNTIFS(ESTOQUE!$A$2:$A$83,"Produtos veterinários - Imunização ativa",ESTOQUE!$I$2:$I$83,"SIM")</f>
        <v>0</v>
      </c>
      <c r="D24" s="50">
        <f>SUMIFS(ESTOQUE!$H$2:$H$83,ESTOQUE!$A$2:$A$83,"Produtos veterinários - Imunização ativa")</f>
        <v>339.21000000000004</v>
      </c>
      <c r="E24" s="12">
        <f>IFERROR(D24/SUM(ESTOQUE!$H$2:$H$83),0)</f>
        <v>2.0729383915450085E-3</v>
      </c>
    </row>
    <row r="25" spans="1:12" ht="15" hidden="1" customHeight="1" outlineLevel="1" x14ac:dyDescent="0.3">
      <c r="A25" s="8" t="s">
        <v>329</v>
      </c>
      <c r="B25" s="10">
        <f>COUNTIFS(ESTOQUE!$A$2:$A$83,"Produtos veterinários - Minerais (formulações puras e complexos)")</f>
        <v>1</v>
      </c>
      <c r="C25" s="10">
        <f>COUNTIFS(ESTOQUE!$A$2:$A$83,"Produtos veterinários - Minerais (formulações puras e complexos)",ESTOQUE!$I$2:$I$83,"SIM")</f>
        <v>0</v>
      </c>
      <c r="D25" s="50">
        <f>SUMIFS(ESTOQUE!$H$2:$H$83,ESTOQUE!$A$2:$A$83,"Produtos veterinários - Minerais (formulações puras e complexos)")</f>
        <v>74</v>
      </c>
      <c r="E25" s="12">
        <f>IFERROR(D25/SUM(ESTOQUE!$H$2:$H$83),0)</f>
        <v>4.5221968979195957E-4</v>
      </c>
    </row>
    <row r="26" spans="1:12" ht="15" hidden="1" customHeight="1" outlineLevel="1" x14ac:dyDescent="0.3">
      <c r="A26" s="8" t="s">
        <v>330</v>
      </c>
      <c r="B26" s="10">
        <f>COUNTIFS(ESTOQUE!$A$2:$A$83,"Produtos veterinários - Outros")</f>
        <v>0</v>
      </c>
      <c r="C26" s="10">
        <f>COUNTIFS(ESTOQUE!$A$2:$A$83,"Produtos veterinários - Outros",ESTOQUE!$I$2:$I$83,"SIM")</f>
        <v>0</v>
      </c>
      <c r="D26" s="50">
        <f>SUMIFS(ESTOQUE!$H$2:$H$83,ESTOQUE!$A$2:$A$83,"Produtos veterinários - Outros")</f>
        <v>0</v>
      </c>
      <c r="E26" s="12">
        <f>IFERROR(D26/SUM(ESTOQUE!$H$2:$H$83),0)</f>
        <v>0</v>
      </c>
    </row>
    <row r="27" spans="1:12" ht="15" hidden="1" customHeight="1" outlineLevel="1" x14ac:dyDescent="0.3">
      <c r="A27" s="8" t="s">
        <v>331</v>
      </c>
      <c r="B27" s="10">
        <f>COUNTIFS(ESTOQUE!$A$2:$A$83,"Produtos veterinários - Soros hiperimunes")</f>
        <v>0</v>
      </c>
      <c r="C27" s="10">
        <f>COUNTIFS(ESTOQUE!$A$2:$A$83,"Produtos veterinários - Soros hiperimunes",ESTOQUE!$I$2:$I$83,"SIM")</f>
        <v>0</v>
      </c>
      <c r="D27" s="50">
        <f>SUMIFS(ESTOQUE!$H$2:$H$83,ESTOQUE!$A$2:$A$83,"Produtos veterinários - Soros hiperimunes")</f>
        <v>0</v>
      </c>
      <c r="E27" s="12">
        <f>IFERROR(D27/SUM(ESTOQUE!$H$2:$H$83),0)</f>
        <v>0</v>
      </c>
    </row>
    <row r="28" spans="1:12" ht="15" customHeight="1" collapsed="1" x14ac:dyDescent="0.3">
      <c r="A28" s="46" t="s">
        <v>316</v>
      </c>
      <c r="B28" s="47">
        <f>SUMPRODUCT(--(--(LEFT(ESTOQUE!$A$2:$A$83,5)="Sêmen")))</f>
        <v>0</v>
      </c>
      <c r="C28" s="47">
        <f>SUMPRODUCT(--(--(LEFT(ESTOQUE!$A$2:$A$83,5)="Sêmen")),--(--(ESTOQUE!$I$2:$I$83="SIM")))</f>
        <v>0</v>
      </c>
      <c r="D28" s="48">
        <f>SUMPRODUCT(--(--(LEFT(ESTOQUE!$A$2:$A$83,5)="Sêmen")),--(ESTOQUE!$H$2:$H$83))</f>
        <v>0</v>
      </c>
      <c r="E28" s="49">
        <f>IFERROR(D28/SUM(ESTOQUE!$H$2:$H$83),0)</f>
        <v>0</v>
      </c>
    </row>
    <row r="29" spans="1:12" ht="15" hidden="1" customHeight="1" outlineLevel="1" x14ac:dyDescent="0.3">
      <c r="A29" s="8" t="s">
        <v>332</v>
      </c>
      <c r="B29" s="10">
        <f>COUNTIFS(ESTOQUE!$A$2:$A$83,"Sêmen")</f>
        <v>0</v>
      </c>
      <c r="C29" s="10">
        <f>COUNTIFS(ESTOQUE!$A$2:$A$83,"Sêmen",ESTOQUE!$I$2:$I$83,"SIM")</f>
        <v>0</v>
      </c>
      <c r="D29" s="50">
        <f>SUMIFS(ESTOQUE!$H$2:$H$83,ESTOQUE!$A$2:$A$83,"Sêmen")</f>
        <v>0</v>
      </c>
      <c r="E29" s="12">
        <f>IFERROR(D29/SUM(ESTOQUE!$H$2:$H$83),0)</f>
        <v>0</v>
      </c>
    </row>
    <row r="32" spans="1:12" ht="18.75" customHeight="1" x14ac:dyDescent="0.3">
      <c r="A32" s="124" t="s">
        <v>333</v>
      </c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</row>
    <row r="33" spans="1:12" ht="15" customHeight="1" x14ac:dyDescent="0.3">
      <c r="A33" s="162" t="s">
        <v>334</v>
      </c>
      <c r="B33" s="162"/>
      <c r="C33" s="163" t="str">
        <f>TEXT(IFERROR(SUMIFS(CURVA_ABC!$G$2:$G$308,CURVA_ABC!$B$2:$B$308,"A")/SUM(CURVA_ABC!$G$2:$G$308),0),"0%")&amp;" do valor em "&amp;COUNTIF(CURVA_ABC!$B$2:$B$308,"A")&amp;" itens (de "&amp;COUNTA(CURVA_ABC!$A$2:$A$308)&amp;"). Negocie preço/prazo e controle rígido desses itens."</f>
        <v>96% do valor em 66 itens (de 307). Negocie preço/prazo e controle rígido desses itens.</v>
      </c>
      <c r="D33" s="163"/>
      <c r="E33" s="163"/>
      <c r="F33" s="163"/>
      <c r="G33" s="163"/>
      <c r="H33" s="163"/>
      <c r="I33" s="163"/>
      <c r="J33" s="163"/>
      <c r="K33" s="163"/>
      <c r="L33" s="163"/>
    </row>
    <row r="34" spans="1:12" ht="15" customHeight="1" x14ac:dyDescent="0.3">
      <c r="A34" s="162" t="s">
        <v>335</v>
      </c>
      <c r="B34" s="162"/>
      <c r="C34" s="163" t="str">
        <f>TEXT(IFERROR(SUMIFS(CURVA_ABC!$G$2:$G$308,CURVA_ABC!$B$2:$B$308,"B")/SUM(CURVA_ABC!$G$2:$G$308),0),"0%")&amp;" do valor em "&amp;COUNTIF(CURVA_ABC!$B$2:$B$308,"B")&amp;" itens. Controle moderado, compras programadas."</f>
        <v>3% do valor em 99 itens. Controle moderado, compras programadas.</v>
      </c>
      <c r="D34" s="163"/>
      <c r="E34" s="163"/>
      <c r="F34" s="163"/>
      <c r="G34" s="163"/>
      <c r="H34" s="163"/>
      <c r="I34" s="163"/>
      <c r="J34" s="163"/>
      <c r="K34" s="163"/>
      <c r="L34" s="163"/>
    </row>
    <row r="35" spans="1:12" ht="15" customHeight="1" x14ac:dyDescent="0.3">
      <c r="A35" s="162" t="s">
        <v>336</v>
      </c>
      <c r="B35" s="162"/>
      <c r="C35" s="163" t="str">
        <f>TEXT(IFERROR(SUMIFS(CURVA_ABC!$G$2:$G$308,CURVA_ABC!$B$2:$B$308,"C")/SUM(CURVA_ABC!$G$2:$G$308),0),"0%")&amp;" do valor em "&amp;COUNTIF(CURVA_ABC!$B$2:$B$308,"C")&amp;" itens. Compre em lote/estoque de segurança; menos controle, evita ruptura barata."</f>
        <v>1% do valor em 142 itens. Compre em lote/estoque de segurança; menos controle, evita ruptura barata.</v>
      </c>
      <c r="D35" s="163"/>
      <c r="E35" s="163"/>
      <c r="F35" s="163"/>
      <c r="G35" s="163"/>
      <c r="H35" s="163"/>
      <c r="I35" s="163"/>
      <c r="J35" s="163"/>
      <c r="K35" s="163"/>
      <c r="L35" s="163"/>
    </row>
    <row r="36" spans="1:12" ht="15" customHeight="1" x14ac:dyDescent="0.3">
      <c r="A36" s="162" t="s">
        <v>337</v>
      </c>
      <c r="B36" s="162"/>
      <c r="C36" s="163" t="str">
        <f>"Há "&amp;COUNTIF(ESTOQUE!$I$2:$I$83,"SIM")&amp;" item(ns) ABAIXO do estoque mínimo. Priorize a compra para não parar o trato/sanidade."</f>
        <v>Há 6 item(ns) ABAIXO do estoque mínimo. Priorize a compra para não parar o trato/sanidade.</v>
      </c>
      <c r="D36" s="163"/>
      <c r="E36" s="163"/>
      <c r="F36" s="163"/>
      <c r="G36" s="163"/>
      <c r="H36" s="163"/>
      <c r="I36" s="163"/>
      <c r="J36" s="163"/>
      <c r="K36" s="163"/>
      <c r="L36" s="163"/>
    </row>
    <row r="38" spans="1:12" ht="15" customHeight="1" x14ac:dyDescent="0.3">
      <c r="A38" s="13" t="s">
        <v>338</v>
      </c>
    </row>
    <row r="40" spans="1:12" ht="15" customHeight="1" x14ac:dyDescent="0.3">
      <c r="A40" s="121" t="s">
        <v>339</v>
      </c>
      <c r="B40" s="121"/>
      <c r="C40" s="121"/>
      <c r="D40" s="121"/>
      <c r="E40" s="121"/>
      <c r="F40" s="121"/>
      <c r="G40" s="121"/>
      <c r="H40" s="121"/>
    </row>
    <row r="41" spans="1:12" ht="15" customHeight="1" x14ac:dyDescent="0.3">
      <c r="A41" s="161" t="s">
        <v>340</v>
      </c>
      <c r="B41" s="161"/>
      <c r="C41" s="161"/>
      <c r="D41" s="161"/>
      <c r="E41" s="161"/>
      <c r="F41" s="161"/>
      <c r="G41" s="161"/>
      <c r="H41" s="161"/>
    </row>
    <row r="42" spans="1:12" ht="15" customHeight="1" x14ac:dyDescent="0.3">
      <c r="A42" s="161"/>
      <c r="B42" s="161"/>
      <c r="C42" s="161"/>
      <c r="D42" s="161"/>
      <c r="E42" s="161"/>
      <c r="F42" s="161"/>
      <c r="G42" s="161"/>
      <c r="H42" s="161"/>
    </row>
    <row r="43" spans="1:12" ht="15" customHeight="1" x14ac:dyDescent="0.3">
      <c r="A43" s="161"/>
      <c r="B43" s="161"/>
      <c r="C43" s="161"/>
      <c r="D43" s="161"/>
      <c r="E43" s="161"/>
      <c r="F43" s="161"/>
      <c r="G43" s="161"/>
      <c r="H43" s="161"/>
    </row>
    <row r="44" spans="1:12" ht="15" customHeight="1" x14ac:dyDescent="0.3">
      <c r="A44" s="161"/>
      <c r="B44" s="161"/>
      <c r="C44" s="161"/>
      <c r="D44" s="161"/>
      <c r="E44" s="161"/>
      <c r="F44" s="161"/>
      <c r="G44" s="161"/>
      <c r="H44" s="161"/>
    </row>
    <row r="45" spans="1:12" ht="15" customHeight="1" x14ac:dyDescent="0.3">
      <c r="A45" s="161"/>
      <c r="B45" s="161"/>
      <c r="C45" s="161"/>
      <c r="D45" s="161"/>
      <c r="E45" s="161"/>
      <c r="F45" s="161"/>
      <c r="G45" s="161"/>
      <c r="H45" s="161"/>
    </row>
    <row r="47" spans="1:12" ht="15" customHeight="1" x14ac:dyDescent="0.3">
      <c r="A47" s="121" t="s">
        <v>341</v>
      </c>
      <c r="B47" s="121"/>
      <c r="C47" s="121"/>
      <c r="D47" s="121"/>
      <c r="E47" s="121"/>
      <c r="F47" s="121"/>
      <c r="G47" s="121"/>
      <c r="H47" s="121"/>
    </row>
    <row r="48" spans="1:12" ht="15" customHeight="1" x14ac:dyDescent="0.3">
      <c r="A48" s="36" t="s">
        <v>342</v>
      </c>
      <c r="B48" s="51" t="s">
        <v>343</v>
      </c>
      <c r="C48" s="38" t="s">
        <v>344</v>
      </c>
      <c r="D48" s="52">
        <v>46058</v>
      </c>
      <c r="E48" s="38" t="s">
        <v>52</v>
      </c>
      <c r="F48" s="52">
        <v>46178</v>
      </c>
    </row>
    <row r="49" spans="1:6" ht="15" customHeight="1" x14ac:dyDescent="0.3">
      <c r="A49" s="18" t="s">
        <v>345</v>
      </c>
      <c r="B49" s="15"/>
      <c r="C49" s="15"/>
      <c r="D49" s="53">
        <f>SUMPRODUCT(--(LEFT(CONTA_GER!$A$2:$A$1500,LEN($B$48))=$B$48),--(CONTA_GER!$L$2:$L$1500),--(CONTA_GER!$D$2:$D$1500&gt;=$D$48),--(CONTA_GER!$D$2:$D$1500&lt;=$F$48))</f>
        <v>9434.24</v>
      </c>
      <c r="E49" s="15"/>
      <c r="F49" s="15"/>
    </row>
    <row r="50" spans="1:6" ht="15" customHeight="1" x14ac:dyDescent="0.3">
      <c r="A50" s="18" t="s">
        <v>346</v>
      </c>
      <c r="B50" s="15"/>
      <c r="C50" s="15"/>
      <c r="D50" s="19">
        <f>MAX(1,DATEDIF($D$48,$F$48,"m")+1)</f>
        <v>5</v>
      </c>
      <c r="E50" s="15"/>
      <c r="F50" s="15"/>
    </row>
    <row r="51" spans="1:6" ht="15" customHeight="1" x14ac:dyDescent="0.3">
      <c r="A51" s="14" t="s">
        <v>347</v>
      </c>
      <c r="B51" s="15"/>
      <c r="C51" s="15"/>
      <c r="D51" s="54">
        <f>IFERROR(D49/D50,0)</f>
        <v>1886.848</v>
      </c>
      <c r="E51" s="15"/>
      <c r="F51" s="15"/>
    </row>
    <row r="52" spans="1:6" ht="15" customHeight="1" x14ac:dyDescent="0.3">
      <c r="A52" s="14" t="s">
        <v>348</v>
      </c>
      <c r="B52" s="55">
        <v>128</v>
      </c>
      <c r="C52" s="56" t="s">
        <v>349</v>
      </c>
      <c r="D52" s="53">
        <f>IFERROR(D51/'1·PRODUÇÃO'!$H$5*B52,0)</f>
        <v>6708.7928888888891</v>
      </c>
      <c r="E52" s="15"/>
      <c r="F52" s="15"/>
    </row>
    <row r="53" spans="1:6" ht="15" customHeight="1" x14ac:dyDescent="0.3">
      <c r="A53" s="13" t="s">
        <v>350</v>
      </c>
    </row>
    <row r="55" spans="1:6" x14ac:dyDescent="0.3">
      <c r="A55" s="100" t="s">
        <v>1508</v>
      </c>
    </row>
    <row r="56" spans="1:6" x14ac:dyDescent="0.3">
      <c r="A56" t="s">
        <v>1509</v>
      </c>
      <c r="B56" t="s">
        <v>1510</v>
      </c>
      <c r="C56" t="s">
        <v>1511</v>
      </c>
    </row>
    <row r="57" spans="1:6" x14ac:dyDescent="0.3">
      <c r="A57" t="str">
        <f t="array" ref="A57">IFERROR(INDEX(ESTOQUE!$C:$C,SMALL(IF(ESTOQUE!$A$2:$A$200="Sêmen",ROW(ESTOQUE!$A$2:$A$200)),1)),"")</f>
        <v>JAG (excluir)</v>
      </c>
      <c r="B57">
        <f t="array" ref="B57">IFERROR(INDEX(ESTOQUE!$D:$D,SMALL(IF(ESTOQUE!$A$2:$A$200="Sêmen",ROW(ESTOQUE!$A$2:$A$200)),1)),"")</f>
        <v>0</v>
      </c>
      <c r="C57">
        <f t="array" ref="C57">IFERROR(INDEX(ESTOQUE!$H:$H,SMALL(IF(ESTOQUE!$A$2:$A$200="Sêmen",ROW(ESTOQUE!$A$2:$A$200)),1)),"")</f>
        <v>0</v>
      </c>
    </row>
    <row r="58" spans="1:6" x14ac:dyDescent="0.3">
      <c r="A58" t="str">
        <f t="array" ref="A58">IFERROR(INDEX(ESTOQUE!$C:$C,SMALL(IF(ESTOQUE!$A$2:$A$200="Sêmen",ROW(ESTOQUE!$A$2:$A$200)),2)),"")</f>
        <v>A.R.K. MYTYME HILLUX</v>
      </c>
      <c r="B58">
        <f t="array" ref="B58">IFERROR(INDEX(ESTOQUE!$D:$D,SMALL(IF(ESTOQUE!$A$2:$A$200="Sêmen",ROW(ESTOQUE!$A$2:$A$200)),2)),"")</f>
        <v>0</v>
      </c>
      <c r="C58">
        <f t="array" ref="C58">IFERROR(INDEX(ESTOQUE!$H:$H,SMALL(IF(ESTOQUE!$A$2:$A$200="Sêmen",ROW(ESTOQUE!$A$2:$A$200)),2)),"")</f>
        <v>0</v>
      </c>
    </row>
    <row r="59" spans="1:6" x14ac:dyDescent="0.3">
      <c r="A59" t="str">
        <f t="array" ref="A59">IFERROR(INDEX(ESTOQUE!$C:$C,SMALL(IF(ESTOQUE!$A$2:$A$200="Sêmen",ROW(ESTOQUE!$A$2:$A$200)),3)),"")</f>
        <v>A.R.K. STARGAZER MES</v>
      </c>
      <c r="B59">
        <f t="array" ref="B59">IFERROR(INDEX(ESTOQUE!$D:$D,SMALL(IF(ESTOQUE!$A$2:$A$200="Sêmen",ROW(ESTOQUE!$A$2:$A$200)),3)),"")</f>
        <v>0</v>
      </c>
      <c r="C59">
        <f t="array" ref="C59">IFERROR(INDEX(ESTOQUE!$H:$H,SMALL(IF(ESTOQUE!$A$2:$A$200="Sêmen",ROW(ESTOQUE!$A$2:$A$200)),3)),"")</f>
        <v>0</v>
      </c>
    </row>
    <row r="60" spans="1:6" x14ac:dyDescent="0.3">
      <c r="A60" t="str">
        <f t="array" ref="A60">IFERROR(INDEX(ESTOQUE!$C:$C,SMALL(IF(ESTOQUE!$A$2:$A$200="Sêmen",ROW(ESTOQUE!$A$2:$A$200)),4)),"")</f>
        <v>ABS LABEL</v>
      </c>
      <c r="B60">
        <f t="array" ref="B60">IFERROR(INDEX(ESTOQUE!$D:$D,SMALL(IF(ESTOQUE!$A$2:$A$200="Sêmen",ROW(ESTOQUE!$A$2:$A$200)),4)),"")</f>
        <v>0</v>
      </c>
      <c r="C60">
        <f t="array" ref="C60">IFERROR(INDEX(ESTOQUE!$H:$H,SMALL(IF(ESTOQUE!$A$2:$A$200="Sêmen",ROW(ESTOQUE!$A$2:$A$200)),4)),"")</f>
        <v>0</v>
      </c>
    </row>
    <row r="61" spans="1:6" x14ac:dyDescent="0.3">
      <c r="A61" t="str">
        <f t="array" ref="A61">IFERROR(INDEX(ESTOQUE!$C:$C,SMALL(IF(ESTOQUE!$A$2:$A$200="Sêmen",ROW(ESTOQUE!$A$2:$A$200)),5)),"")</f>
        <v>CAMPEAO FIV RIO DO L</v>
      </c>
      <c r="B61">
        <f t="array" ref="B61">IFERROR(INDEX(ESTOQUE!$D:$D,SMALL(IF(ESTOQUE!$A$2:$A$200="Sêmen",ROW(ESTOQUE!$A$2:$A$200)),5)),"")</f>
        <v>0</v>
      </c>
      <c r="C61">
        <f t="array" ref="C61">IFERROR(INDEX(ESTOQUE!$H:$H,SMALL(IF(ESTOQUE!$A$2:$A$200="Sêmen",ROW(ESTOQUE!$A$2:$A$200)),5)),"")</f>
        <v>0</v>
      </c>
    </row>
    <row r="62" spans="1:6" x14ac:dyDescent="0.3">
      <c r="A62" t="str">
        <f t="array" ref="A62">IFERROR(INDEX(ESTOQUE!$C:$C,SMALL(IF(ESTOQUE!$A$2:$A$200="Sêmen",ROW(ESTOQUE!$A$2:$A$200)),6)),"")</f>
        <v>COORS</v>
      </c>
      <c r="B62">
        <f t="array" ref="B62">IFERROR(INDEX(ESTOQUE!$D:$D,SMALL(IF(ESTOQUE!$A$2:$A$200="Sêmen",ROW(ESTOQUE!$A$2:$A$200)),6)),"")</f>
        <v>2</v>
      </c>
      <c r="C62">
        <f t="array" ref="C62">IFERROR(INDEX(ESTOQUE!$H:$H,SMALL(IF(ESTOQUE!$A$2:$A$200="Sêmen",ROW(ESTOQUE!$A$2:$A$200)),6)),"")</f>
        <v>8.3800000000000008</v>
      </c>
    </row>
    <row r="63" spans="1:6" x14ac:dyDescent="0.3">
      <c r="A63" t="str">
        <f t="array" ref="A63">IFERROR(INDEX(ESTOQUE!$C:$C,SMALL(IF(ESTOQUE!$A$2:$A$200="Sêmen",ROW(ESTOQUE!$A$2:$A$200)),7)),"")</f>
        <v>GUINESS</v>
      </c>
      <c r="B63">
        <f t="array" ref="B63">IFERROR(INDEX(ESTOQUE!$D:$D,SMALL(IF(ESTOQUE!$A$2:$A$200="Sêmen",ROW(ESTOQUE!$A$2:$A$200)),7)),"")</f>
        <v>2</v>
      </c>
      <c r="C63">
        <f t="array" ref="C63">IFERROR(INDEX(ESTOQUE!$H:$H,SMALL(IF(ESTOQUE!$A$2:$A$200="Sêmen",ROW(ESTOQUE!$A$2:$A$200)),7)),"")</f>
        <v>45.33</v>
      </c>
    </row>
    <row r="64" spans="1:6" x14ac:dyDescent="0.3">
      <c r="A64" t="str">
        <f t="array" ref="A64">IFERROR(INDEX(ESTOQUE!$C:$C,SMALL(IF(ESTOQUE!$A$2:$A$200="Sêmen",ROW(ESTOQUE!$A$2:$A$200)),8)),"")</f>
        <v>HAGEN</v>
      </c>
      <c r="B64">
        <f t="array" ref="B64">IFERROR(INDEX(ESTOQUE!$D:$D,SMALL(IF(ESTOQUE!$A$2:$A$200="Sêmen",ROW(ESTOQUE!$A$2:$A$200)),8)),"")</f>
        <v>2</v>
      </c>
      <c r="C64">
        <f t="array" ref="C64">IFERROR(INDEX(ESTOQUE!$H:$H,SMALL(IF(ESTOQUE!$A$2:$A$200="Sêmen",ROW(ESTOQUE!$A$2:$A$200)),8)),"")</f>
        <v>250</v>
      </c>
    </row>
    <row r="65" spans="1:3" x14ac:dyDescent="0.3">
      <c r="A65" t="str">
        <f t="array" ref="A65">IFERROR(INDEX(ESTOQUE!$C:$C,SMALL(IF(ESTOQUE!$A$2:$A$200="Sêmen",ROW(ESTOQUE!$A$2:$A$200)),9)),"")</f>
        <v>JAG</v>
      </c>
      <c r="B65">
        <f t="array" ref="B65">IFERROR(INDEX(ESTOQUE!$D:$D,SMALL(IF(ESTOQUE!$A$2:$A$200="Sêmen",ROW(ESTOQUE!$A$2:$A$200)),9)),"")</f>
        <v>1</v>
      </c>
      <c r="C65">
        <f t="array" ref="C65">IFERROR(INDEX(ESTOQUE!$H:$H,SMALL(IF(ESTOQUE!$A$2:$A$200="Sêmen",ROW(ESTOQUE!$A$2:$A$200)),9)),"")</f>
        <v>0</v>
      </c>
    </row>
    <row r="66" spans="1:3" x14ac:dyDescent="0.3">
      <c r="A66" t="str">
        <f t="array" ref="A66">IFERROR(INDEX(ESTOQUE!$C:$C,SMALL(IF(ESTOQUE!$A$2:$A$200="Sêmen",ROW(ESTOQUE!$A$2:$A$200)),10)),"")</f>
        <v>METEORO</v>
      </c>
      <c r="B66">
        <f t="array" ref="B66">IFERROR(INDEX(ESTOQUE!$D:$D,SMALL(IF(ESTOQUE!$A$2:$A$200="Sêmen",ROW(ESTOQUE!$A$2:$A$200)),10)),"")</f>
        <v>0</v>
      </c>
      <c r="C66">
        <f t="array" ref="C66">IFERROR(INDEX(ESTOQUE!$H:$H,SMALL(IF(ESTOQUE!$A$2:$A$200="Sêmen",ROW(ESTOQUE!$A$2:$A$200)),10)),"")</f>
        <v>0</v>
      </c>
    </row>
    <row r="67" spans="1:3" x14ac:dyDescent="0.3">
      <c r="A67" t="str">
        <f t="array" ref="A67">IFERROR(INDEX(ESTOQUE!$C:$C,SMALL(IF(ESTOQUE!$A$2:$A$200="Sêmen",ROW(ESTOQUE!$A$2:$A$200)),11)),"")</f>
        <v>MOSAIC</v>
      </c>
      <c r="B67">
        <f t="array" ref="B67">IFERROR(INDEX(ESTOQUE!$D:$D,SMALL(IF(ESTOQUE!$A$2:$A$200="Sêmen",ROW(ESTOQUE!$A$2:$A$200)),11)),"")</f>
        <v>1</v>
      </c>
      <c r="C67">
        <f t="array" ref="C67">IFERROR(INDEX(ESTOQUE!$H:$H,SMALL(IF(ESTOQUE!$A$2:$A$200="Sêmen",ROW(ESTOQUE!$A$2:$A$200)),11)),"")</f>
        <v>0</v>
      </c>
    </row>
    <row r="68" spans="1:3" x14ac:dyDescent="0.3">
      <c r="A68" t="str">
        <f t="array" ref="A68">IFERROR(INDEX(ESTOQUE!$C:$C,SMALL(IF(ESTOQUE!$A$2:$A$200="Sêmen",ROW(ESTOQUE!$A$2:$A$200)),12)),"")</f>
        <v>NABIL</v>
      </c>
      <c r="B68">
        <f t="array" ref="B68">IFERROR(INDEX(ESTOQUE!$D:$D,SMALL(IF(ESTOQUE!$A$2:$A$200="Sêmen",ROW(ESTOQUE!$A$2:$A$200)),12)),"")</f>
        <v>0</v>
      </c>
      <c r="C68">
        <f t="array" ref="C68">IFERROR(INDEX(ESTOQUE!$H:$H,SMALL(IF(ESTOQUE!$A$2:$A$200="Sêmen",ROW(ESTOQUE!$A$2:$A$200)),12)),"")</f>
        <v>0</v>
      </c>
    </row>
  </sheetData>
  <mergeCells count="25">
    <mergeCell ref="A1:N1"/>
    <mergeCell ref="A2:N2"/>
    <mergeCell ref="A4:B4"/>
    <mergeCell ref="C4:D4"/>
    <mergeCell ref="E4:F4"/>
    <mergeCell ref="G4:H4"/>
    <mergeCell ref="I4:J4"/>
    <mergeCell ref="A5:B6"/>
    <mergeCell ref="C5:D6"/>
    <mergeCell ref="E5:F6"/>
    <mergeCell ref="G5:H6"/>
    <mergeCell ref="I5:J6"/>
    <mergeCell ref="A8:E8"/>
    <mergeCell ref="A32:L32"/>
    <mergeCell ref="A33:B33"/>
    <mergeCell ref="C33:L33"/>
    <mergeCell ref="A34:B34"/>
    <mergeCell ref="C34:L34"/>
    <mergeCell ref="A41:H45"/>
    <mergeCell ref="A47:H47"/>
    <mergeCell ref="A35:B35"/>
    <mergeCell ref="C35:L35"/>
    <mergeCell ref="A36:B36"/>
    <mergeCell ref="C36:L36"/>
    <mergeCell ref="A40:H40"/>
  </mergeCells>
  <dataValidations count="1">
    <dataValidation type="list" sqref="B48" xr:uid="{00000000-0002-0000-0600-000000000000}">
      <formula1>"3.01.01,3.01.02,3.01.03,3.01,3.03.01,3.03,3.02,3,2.01.01"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>
    <tabColor rgb="FF400020"/>
  </sheetPr>
  <dimension ref="A1:N112"/>
  <sheetViews>
    <sheetView showGridLines="0" topLeftCell="A96" zoomScaleNormal="100" workbookViewId="0">
      <selection activeCell="A15" sqref="A15:D15"/>
    </sheetView>
  </sheetViews>
  <sheetFormatPr defaultColWidth="8.6640625" defaultRowHeight="14.4" x14ac:dyDescent="0.3"/>
  <cols>
    <col min="1" max="1" width="16" customWidth="1"/>
    <col min="2" max="4" width="11" customWidth="1"/>
    <col min="5" max="5" width="12.88671875" bestFit="1" customWidth="1"/>
    <col min="6" max="14" width="11" customWidth="1"/>
  </cols>
  <sheetData>
    <row r="1" spans="1:14" ht="33.75" customHeight="1" x14ac:dyDescent="0.3">
      <c r="A1" s="172" t="s">
        <v>351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</row>
    <row r="2" spans="1:14" ht="15" customHeight="1" x14ac:dyDescent="0.3">
      <c r="A2" s="123" t="s">
        <v>352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</row>
    <row r="3" spans="1:14" x14ac:dyDescent="0.3">
      <c r="A3" s="176" t="s">
        <v>1502</v>
      </c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</row>
    <row r="4" spans="1:14" ht="18.75" customHeight="1" x14ac:dyDescent="0.3">
      <c r="A4" s="97" t="s">
        <v>51</v>
      </c>
      <c r="B4" s="52">
        <v>45992</v>
      </c>
      <c r="C4" s="97" t="s">
        <v>52</v>
      </c>
      <c r="D4" s="52">
        <v>46387</v>
      </c>
      <c r="E4" s="97" t="s">
        <v>353</v>
      </c>
      <c r="F4" s="58" t="s">
        <v>54</v>
      </c>
      <c r="G4" s="97" t="s">
        <v>354</v>
      </c>
      <c r="H4" s="59" t="s">
        <v>355</v>
      </c>
      <c r="I4" s="13" t="s">
        <v>356</v>
      </c>
      <c r="J4" s="98"/>
      <c r="L4" s="98"/>
    </row>
    <row r="5" spans="1:14" ht="21.75" customHeight="1" x14ac:dyDescent="0.3">
      <c r="A5" s="1"/>
      <c r="B5" s="3"/>
      <c r="D5" s="1"/>
      <c r="E5" s="2"/>
      <c r="F5" s="1"/>
      <c r="G5" s="2"/>
      <c r="H5" s="42"/>
      <c r="J5" s="99"/>
      <c r="L5" s="99"/>
    </row>
    <row r="6" spans="1:14" ht="15" customHeight="1" x14ac:dyDescent="0.3">
      <c r="A6" s="173" t="s">
        <v>357</v>
      </c>
      <c r="B6" s="173"/>
      <c r="C6" s="151" t="s">
        <v>358</v>
      </c>
      <c r="D6" s="151"/>
      <c r="E6" s="150" t="s">
        <v>359</v>
      </c>
      <c r="F6" s="150"/>
      <c r="G6" s="61"/>
    </row>
    <row r="7" spans="1:14" ht="15" customHeight="1" x14ac:dyDescent="0.3">
      <c r="A7" s="174">
        <f>SUMPRODUCT(--((LEFT(CONTA_GER!$A$2:$A$1500,LEN("2"))="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1180761.94</v>
      </c>
      <c r="B7" s="174"/>
      <c r="C7" s="174">
        <f>SUMPRODUCT(--((LEFT(CONTA_GER!$A$2:$A$1500,LEN("3"))="3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1695065.6200000006</v>
      </c>
      <c r="D7" s="174"/>
      <c r="E7" s="174">
        <f>A7-C7</f>
        <v>-514303.68000000063</v>
      </c>
      <c r="F7" s="174"/>
    </row>
    <row r="8" spans="1:14" ht="18.75" customHeight="1" x14ac:dyDescent="0.3">
      <c r="A8" s="174"/>
      <c r="B8" s="174"/>
      <c r="C8" s="174"/>
      <c r="D8" s="174"/>
      <c r="E8" s="174"/>
      <c r="F8" s="174"/>
    </row>
    <row r="9" spans="1:14" ht="15" customHeight="1" x14ac:dyDescent="0.3">
      <c r="A9" s="7"/>
      <c r="B9" s="7"/>
      <c r="C9" s="7"/>
      <c r="D9" s="7"/>
      <c r="E9" s="7"/>
    </row>
    <row r="10" spans="1:14" ht="15" customHeight="1" x14ac:dyDescent="0.3">
      <c r="A10" s="175" t="s">
        <v>360</v>
      </c>
      <c r="B10" s="175"/>
      <c r="C10" s="175"/>
      <c r="D10" s="175"/>
      <c r="E10" s="175"/>
      <c r="F10" s="175"/>
      <c r="H10" s="121" t="s">
        <v>361</v>
      </c>
      <c r="I10" s="121"/>
      <c r="J10" s="121"/>
      <c r="K10" s="121"/>
      <c r="L10" s="121"/>
      <c r="M10" s="121"/>
    </row>
    <row r="11" spans="1:14" ht="15" customHeight="1" x14ac:dyDescent="0.3">
      <c r="A11" s="120" t="s">
        <v>362</v>
      </c>
      <c r="B11" s="120"/>
      <c r="C11" s="120"/>
      <c r="D11" s="120"/>
      <c r="E11" s="62" t="s">
        <v>363</v>
      </c>
      <c r="F11" s="7" t="s">
        <v>364</v>
      </c>
      <c r="H11" s="7" t="s">
        <v>256</v>
      </c>
      <c r="I11" s="7" t="s">
        <v>365</v>
      </c>
      <c r="J11" s="7" t="s">
        <v>366</v>
      </c>
      <c r="K11" s="7" t="s">
        <v>367</v>
      </c>
      <c r="L11" s="7" t="s">
        <v>368</v>
      </c>
    </row>
    <row r="12" spans="1:14" ht="15" customHeight="1" x14ac:dyDescent="0.3">
      <c r="A12" s="168" t="s">
        <v>369</v>
      </c>
      <c r="B12" s="168"/>
      <c r="C12" s="168"/>
      <c r="D12" s="168"/>
      <c r="E12" s="63">
        <f>SUMPRODUCT(--((LEFT(CONTA_GER!$A$2:$A$1500,LEN("2"))="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1180761.94</v>
      </c>
      <c r="F12" s="64">
        <f>IFERROR($E12/SUMPRODUCT(--(LEFT(CONTA_GER!$A$2:$A$1500,1)="2"),--(($H$4="Caixa")*CONTA_GER!$L$2:$L$1500+($H$4&lt;&gt;"Caixa")*CONTA_GER!$J$2:$J$1500)),0)</f>
        <v>1</v>
      </c>
      <c r="H12" s="65" t="s">
        <v>231</v>
      </c>
      <c r="I12" s="66">
        <f>SUMPRODUCT(--((LEFT(CONTA_GER!$A$2:$A$1500,1)="2")),--((($H$4="Caixa")*CONTA_GER!$L$2:$L$1500+($H$4&lt;&gt;"Caixa")*CONTA_GER!$J$2:$J$1500)),--((($H$4="Caixa")*(CONTA_GER!$D$2:$D$1500&gt;=DATE(2025,12,1))*(CONTA_GER!$D$2:$D$1500&lt;=DATE(2025,12,31))+($H$4&lt;&gt;"Caixa")*(CONTA_GER!$E$2:$E$1500&gt;=DATE(2025,12,1))*(CONTA_GER!$E$2:$E$1500&lt;=DATE(2025,12,31)))),--((($F$4="(Todos)")+(CONTA_GER!$N$2:$N$1500=$F$4)&gt;0)))</f>
        <v>216296.52</v>
      </c>
      <c r="J12" s="66">
        <f>SUMPRODUCT(--((LEFT(CONTA_GER!$A$2:$A$1500,1)="3")),--((($H$4="Caixa")*CONTA_GER!$L$2:$L$1500+($H$4&lt;&gt;"Caixa")*CONTA_GER!$J$2:$J$1500)),--((($H$4="Caixa")*(CONTA_GER!$D$2:$D$1500&gt;=DATE(2025,12,1))*(CONTA_GER!$D$2:$D$1500&lt;=DATE(2025,12,31))+($H$4&lt;&gt;"Caixa")*(CONTA_GER!$E$2:$E$1500&gt;=DATE(2025,12,1))*(CONTA_GER!$E$2:$E$1500&lt;=DATE(2025,12,31)))),--((($F$4="(Todos)")+(CONTA_GER!$N$2:$N$1500=$F$4)&gt;0)))</f>
        <v>152192.63</v>
      </c>
      <c r="K12" s="67">
        <f t="shared" ref="K12:K19" si="0">I12-J12</f>
        <v>64103.889999999985</v>
      </c>
      <c r="L12" s="66">
        <f>K12</f>
        <v>64103.889999999985</v>
      </c>
    </row>
    <row r="13" spans="1:14" ht="15" customHeight="1" x14ac:dyDescent="0.3">
      <c r="A13" s="166" t="s">
        <v>370</v>
      </c>
      <c r="B13" s="166"/>
      <c r="C13" s="166"/>
      <c r="D13" s="166"/>
      <c r="E13" s="68">
        <f>SUMPRODUCT(--((LEFT(CONTA_GER!$A$2:$A$1500,LEN("2.01"))="2.01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346770.7</v>
      </c>
      <c r="F13" s="69">
        <f>IFERROR($E13/SUMPRODUCT(--(LEFT(CONTA_GER!$A$2:$A$1500,1)="2"),--(($H$4="Caixa")*CONTA_GER!$L$2:$L$1500+($H$4&lt;&gt;"Caixa")*CONTA_GER!$J$2:$J$1500)),0)</f>
        <v>0.29368383943676235</v>
      </c>
      <c r="H13" s="65" t="s">
        <v>232</v>
      </c>
      <c r="I13" s="66">
        <f>SUMPRODUCT(--((LEFT(CONTA_GER!$A$2:$A$1500,1)="2")),--((($H$4="Caixa")*CONTA_GER!$L$2:$L$1500+($H$4&lt;&gt;"Caixa")*CONTA_GER!$J$2:$J$1500)),--((($H$4="Caixa")*(CONTA_GER!$D$2:$D$1500&gt;=DATE(2026,1,1))*(CONTA_GER!$D$2:$D$1500&lt;=DATE(2026,1,31))+($H$4&lt;&gt;"Caixa")*(CONTA_GER!$E$2:$E$1500&gt;=DATE(2026,1,1))*(CONTA_GER!$E$2:$E$1500&lt;=DATE(2026,1,31)))),--((($F$4="(Todos)")+(CONTA_GER!$N$2:$N$1500=$F$4)&gt;0)))</f>
        <v>145386.02000000002</v>
      </c>
      <c r="J13" s="66">
        <f>SUMPRODUCT(--((LEFT(CONTA_GER!$A$2:$A$1500,1)="3")),--((($H$4="Caixa")*CONTA_GER!$L$2:$L$1500+($H$4&lt;&gt;"Caixa")*CONTA_GER!$J$2:$J$1500)),--((($H$4="Caixa")*(CONTA_GER!$D$2:$D$1500&gt;=DATE(2026,1,1))*(CONTA_GER!$D$2:$D$1500&lt;=DATE(2026,1,31))+($H$4&lt;&gt;"Caixa")*(CONTA_GER!$E$2:$E$1500&gt;=DATE(2026,1,1))*(CONTA_GER!$E$2:$E$1500&lt;=DATE(2026,1,31)))),--((($F$4="(Todos)")+(CONTA_GER!$N$2:$N$1500=$F$4)&gt;0)))</f>
        <v>59367.750000000007</v>
      </c>
      <c r="K13" s="67">
        <f t="shared" si="0"/>
        <v>86018.270000000019</v>
      </c>
      <c r="L13" s="66">
        <f t="shared" ref="L13:L19" si="1">L12+K13</f>
        <v>150122.16</v>
      </c>
    </row>
    <row r="14" spans="1:14" ht="15" customHeight="1" x14ac:dyDescent="0.3">
      <c r="A14" s="165" t="s">
        <v>371</v>
      </c>
      <c r="B14" s="165"/>
      <c r="C14" s="165"/>
      <c r="D14" s="165"/>
      <c r="E14" s="50">
        <f>SUMPRODUCT(--((LEFT(CONTA_GER!$A$2:$A$1500,LEN("2.01.01"))="2.01.01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204911.08000000002</v>
      </c>
      <c r="F14" s="69">
        <f>IFERROR($E14/SUMPRODUCT(--(LEFT(CONTA_GER!$A$2:$A$1500,1)="2"),--(($H$4="Caixa")*CONTA_GER!$L$2:$L$1500+($H$4&lt;&gt;"Caixa")*CONTA_GER!$J$2:$J$1500)),0)</f>
        <v>0.17354139988624637</v>
      </c>
      <c r="H14" s="65" t="s">
        <v>233</v>
      </c>
      <c r="I14" s="66">
        <f>SUMPRODUCT(--((LEFT(CONTA_GER!$A$2:$A$1500,1)="2")),--((($H$4="Caixa")*CONTA_GER!$L$2:$L$1500+($H$4&lt;&gt;"Caixa")*CONTA_GER!$J$2:$J$1500)),--((($H$4="Caixa")*(CONTA_GER!$D$2:$D$1500&gt;=DATE(2026,2,1))*(CONTA_GER!$D$2:$D$1500&lt;=DATE(2026,2,28))+($H$4&lt;&gt;"Caixa")*(CONTA_GER!$E$2:$E$1500&gt;=DATE(2026,2,1))*(CONTA_GER!$E$2:$E$1500&lt;=DATE(2026,2,28)))),--((($F$4="(Todos)")+(CONTA_GER!$N$2:$N$1500=$F$4)&gt;0)))</f>
        <v>449902.54</v>
      </c>
      <c r="J14" s="66">
        <f>SUMPRODUCT(--((LEFT(CONTA_GER!$A$2:$A$1500,1)="3")),--((($H$4="Caixa")*CONTA_GER!$L$2:$L$1500+($H$4&lt;&gt;"Caixa")*CONTA_GER!$J$2:$J$1500)),--((($H$4="Caixa")*(CONTA_GER!$D$2:$D$1500&gt;=DATE(2026,2,1))*(CONTA_GER!$D$2:$D$1500&lt;=DATE(2026,2,28))+($H$4&lt;&gt;"Caixa")*(CONTA_GER!$E$2:$E$1500&gt;=DATE(2026,2,1))*(CONTA_GER!$E$2:$E$1500&lt;=DATE(2026,2,28)))),--((($F$4="(Todos)")+(CONTA_GER!$N$2:$N$1500=$F$4)&gt;0)))</f>
        <v>96195.310000000012</v>
      </c>
      <c r="K14" s="67">
        <f t="shared" si="0"/>
        <v>353707.23</v>
      </c>
      <c r="L14" s="66">
        <f t="shared" si="1"/>
        <v>503829.39</v>
      </c>
    </row>
    <row r="15" spans="1:14" ht="15" customHeight="1" x14ac:dyDescent="0.3">
      <c r="A15" s="165" t="s">
        <v>372</v>
      </c>
      <c r="B15" s="165"/>
      <c r="C15" s="165"/>
      <c r="D15" s="165"/>
      <c r="E15" s="50">
        <f>SUMPRODUCT(--((LEFT(CONTA_GER!$A$2:$A$1500,LEN("2.01.01.01"))="2.01.01.01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204911.08000000002</v>
      </c>
      <c r="F15" s="69">
        <f>IFERROR($E15/SUMPRODUCT(--(LEFT(CONTA_GER!$A$2:$A$1500,1)="2"),--(($H$4="Caixa")*CONTA_GER!$L$2:$L$1500+($H$4&lt;&gt;"Caixa")*CONTA_GER!$J$2:$J$1500)),0)</f>
        <v>0.17354139988624637</v>
      </c>
      <c r="H15" s="65" t="s">
        <v>234</v>
      </c>
      <c r="I15" s="66">
        <f>SUMPRODUCT(--((LEFT(CONTA_GER!$A$2:$A$1500,1)="2")),--((($H$4="Caixa")*CONTA_GER!$L$2:$L$1500+($H$4&lt;&gt;"Caixa")*CONTA_GER!$J$2:$J$1500)),--((($H$4="Caixa")*(CONTA_GER!$D$2:$D$1500&gt;=DATE(2026,3,1))*(CONTA_GER!$D$2:$D$1500&lt;=DATE(2026,3,31))+($H$4&lt;&gt;"Caixa")*(CONTA_GER!$E$2:$E$1500&gt;=DATE(2026,3,1))*(CONTA_GER!$E$2:$E$1500&lt;=DATE(2026,3,31)))),--((($F$4="(Todos)")+(CONTA_GER!$N$2:$N$1500=$F$4)&gt;0)))</f>
        <v>218942.88</v>
      </c>
      <c r="J15" s="66">
        <f>SUMPRODUCT(--((LEFT(CONTA_GER!$A$2:$A$1500,1)="3")),--((($H$4="Caixa")*CONTA_GER!$L$2:$L$1500+($H$4&lt;&gt;"Caixa")*CONTA_GER!$J$2:$J$1500)),--((($H$4="Caixa")*(CONTA_GER!$D$2:$D$1500&gt;=DATE(2026,3,1))*(CONTA_GER!$D$2:$D$1500&lt;=DATE(2026,3,31))+($H$4&lt;&gt;"Caixa")*(CONTA_GER!$E$2:$E$1500&gt;=DATE(2026,3,1))*(CONTA_GER!$E$2:$E$1500&lt;=DATE(2026,3,31)))),--((($F$4="(Todos)")+(CONTA_GER!$N$2:$N$1500=$F$4)&gt;0)))</f>
        <v>132891.38</v>
      </c>
      <c r="K15" s="67">
        <f t="shared" si="0"/>
        <v>86051.5</v>
      </c>
      <c r="L15" s="66">
        <f t="shared" si="1"/>
        <v>589880.89</v>
      </c>
    </row>
    <row r="16" spans="1:14" ht="15" customHeight="1" x14ac:dyDescent="0.3">
      <c r="A16" s="171" t="s">
        <v>373</v>
      </c>
      <c r="B16" s="171"/>
      <c r="C16" s="171"/>
      <c r="D16" s="171"/>
      <c r="E16" s="50">
        <f>SUMPRODUCT(--((LEFT(CONTA_GER!$A$2:$A$1500,LEN("2.01.02"))="2.01.02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139859.62</v>
      </c>
      <c r="F16" s="69">
        <f>IFERROR($E16/SUMPRODUCT(--(LEFT(CONTA_GER!$A$2:$A$1500,1)="2"),--(($H$4="Caixa")*CONTA_GER!$L$2:$L$1500+($H$4&lt;&gt;"Caixa")*CONTA_GER!$J$2:$J$1500)),0)</f>
        <v>0.11844861801693914</v>
      </c>
      <c r="H16" s="65" t="s">
        <v>235</v>
      </c>
      <c r="I16" s="66">
        <f>SUMPRODUCT(--((LEFT(CONTA_GER!$A$2:$A$1500,1)="2")),--((($H$4="Caixa")*CONTA_GER!$L$2:$L$1500+($H$4&lt;&gt;"Caixa")*CONTA_GER!$J$2:$J$1500)),--((($H$4="Caixa")*(CONTA_GER!$D$2:$D$1500&gt;=DATE(2026,4,1))*(CONTA_GER!$D$2:$D$1500&lt;=DATE(2026,4,30))+($H$4&lt;&gt;"Caixa")*(CONTA_GER!$E$2:$E$1500&gt;=DATE(2026,4,1))*(CONTA_GER!$E$2:$E$1500&lt;=DATE(2026,4,30)))),--((($F$4="(Todos)")+(CONTA_GER!$N$2:$N$1500=$F$4)&gt;0)))</f>
        <v>35776.32</v>
      </c>
      <c r="J16" s="66">
        <f>SUMPRODUCT(--((LEFT(CONTA_GER!$A$2:$A$1500,1)="3")),--((($H$4="Caixa")*CONTA_GER!$L$2:$L$1500+($H$4&lt;&gt;"Caixa")*CONTA_GER!$J$2:$J$1500)),--((($H$4="Caixa")*(CONTA_GER!$D$2:$D$1500&gt;=DATE(2026,4,1))*(CONTA_GER!$D$2:$D$1500&lt;=DATE(2026,4,30))+($H$4&lt;&gt;"Caixa")*(CONTA_GER!$E$2:$E$1500&gt;=DATE(2026,4,1))*(CONTA_GER!$E$2:$E$1500&lt;=DATE(2026,4,30)))),--((($F$4="(Todos)")+(CONTA_GER!$N$2:$N$1500=$F$4)&gt;0)))</f>
        <v>459569.27</v>
      </c>
      <c r="K16" s="67">
        <f t="shared" si="0"/>
        <v>-423792.95</v>
      </c>
      <c r="L16" s="66">
        <f t="shared" si="1"/>
        <v>166087.94</v>
      </c>
    </row>
    <row r="17" spans="1:12" ht="15" customHeight="1" x14ac:dyDescent="0.3">
      <c r="A17" s="165" t="s">
        <v>374</v>
      </c>
      <c r="B17" s="165"/>
      <c r="C17" s="165"/>
      <c r="D17" s="165"/>
      <c r="E17" s="50">
        <f>SUMPRODUCT(--((LEFT(CONTA_GER!$A$2:$A$1500,LEN("2.01.02.01"))="2.01.02.01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133859.62</v>
      </c>
      <c r="F17" s="69">
        <f>IFERROR($E17/SUMPRODUCT(--(LEFT(CONTA_GER!$A$2:$A$1500,1)="2"),--(($H$4="Caixa")*CONTA_GER!$L$2:$L$1500+($H$4&lt;&gt;"Caixa")*CONTA_GER!$J$2:$J$1500)),0)</f>
        <v>0.11336715341620852</v>
      </c>
      <c r="H17" s="65" t="s">
        <v>236</v>
      </c>
      <c r="I17" s="66">
        <f>SUMPRODUCT(--((LEFT(CONTA_GER!$A$2:$A$1500,1)="2")),--((($H$4="Caixa")*CONTA_GER!$L$2:$L$1500+($H$4&lt;&gt;"Caixa")*CONTA_GER!$J$2:$J$1500)),--((($H$4="Caixa")*(CONTA_GER!$D$2:$D$1500&gt;=DATE(2026,5,1))*(CONTA_GER!$D$2:$D$1500&lt;=DATE(2026,5,31))+($H$4&lt;&gt;"Caixa")*(CONTA_GER!$E$2:$E$1500&gt;=DATE(2026,5,1))*(CONTA_GER!$E$2:$E$1500&lt;=DATE(2026,5,31)))),--((($F$4="(Todos)")+(CONTA_GER!$N$2:$N$1500=$F$4)&gt;0)))</f>
        <v>49070.79</v>
      </c>
      <c r="J17" s="66">
        <f>SUMPRODUCT(--((LEFT(CONTA_GER!$A$2:$A$1500,1)="3")),--((($H$4="Caixa")*CONTA_GER!$L$2:$L$1500+($H$4&lt;&gt;"Caixa")*CONTA_GER!$J$2:$J$1500)),--((($H$4="Caixa")*(CONTA_GER!$D$2:$D$1500&gt;=DATE(2026,5,1))*(CONTA_GER!$D$2:$D$1500&lt;=DATE(2026,5,31))+($H$4&lt;&gt;"Caixa")*(CONTA_GER!$E$2:$E$1500&gt;=DATE(2026,5,1))*(CONTA_GER!$E$2:$E$1500&lt;=DATE(2026,5,31)))),--((($F$4="(Todos)")+(CONTA_GER!$N$2:$N$1500=$F$4)&gt;0)))</f>
        <v>281197.04999999993</v>
      </c>
      <c r="K17" s="67">
        <f t="shared" si="0"/>
        <v>-232126.25999999992</v>
      </c>
      <c r="L17" s="66">
        <f t="shared" si="1"/>
        <v>-66038.31999999992</v>
      </c>
    </row>
    <row r="18" spans="1:12" ht="15" customHeight="1" x14ac:dyDescent="0.3">
      <c r="A18" s="165" t="s">
        <v>375</v>
      </c>
      <c r="B18" s="165"/>
      <c r="C18" s="165"/>
      <c r="D18" s="165"/>
      <c r="E18" s="50">
        <f>SUMPRODUCT(--((LEFT(CONTA_GER!$A$2:$A$1500,LEN("2.01.02.03"))="2.01.02.03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6000</v>
      </c>
      <c r="F18" s="69">
        <f>IFERROR($E18/SUMPRODUCT(--(LEFT(CONTA_GER!$A$2:$A$1500,1)="2"),--(($H$4="Caixa")*CONTA_GER!$L$2:$L$1500+($H$4&lt;&gt;"Caixa")*CONTA_GER!$J$2:$J$1500)),0)</f>
        <v>5.0814646007306102E-3</v>
      </c>
      <c r="H18" s="65" t="s">
        <v>237</v>
      </c>
      <c r="I18" s="66">
        <f>SUMPRODUCT(--((LEFT(CONTA_GER!$A$2:$A$1500,1)="2")),--((($H$4="Caixa")*CONTA_GER!$L$2:$L$1500+($H$4&lt;&gt;"Caixa")*CONTA_GER!$J$2:$J$1500)),--((($H$4="Caixa")*(CONTA_GER!$D$2:$D$1500&gt;=DATE(2026,6,1))*(CONTA_GER!$D$2:$D$1500&lt;=DATE(2026,6,30))+($H$4&lt;&gt;"Caixa")*(CONTA_GER!$E$2:$E$1500&gt;=DATE(2026,6,1))*(CONTA_GER!$E$2:$E$1500&lt;=DATE(2026,6,30)))),--((($F$4="(Todos)")+(CONTA_GER!$N$2:$N$1500=$F$4)&gt;0)))</f>
        <v>58609.19</v>
      </c>
      <c r="J18" s="66">
        <f>SUMPRODUCT(--((LEFT(CONTA_GER!$A$2:$A$1500,1)="3")),--((($H$4="Caixa")*CONTA_GER!$L$2:$L$1500+($H$4&lt;&gt;"Caixa")*CONTA_GER!$J$2:$J$1500)),--((($H$4="Caixa")*(CONTA_GER!$D$2:$D$1500&gt;=DATE(2026,6,1))*(CONTA_GER!$D$2:$D$1500&lt;=DATE(2026,6,30))+($H$4&lt;&gt;"Caixa")*(CONTA_GER!$E$2:$E$1500&gt;=DATE(2026,6,1))*(CONTA_GER!$E$2:$E$1500&lt;=DATE(2026,6,30)))),--((($F$4="(Todos)")+(CONTA_GER!$N$2:$N$1500=$F$4)&gt;0)))</f>
        <v>454765.87999999989</v>
      </c>
      <c r="K18" s="67">
        <f t="shared" si="0"/>
        <v>-396156.68999999989</v>
      </c>
      <c r="L18" s="66">
        <f t="shared" si="1"/>
        <v>-462195.00999999978</v>
      </c>
    </row>
    <row r="19" spans="1:12" ht="15" customHeight="1" x14ac:dyDescent="0.3">
      <c r="A19" s="166" t="s">
        <v>376</v>
      </c>
      <c r="B19" s="166"/>
      <c r="C19" s="166"/>
      <c r="D19" s="166"/>
      <c r="E19" s="68">
        <f>SUMPRODUCT(--((LEFT(CONTA_GER!$A$2:$A$1500,LEN("2.05"))="2.05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612917.04</v>
      </c>
      <c r="F19" s="69">
        <f>IFERROR($E19/SUMPRODUCT(--(LEFT(CONTA_GER!$A$2:$A$1500,1)="2"),--(($H$4="Caixa")*CONTA_GER!$L$2:$L$1500+($H$4&lt;&gt;"Caixa")*CONTA_GER!$J$2:$J$1500)),0)</f>
        <v>0.51908604032409789</v>
      </c>
      <c r="H19" s="65" t="s">
        <v>377</v>
      </c>
      <c r="I19" s="66">
        <f>SUMPRODUCT(--((LEFT(CONTA_GER!$A$2:$A$1500,1)="2")),--((($H$4="Caixa")*CONTA_GER!$L$2:$L$1500+($H$4&lt;&gt;"Caixa")*CONTA_GER!$J$2:$J$1500)),--((($H$4="Caixa")*(CONTA_GER!$D$2:$D$1500&gt;=DATE(2026,7,1))*(CONTA_GER!$D$2:$D$1500&lt;=DATE(2026,7,31))+($H$4&lt;&gt;"Caixa")*(CONTA_GER!$E$2:$E$1500&gt;=DATE(2026,7,1))*(CONTA_GER!$E$2:$E$1500&lt;=DATE(2026,7,31)))),--((($F$4="(Todos)")+(CONTA_GER!$N$2:$N$1500=$F$4)&gt;0)))</f>
        <v>0</v>
      </c>
      <c r="J19" s="66">
        <f>SUMPRODUCT(--((LEFT(CONTA_GER!$A$2:$A$1500,1)="3")),--((($H$4="Caixa")*CONTA_GER!$L$2:$L$1500+($H$4&lt;&gt;"Caixa")*CONTA_GER!$J$2:$J$1500)),--((($H$4="Caixa")*(CONTA_GER!$D$2:$D$1500&gt;=DATE(2026,7,1))*(CONTA_GER!$D$2:$D$1500&lt;=DATE(2026,7,31))+($H$4&lt;&gt;"Caixa")*(CONTA_GER!$E$2:$E$1500&gt;=DATE(2026,7,1))*(CONTA_GER!$E$2:$E$1500&lt;=DATE(2026,7,31)))),--((($F$4="(Todos)")+(CONTA_GER!$N$2:$N$1500=$F$4)&gt;0)))</f>
        <v>58886.349999999991</v>
      </c>
      <c r="K19" s="67">
        <f t="shared" si="0"/>
        <v>-58886.349999999991</v>
      </c>
      <c r="L19" s="66">
        <f t="shared" si="1"/>
        <v>-521081.35999999975</v>
      </c>
    </row>
    <row r="20" spans="1:12" ht="15" customHeight="1" x14ac:dyDescent="0.3">
      <c r="A20" s="165" t="s">
        <v>378</v>
      </c>
      <c r="B20" s="165"/>
      <c r="C20" s="165"/>
      <c r="D20" s="165"/>
      <c r="E20" s="50">
        <f>SUMPRODUCT(--((LEFT(CONTA_GER!$A$2:$A$1500,LEN("2.05.01"))="2.05.01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192917.04</v>
      </c>
      <c r="F20" s="69">
        <f>IFERROR($E20/SUMPRODUCT(--(LEFT(CONTA_GER!$A$2:$A$1500,1)="2"),--(($H$4="Caixa")*CONTA_GER!$L$2:$L$1500+($H$4&lt;&gt;"Caixa")*CONTA_GER!$J$2:$J$1500)),0)</f>
        <v>0.16338351827295519</v>
      </c>
      <c r="H20" s="70" t="s">
        <v>107</v>
      </c>
      <c r="I20" s="71">
        <f>SUM(I12:I19)</f>
        <v>1173984.26</v>
      </c>
      <c r="J20" s="71">
        <f>SUM(J12:J19)</f>
        <v>1695065.62</v>
      </c>
      <c r="K20" s="71">
        <f>SUM(K12:K19)</f>
        <v>-521081.35999999975</v>
      </c>
      <c r="L20" s="15"/>
    </row>
    <row r="21" spans="1:12" ht="15" customHeight="1" x14ac:dyDescent="0.3">
      <c r="A21" s="165" t="s">
        <v>379</v>
      </c>
      <c r="B21" s="165"/>
      <c r="C21" s="165"/>
      <c r="D21" s="165"/>
      <c r="E21" s="50">
        <f>SUMPRODUCT(--((LEFT(CONTA_GER!$A$2:$A$1500,LEN("2.05.02"))="2.05.02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420000</v>
      </c>
      <c r="F21" s="69">
        <f>IFERROR($E21/SUMPRODUCT(--(LEFT(CONTA_GER!$A$2:$A$1500,1)="2"),--(($H$4="Caixa")*CONTA_GER!$L$2:$L$1500+($H$4&lt;&gt;"Caixa")*CONTA_GER!$J$2:$J$1500)),0)</f>
        <v>0.35570252205114267</v>
      </c>
    </row>
    <row r="22" spans="1:12" ht="15" customHeight="1" x14ac:dyDescent="0.3">
      <c r="A22" s="166" t="s">
        <v>380</v>
      </c>
      <c r="B22" s="166"/>
      <c r="C22" s="166"/>
      <c r="D22" s="166"/>
      <c r="E22" s="68">
        <f>SUMPRODUCT(--((LEFT(CONTA_GER!$A$2:$A$1500,LEN("2.98"))="2.98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0</v>
      </c>
      <c r="F22" s="69">
        <f>IFERROR($E22/SUMPRODUCT(--(LEFT(CONTA_GER!$A$2:$A$1500,1)="2"),--(($H$4="Caixa")*CONTA_GER!$L$2:$L$1500+($H$4&lt;&gt;"Caixa")*CONTA_GER!$J$2:$J$1500)),0)</f>
        <v>0</v>
      </c>
    </row>
    <row r="23" spans="1:12" ht="15" customHeight="1" x14ac:dyDescent="0.3">
      <c r="A23" s="168" t="s">
        <v>381</v>
      </c>
      <c r="B23" s="168"/>
      <c r="C23" s="168"/>
      <c r="D23" s="168"/>
      <c r="E23" s="63">
        <f>SUMPRODUCT(--((LEFT(CONTA_GER!$A$2:$A$1500,LEN("3"))="3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1695065.6200000006</v>
      </c>
      <c r="F23" s="64">
        <f>IFERROR($E23/SUMPRODUCT(--(LEFT(CONTA_GER!$A$2:$A$1500,1)="2"),--(($H$4="Caixa")*CONTA_GER!$L$2:$L$1500+($H$4&lt;&gt;"Caixa")*CONTA_GER!$J$2:$J$1500)),0)</f>
        <v>1.4355693239909144</v>
      </c>
    </row>
    <row r="24" spans="1:12" ht="18.75" customHeight="1" x14ac:dyDescent="0.3">
      <c r="A24" s="169" t="s">
        <v>382</v>
      </c>
      <c r="B24" s="169"/>
      <c r="C24" s="169"/>
      <c r="D24" s="169"/>
      <c r="E24" s="68">
        <f>SUMPRODUCT(--((LEFT(CONTA_GER!$A$2:$A$1500,LEN("3.01"))="3.01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95115.869999999981</v>
      </c>
      <c r="F24" s="69">
        <f>IFERROR($E24/SUMPRODUCT(--(LEFT(CONTA_GER!$A$2:$A$1500,1)="2"),--(($H$4="Caixa")*CONTA_GER!$L$2:$L$1500+($H$4&lt;&gt;"Caixa")*CONTA_GER!$J$2:$J$1500)),0)</f>
        <v>8.055465439544908E-2</v>
      </c>
    </row>
    <row r="25" spans="1:12" ht="15" customHeight="1" x14ac:dyDescent="0.3">
      <c r="A25" s="170" t="s">
        <v>383</v>
      </c>
      <c r="B25" s="170"/>
      <c r="C25" s="170"/>
      <c r="D25" s="170"/>
      <c r="E25" s="50">
        <f>SUMPRODUCT(--((LEFT(CONTA_GER!$A$2:$A$1500,LEN("3.01.01"))="3.01.01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9434.24</v>
      </c>
      <c r="F25" s="69">
        <f>IFERROR($E25/SUMPRODUCT(--(LEFT(CONTA_GER!$A$2:$A$1500,1)="2"),--(($H$4="Caixa")*CONTA_GER!$L$2:$L$1500+($H$4&lt;&gt;"Caixa")*CONTA_GER!$J$2:$J$1500)),0)</f>
        <v>7.989959432466125E-3</v>
      </c>
    </row>
    <row r="26" spans="1:12" ht="15" customHeight="1" x14ac:dyDescent="0.3">
      <c r="A26" s="165" t="s">
        <v>384</v>
      </c>
      <c r="B26" s="165"/>
      <c r="C26" s="165"/>
      <c r="D26" s="165"/>
      <c r="E26" s="50">
        <f>SUMPRODUCT(--((LEFT(CONTA_GER!$A$2:$A$1500,LEN("3.01.01.01"))="3.01.01.01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0</v>
      </c>
      <c r="F26" s="69">
        <f>IFERROR($E26/SUMPRODUCT(--(LEFT(CONTA_GER!$A$2:$A$1500,1)="2"),--(($H$4="Caixa")*CONTA_GER!$L$2:$L$1500+($H$4&lt;&gt;"Caixa")*CONTA_GER!$J$2:$J$1500)),0)</f>
        <v>0</v>
      </c>
    </row>
    <row r="27" spans="1:12" ht="15" customHeight="1" x14ac:dyDescent="0.3">
      <c r="A27" s="165" t="s">
        <v>385</v>
      </c>
      <c r="B27" s="165"/>
      <c r="C27" s="165"/>
      <c r="D27" s="165"/>
      <c r="E27" s="50">
        <f>SUMPRODUCT(--((LEFT(CONTA_GER!$A$2:$A$1500,LEN("3.01.01.03"))="3.01.01.03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9434.24</v>
      </c>
      <c r="F27" s="69">
        <f>IFERROR($E27/SUMPRODUCT(--(LEFT(CONTA_GER!$A$2:$A$1500,1)="2"),--(($H$4="Caixa")*CONTA_GER!$L$2:$L$1500+($H$4&lt;&gt;"Caixa")*CONTA_GER!$J$2:$J$1500)),0)</f>
        <v>7.989959432466125E-3</v>
      </c>
    </row>
    <row r="28" spans="1:12" ht="15" customHeight="1" x14ac:dyDescent="0.3">
      <c r="A28" s="165" t="s">
        <v>386</v>
      </c>
      <c r="B28" s="165"/>
      <c r="C28" s="165"/>
      <c r="D28" s="165"/>
      <c r="E28" s="50">
        <f>SUMPRODUCT(--((LEFT(CONTA_GER!$A$2:$A$1500,LEN("3.01.02"))="3.01.02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2026.08</v>
      </c>
      <c r="F28" s="69">
        <f>IFERROR($E28/SUMPRODUCT(--(LEFT(CONTA_GER!$A$2:$A$1500,1)="2"),--(($H$4="Caixa")*CONTA_GER!$L$2:$L$1500+($H$4&lt;&gt;"Caixa")*CONTA_GER!$J$2:$J$1500)),0)</f>
        <v>1.7159089663747122E-3</v>
      </c>
    </row>
    <row r="29" spans="1:12" ht="15" customHeight="1" x14ac:dyDescent="0.3">
      <c r="A29" s="165" t="s">
        <v>387</v>
      </c>
      <c r="B29" s="165"/>
      <c r="C29" s="165"/>
      <c r="D29" s="165"/>
      <c r="E29" s="50">
        <f>SUMPRODUCT(--((LEFT(CONTA_GER!$A$2:$A$1500,LEN("3.01.02.01"))="3.01.02.01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906.08</v>
      </c>
      <c r="F29" s="69">
        <f>IFERROR($E29/SUMPRODUCT(--(LEFT(CONTA_GER!$A$2:$A$1500,1)="2"),--(($H$4="Caixa")*CONTA_GER!$L$2:$L$1500+($H$4&lt;&gt;"Caixa")*CONTA_GER!$J$2:$J$1500)),0)</f>
        <v>7.6736890757166522E-4</v>
      </c>
    </row>
    <row r="30" spans="1:12" ht="15" customHeight="1" x14ac:dyDescent="0.3">
      <c r="A30" s="165" t="s">
        <v>388</v>
      </c>
      <c r="B30" s="165"/>
      <c r="C30" s="165"/>
      <c r="D30" s="165"/>
      <c r="E30" s="50">
        <f>SUMPRODUCT(--((LEFT(CONTA_GER!$A$2:$A$1500,LEN("3.01.02.02"))="3.01.02.02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600</v>
      </c>
      <c r="F30" s="69">
        <f>IFERROR($E30/SUMPRODUCT(--(LEFT(CONTA_GER!$A$2:$A$1500,1)="2"),--(($H$4="Caixa")*CONTA_GER!$L$2:$L$1500+($H$4&lt;&gt;"Caixa")*CONTA_GER!$J$2:$J$1500)),0)</f>
        <v>5.0814646007306093E-4</v>
      </c>
    </row>
    <row r="31" spans="1:12" ht="15" customHeight="1" x14ac:dyDescent="0.3">
      <c r="A31" s="165" t="s">
        <v>389</v>
      </c>
      <c r="B31" s="165"/>
      <c r="C31" s="165"/>
      <c r="D31" s="165"/>
      <c r="E31" s="50">
        <f>SUMPRODUCT(--((LEFT(CONTA_GER!$A$2:$A$1500,LEN("3.01.02.03"))="3.01.02.03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520</v>
      </c>
      <c r="F31" s="69">
        <f>IFERROR($E31/SUMPRODUCT(--(LEFT(CONTA_GER!$A$2:$A$1500,1)="2"),--(($H$4="Caixa")*CONTA_GER!$L$2:$L$1500+($H$4&lt;&gt;"Caixa")*CONTA_GER!$J$2:$J$1500)),0)</f>
        <v>4.4039359872998619E-4</v>
      </c>
    </row>
    <row r="32" spans="1:12" ht="15" customHeight="1" x14ac:dyDescent="0.3">
      <c r="A32" s="165" t="s">
        <v>390</v>
      </c>
      <c r="B32" s="165"/>
      <c r="C32" s="165"/>
      <c r="D32" s="165"/>
      <c r="E32" s="50">
        <f>SUMPRODUCT(--((LEFT(CONTA_GER!$A$2:$A$1500,LEN("3.01.03"))="3.01.03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38909.39</v>
      </c>
      <c r="F32" s="69">
        <f>IFERROR($E32/SUMPRODUCT(--(LEFT(CONTA_GER!$A$2:$A$1500,1)="2"),--(($H$4="Caixa")*CONTA_GER!$L$2:$L$1500+($H$4&lt;&gt;"Caixa")*CONTA_GER!$J$2:$J$1500)),0)</f>
        <v>3.2952781320170266E-2</v>
      </c>
    </row>
    <row r="33" spans="1:6" ht="15" customHeight="1" x14ac:dyDescent="0.3">
      <c r="A33" s="165" t="s">
        <v>391</v>
      </c>
      <c r="B33" s="165"/>
      <c r="C33" s="165"/>
      <c r="D33" s="165"/>
      <c r="E33" s="50">
        <f>SUMPRODUCT(--((LEFT(CONTA_GER!$A$2:$A$1500,LEN("3.01.03.01"))="3.01.03.01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10038.879999999999</v>
      </c>
      <c r="F33" s="69">
        <f>IFERROR($E33/SUMPRODUCT(--(LEFT(CONTA_GER!$A$2:$A$1500,1)="2"),--(($H$4="Caixa")*CONTA_GER!$L$2:$L$1500+($H$4&lt;&gt;"Caixa")*CONTA_GER!$J$2:$J$1500)),0)</f>
        <v>8.5020355584970835E-3</v>
      </c>
    </row>
    <row r="34" spans="1:6" ht="15" customHeight="1" x14ac:dyDescent="0.3">
      <c r="A34" s="165" t="s">
        <v>392</v>
      </c>
      <c r="B34" s="165"/>
      <c r="C34" s="165"/>
      <c r="D34" s="165"/>
      <c r="E34" s="50">
        <f>SUMPRODUCT(--((LEFT(CONTA_GER!$A$2:$A$1500,LEN("3.01.03.02"))="3.01.03.02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377</v>
      </c>
      <c r="F34" s="69">
        <f>IFERROR($E34/SUMPRODUCT(--(LEFT(CONTA_GER!$A$2:$A$1500,1)="2"),--(($H$4="Caixa")*CONTA_GER!$L$2:$L$1500+($H$4&lt;&gt;"Caixa")*CONTA_GER!$J$2:$J$1500)),0)</f>
        <v>3.1928535907923996E-4</v>
      </c>
    </row>
    <row r="35" spans="1:6" ht="15" customHeight="1" x14ac:dyDescent="0.3">
      <c r="A35" s="165" t="s">
        <v>393</v>
      </c>
      <c r="B35" s="165"/>
      <c r="C35" s="165"/>
      <c r="D35" s="165"/>
      <c r="E35" s="50">
        <f>SUMPRODUCT(--((LEFT(CONTA_GER!$A$2:$A$1500,LEN("3.01.03.03"))="3.01.03.03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18482.310000000001</v>
      </c>
      <c r="F35" s="69">
        <f>IFERROR($E35/SUMPRODUCT(--(LEFT(CONTA_GER!$A$2:$A$1500,1)="2"),--(($H$4="Caixa")*CONTA_GER!$L$2:$L$1500+($H$4&lt;&gt;"Caixa")*CONTA_GER!$J$2:$J$1500)),0)</f>
        <v>1.5652867334121561E-2</v>
      </c>
    </row>
    <row r="36" spans="1:6" ht="15" customHeight="1" x14ac:dyDescent="0.3">
      <c r="A36" s="165" t="s">
        <v>394</v>
      </c>
      <c r="B36" s="165"/>
      <c r="C36" s="165"/>
      <c r="D36" s="165"/>
      <c r="E36" s="50">
        <f>SUMPRODUCT(--((LEFT(CONTA_GER!$A$2:$A$1500,LEN("3.01.03.04"))="3.01.03.04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10011.200000000001</v>
      </c>
      <c r="F36" s="69">
        <f>IFERROR($E36/SUMPRODUCT(--(LEFT(CONTA_GER!$A$2:$A$1500,1)="2"),--(($H$4="Caixa")*CONTA_GER!$L$2:$L$1500+($H$4&lt;&gt;"Caixa")*CONTA_GER!$J$2:$J$1500)),0)</f>
        <v>8.4785930684723801E-3</v>
      </c>
    </row>
    <row r="37" spans="1:6" ht="15" customHeight="1" x14ac:dyDescent="0.3">
      <c r="A37" s="165" t="s">
        <v>395</v>
      </c>
      <c r="B37" s="165"/>
      <c r="C37" s="165"/>
      <c r="D37" s="165"/>
      <c r="E37" s="50">
        <f>SUMPRODUCT(--((LEFT(CONTA_GER!$A$2:$A$1500,LEN("3.01.04"))="3.01.04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5143.3499999999995</v>
      </c>
      <c r="F37" s="69">
        <f>IFERROR($E37/SUMPRODUCT(--(LEFT(CONTA_GER!$A$2:$A$1500,1)="2"),--(($H$4="Caixa")*CONTA_GER!$L$2:$L$1500+($H$4&lt;&gt;"Caixa")*CONTA_GER!$J$2:$J$1500)),0)</f>
        <v>4.3559584923612968E-3</v>
      </c>
    </row>
    <row r="38" spans="1:6" ht="18.75" customHeight="1" x14ac:dyDescent="0.3">
      <c r="A38" s="167" t="s">
        <v>396</v>
      </c>
      <c r="B38" s="167"/>
      <c r="C38" s="167"/>
      <c r="D38" s="167"/>
      <c r="E38" s="50">
        <f>SUMPRODUCT(--((LEFT(CONTA_GER!$A$2:$A$1500,LEN("3.01.04.01"))="3.01.04.01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5143.3499999999995</v>
      </c>
      <c r="F38" s="69">
        <f>IFERROR($E38/SUMPRODUCT(--(LEFT(CONTA_GER!$A$2:$A$1500,1)="2"),--(($H$4="Caixa")*CONTA_GER!$L$2:$L$1500+($H$4&lt;&gt;"Caixa")*CONTA_GER!$J$2:$J$1500)),0)</f>
        <v>4.3559584923612968E-3</v>
      </c>
    </row>
    <row r="39" spans="1:6" ht="15" customHeight="1" x14ac:dyDescent="0.3">
      <c r="A39" s="165" t="s">
        <v>397</v>
      </c>
      <c r="B39" s="165"/>
      <c r="C39" s="165"/>
      <c r="D39" s="165"/>
      <c r="E39" s="50">
        <f>SUMPRODUCT(--((LEFT(CONTA_GER!$A$2:$A$1500,LEN("3.01.04.02"))="3.01.04.02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0</v>
      </c>
      <c r="F39" s="69">
        <f>IFERROR($E39/SUMPRODUCT(--(LEFT(CONTA_GER!$A$2:$A$1500,1)="2"),--(($H$4="Caixa")*CONTA_GER!$L$2:$L$1500+($H$4&lt;&gt;"Caixa")*CONTA_GER!$J$2:$J$1500)),0)</f>
        <v>0</v>
      </c>
    </row>
    <row r="40" spans="1:6" ht="15" customHeight="1" x14ac:dyDescent="0.3">
      <c r="A40" s="165" t="s">
        <v>398</v>
      </c>
      <c r="B40" s="165"/>
      <c r="C40" s="165"/>
      <c r="D40" s="165"/>
      <c r="E40" s="50">
        <f>SUMPRODUCT(--((LEFT(CONTA_GER!$A$2:$A$1500,LEN("3.01.05"))="3.01.05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13452.339999999998</v>
      </c>
      <c r="F40" s="69">
        <f>IFERROR($E40/SUMPRODUCT(--(LEFT(CONTA_GER!$A$2:$A$1500,1)="2"),--(($H$4="Caixa")*CONTA_GER!$L$2:$L$1500+($H$4&lt;&gt;"Caixa")*CONTA_GER!$J$2:$J$1500)),0)</f>
        <v>1.1392931584498734E-2</v>
      </c>
    </row>
    <row r="41" spans="1:6" ht="15" customHeight="1" x14ac:dyDescent="0.3">
      <c r="A41" s="165" t="s">
        <v>399</v>
      </c>
      <c r="B41" s="165"/>
      <c r="C41" s="165"/>
      <c r="D41" s="165"/>
      <c r="E41" s="50">
        <f>SUMPRODUCT(--((LEFT(CONTA_GER!$A$2:$A$1500,LEN("3.01.05.01"))="3.01.05.01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11097.82</v>
      </c>
      <c r="F41" s="69">
        <f>IFERROR($E41/SUMPRODUCT(--(LEFT(CONTA_GER!$A$2:$A$1500,1)="2"),--(($H$4="Caixa")*CONTA_GER!$L$2:$L$1500+($H$4&lt;&gt;"Caixa")*CONTA_GER!$J$2:$J$1500)),0)</f>
        <v>9.3988632458800285E-3</v>
      </c>
    </row>
    <row r="42" spans="1:6" ht="15" customHeight="1" x14ac:dyDescent="0.3">
      <c r="A42" s="165" t="s">
        <v>400</v>
      </c>
      <c r="B42" s="165"/>
      <c r="C42" s="165"/>
      <c r="D42" s="165"/>
      <c r="E42" s="50">
        <f>SUMPRODUCT(--((LEFT(CONTA_GER!$A$2:$A$1500,LEN("3.01.05.02"))="3.01.05.02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2354.52</v>
      </c>
      <c r="F42" s="69">
        <f>IFERROR($E42/SUMPRODUCT(--(LEFT(CONTA_GER!$A$2:$A$1500,1)="2"),--(($H$4="Caixa")*CONTA_GER!$L$2:$L$1500+($H$4&lt;&gt;"Caixa")*CONTA_GER!$J$2:$J$1500)),0)</f>
        <v>1.9940683386187059E-3</v>
      </c>
    </row>
    <row r="43" spans="1:6" ht="15" customHeight="1" x14ac:dyDescent="0.3">
      <c r="A43" s="165" t="s">
        <v>401</v>
      </c>
      <c r="B43" s="165"/>
      <c r="C43" s="165"/>
      <c r="D43" s="165"/>
      <c r="E43" s="50">
        <f>SUMPRODUCT(--((LEFT(CONTA_GER!$A$2:$A$1500,LEN("3.01.06"))="3.01.06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4614.6000000000004</v>
      </c>
      <c r="F43" s="69">
        <f>IFERROR($E43/SUMPRODUCT(--(LEFT(CONTA_GER!$A$2:$A$1500,1)="2"),--(($H$4="Caixa")*CONTA_GER!$L$2:$L$1500+($H$4&lt;&gt;"Caixa")*CONTA_GER!$J$2:$J$1500)),0)</f>
        <v>3.9081544244219122E-3</v>
      </c>
    </row>
    <row r="44" spans="1:6" ht="15" customHeight="1" x14ac:dyDescent="0.3">
      <c r="A44" s="165" t="s">
        <v>402</v>
      </c>
      <c r="B44" s="165"/>
      <c r="C44" s="165"/>
      <c r="D44" s="165"/>
      <c r="E44" s="50">
        <f>SUMPRODUCT(--((LEFT(CONTA_GER!$A$2:$A$1500,LEN("3.01.07"))="3.01.07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21535.870000000003</v>
      </c>
      <c r="F44" s="69">
        <f>IFERROR($E44/SUMPRODUCT(--(LEFT(CONTA_GER!$A$2:$A$1500,1)="2"),--(($H$4="Caixa")*CONTA_GER!$L$2:$L$1500+($H$4&lt;&gt;"Caixa")*CONTA_GER!$J$2:$J$1500)),0)</f>
        <v>1.8238960175156055E-2</v>
      </c>
    </row>
    <row r="45" spans="1:6" ht="15" customHeight="1" x14ac:dyDescent="0.3">
      <c r="A45" s="165" t="s">
        <v>403</v>
      </c>
      <c r="B45" s="165"/>
      <c r="C45" s="165"/>
      <c r="D45" s="165"/>
      <c r="E45" s="50">
        <f>SUMPRODUCT(--((LEFT(CONTA_GER!$A$2:$A$1500,LEN("3.01.07.01"))="3.01.07.01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5712.7400000000007</v>
      </c>
      <c r="F45" s="69">
        <f>IFERROR($E45/SUMPRODUCT(--(LEFT(CONTA_GER!$A$2:$A$1500,1)="2"),--(($H$4="Caixa")*CONTA_GER!$L$2:$L$1500+($H$4&lt;&gt;"Caixa")*CONTA_GER!$J$2:$J$1500)),0)</f>
        <v>4.838181013862965E-3</v>
      </c>
    </row>
    <row r="46" spans="1:6" ht="15" customHeight="1" x14ac:dyDescent="0.3">
      <c r="A46" s="165" t="s">
        <v>404</v>
      </c>
      <c r="B46" s="165"/>
      <c r="C46" s="165"/>
      <c r="D46" s="165"/>
      <c r="E46" s="50">
        <f>SUMPRODUCT(--((LEFT(CONTA_GER!$A$2:$A$1500,LEN("3.01.07.02"))="3.01.07.02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4397.18</v>
      </c>
      <c r="F46" s="69">
        <f>IFERROR($E46/SUMPRODUCT(--(LEFT(CONTA_GER!$A$2:$A$1500,1)="2"),--(($H$4="Caixa")*CONTA_GER!$L$2:$L$1500+($H$4&lt;&gt;"Caixa")*CONTA_GER!$J$2:$J$1500)),0)</f>
        <v>3.7240190855067708E-3</v>
      </c>
    </row>
    <row r="47" spans="1:6" ht="15" customHeight="1" x14ac:dyDescent="0.3">
      <c r="A47" s="165" t="s">
        <v>405</v>
      </c>
      <c r="B47" s="165"/>
      <c r="C47" s="165"/>
      <c r="D47" s="165"/>
      <c r="E47" s="50">
        <f>SUMPRODUCT(--((LEFT(CONTA_GER!$A$2:$A$1500,LEN("3.01.07.03"))="3.01.07.03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11425.95</v>
      </c>
      <c r="F47" s="69">
        <f>IFERROR($E47/SUMPRODUCT(--(LEFT(CONTA_GER!$A$2:$A$1500,1)="2"),--(($H$4="Caixa")*CONTA_GER!$L$2:$L$1500+($H$4&lt;&gt;"Caixa")*CONTA_GER!$J$2:$J$1500)),0)</f>
        <v>9.6767600757863195E-3</v>
      </c>
    </row>
    <row r="48" spans="1:6" ht="15" customHeight="1" x14ac:dyDescent="0.3">
      <c r="A48" s="166" t="s">
        <v>406</v>
      </c>
      <c r="B48" s="166"/>
      <c r="C48" s="166"/>
      <c r="D48" s="166"/>
      <c r="E48" s="68">
        <f>SUMPRODUCT(--((LEFT(CONTA_GER!$A$2:$A$1500,LEN("3.02"))="3.02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50209.8</v>
      </c>
      <c r="F48" s="69">
        <f>IFERROR($E48/SUMPRODUCT(--(LEFT(CONTA_GER!$A$2:$A$1500,1)="2"),--(($H$4="Caixa")*CONTA_GER!$L$2:$L$1500+($H$4&lt;&gt;"Caixa")*CONTA_GER!$J$2:$J$1500)),0)</f>
        <v>4.2523220218293967E-2</v>
      </c>
    </row>
    <row r="49" spans="1:6" ht="15" customHeight="1" x14ac:dyDescent="0.3">
      <c r="A49" s="165" t="s">
        <v>407</v>
      </c>
      <c r="B49" s="165"/>
      <c r="C49" s="165"/>
      <c r="D49" s="165"/>
      <c r="E49" s="50">
        <f>SUMPRODUCT(--((LEFT(CONTA_GER!$A$2:$A$1500,LEN("3.02.01"))="3.02.01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42210.62</v>
      </c>
      <c r="F49" s="69">
        <f>IFERROR($E49/SUMPRODUCT(--(LEFT(CONTA_GER!$A$2:$A$1500,1)="2"),--(($H$4="Caixa")*CONTA_GER!$L$2:$L$1500+($H$4&lt;&gt;"Caixa")*CONTA_GER!$J$2:$J$1500)),0)</f>
        <v>3.5748628550815252E-2</v>
      </c>
    </row>
    <row r="50" spans="1:6" ht="15" customHeight="1" x14ac:dyDescent="0.3">
      <c r="A50" s="165" t="s">
        <v>408</v>
      </c>
      <c r="B50" s="165"/>
      <c r="C50" s="165"/>
      <c r="D50" s="165"/>
      <c r="E50" s="50">
        <f>SUMPRODUCT(--((LEFT(CONTA_GER!$A$2:$A$1500,LEN("3.02.01.01"))="3.02.01.01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21105.31</v>
      </c>
      <c r="F50" s="69">
        <f>IFERROR($E50/SUMPRODUCT(--(LEFT(CONTA_GER!$A$2:$A$1500,1)="2"),--(($H$4="Caixa")*CONTA_GER!$L$2:$L$1500+($H$4&lt;&gt;"Caixa")*CONTA_GER!$J$2:$J$1500)),0)</f>
        <v>1.7874314275407626E-2</v>
      </c>
    </row>
    <row r="51" spans="1:6" ht="15" customHeight="1" x14ac:dyDescent="0.3">
      <c r="A51" s="165" t="s">
        <v>409</v>
      </c>
      <c r="B51" s="165"/>
      <c r="C51" s="165"/>
      <c r="D51" s="165"/>
      <c r="E51" s="50">
        <f>SUMPRODUCT(--((LEFT(CONTA_GER!$A$2:$A$1500,LEN("3.02.01.02"))="3.02.01.02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21105.31</v>
      </c>
      <c r="F51" s="69">
        <f>IFERROR($E51/SUMPRODUCT(--(LEFT(CONTA_GER!$A$2:$A$1500,1)="2"),--(($H$4="Caixa")*CONTA_GER!$L$2:$L$1500+($H$4&lt;&gt;"Caixa")*CONTA_GER!$J$2:$J$1500)),0)</f>
        <v>1.7874314275407626E-2</v>
      </c>
    </row>
    <row r="52" spans="1:6" ht="15" customHeight="1" x14ac:dyDescent="0.3">
      <c r="A52" s="165" t="s">
        <v>410</v>
      </c>
      <c r="B52" s="165"/>
      <c r="C52" s="165"/>
      <c r="D52" s="165"/>
      <c r="E52" s="50">
        <f>SUMPRODUCT(--((LEFT(CONTA_GER!$A$2:$A$1500,LEN("3.02.02"))="3.02.02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589.66999999999996</v>
      </c>
      <c r="F52" s="69">
        <f>IFERROR($E52/SUMPRODUCT(--(LEFT(CONTA_GER!$A$2:$A$1500,1)="2"),--(($H$4="Caixa")*CONTA_GER!$L$2:$L$1500+($H$4&lt;&gt;"Caixa")*CONTA_GER!$J$2:$J$1500)),0)</f>
        <v>4.9939787185213644E-4</v>
      </c>
    </row>
    <row r="53" spans="1:6" ht="15" customHeight="1" x14ac:dyDescent="0.3">
      <c r="A53" s="165" t="s">
        <v>411</v>
      </c>
      <c r="B53" s="165"/>
      <c r="C53" s="165"/>
      <c r="D53" s="165"/>
      <c r="E53" s="50">
        <f>SUMPRODUCT(--((LEFT(CONTA_GER!$A$2:$A$1500,LEN("3.02.02.01"))="3.02.02.01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589.66999999999996</v>
      </c>
      <c r="F53" s="69">
        <f>IFERROR($E53/SUMPRODUCT(--(LEFT(CONTA_GER!$A$2:$A$1500,1)="2"),--(($H$4="Caixa")*CONTA_GER!$L$2:$L$1500+($H$4&lt;&gt;"Caixa")*CONTA_GER!$J$2:$J$1500)),0)</f>
        <v>4.9939787185213644E-4</v>
      </c>
    </row>
    <row r="54" spans="1:6" ht="15" customHeight="1" x14ac:dyDescent="0.3">
      <c r="A54" s="165" t="s">
        <v>412</v>
      </c>
      <c r="B54" s="165"/>
      <c r="C54" s="165"/>
      <c r="D54" s="165"/>
      <c r="E54" s="50">
        <f>SUMPRODUCT(--((LEFT(CONTA_GER!$A$2:$A$1500,LEN("3.02.03"))="3.02.03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4795</v>
      </c>
      <c r="F54" s="69">
        <f>IFERROR($E54/SUMPRODUCT(--(LEFT(CONTA_GER!$A$2:$A$1500,1)="2"),--(($H$4="Caixa")*CONTA_GER!$L$2:$L$1500+($H$4&lt;&gt;"Caixa")*CONTA_GER!$J$2:$J$1500)),0)</f>
        <v>4.0609371267505455E-3</v>
      </c>
    </row>
    <row r="55" spans="1:6" ht="15" customHeight="1" x14ac:dyDescent="0.3">
      <c r="A55" s="165" t="s">
        <v>413</v>
      </c>
      <c r="B55" s="165"/>
      <c r="C55" s="165"/>
      <c r="D55" s="165"/>
      <c r="E55" s="50">
        <f>SUMPRODUCT(--((LEFT(CONTA_GER!$A$2:$A$1500,LEN("3.02.03.02"))="3.02.03.02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4795</v>
      </c>
      <c r="F55" s="69">
        <f>IFERROR($E55/SUMPRODUCT(--(LEFT(CONTA_GER!$A$2:$A$1500,1)="2"),--(($H$4="Caixa")*CONTA_GER!$L$2:$L$1500+($H$4&lt;&gt;"Caixa")*CONTA_GER!$J$2:$J$1500)),0)</f>
        <v>4.0609371267505455E-3</v>
      </c>
    </row>
    <row r="56" spans="1:6" ht="15" customHeight="1" x14ac:dyDescent="0.3">
      <c r="A56" s="165" t="s">
        <v>414</v>
      </c>
      <c r="B56" s="165"/>
      <c r="C56" s="165"/>
      <c r="D56" s="165"/>
      <c r="E56" s="50">
        <f>SUMPRODUCT(--((LEFT(CONTA_GER!$A$2:$A$1500,LEN("3.02.04"))="3.02.04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1211.0999999999999</v>
      </c>
      <c r="F56" s="69">
        <f>IFERROR($E56/SUMPRODUCT(--(LEFT(CONTA_GER!$A$2:$A$1500,1)="2"),--(($H$4="Caixa")*CONTA_GER!$L$2:$L$1500+($H$4&lt;&gt;"Caixa")*CONTA_GER!$J$2:$J$1500)),0)</f>
        <v>1.0256936296574736E-3</v>
      </c>
    </row>
    <row r="57" spans="1:6" ht="15" customHeight="1" x14ac:dyDescent="0.3">
      <c r="A57" s="165" t="s">
        <v>415</v>
      </c>
      <c r="B57" s="165"/>
      <c r="C57" s="165"/>
      <c r="D57" s="165"/>
      <c r="E57" s="50">
        <f>SUMPRODUCT(--((LEFT(CONTA_GER!$A$2:$A$1500,LEN("3.02.04.01"))="3.02.04.01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1211.0999999999999</v>
      </c>
      <c r="F57" s="69">
        <f>IFERROR($E57/SUMPRODUCT(--(LEFT(CONTA_GER!$A$2:$A$1500,1)="2"),--(($H$4="Caixa")*CONTA_GER!$L$2:$L$1500+($H$4&lt;&gt;"Caixa")*CONTA_GER!$J$2:$J$1500)),0)</f>
        <v>1.0256936296574736E-3</v>
      </c>
    </row>
    <row r="58" spans="1:6" ht="15" customHeight="1" x14ac:dyDescent="0.3">
      <c r="A58" s="165" t="s">
        <v>416</v>
      </c>
      <c r="B58" s="165"/>
      <c r="C58" s="165"/>
      <c r="D58" s="165"/>
      <c r="E58" s="50">
        <f>SUMPRODUCT(--((LEFT(CONTA_GER!$A$2:$A$1500,LEN("3.02.08"))="3.02.08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1403.41</v>
      </c>
      <c r="F58" s="69">
        <f>IFERROR($E58/SUMPRODUCT(--(LEFT(CONTA_GER!$A$2:$A$1500,1)="2"),--(($H$4="Caixa")*CONTA_GER!$L$2:$L$1500+($H$4&lt;&gt;"Caixa")*CONTA_GER!$J$2:$J$1500)),0)</f>
        <v>1.1885630392185576E-3</v>
      </c>
    </row>
    <row r="59" spans="1:6" ht="15" customHeight="1" x14ac:dyDescent="0.3">
      <c r="A59" s="165" t="s">
        <v>417</v>
      </c>
      <c r="B59" s="165"/>
      <c r="C59" s="165"/>
      <c r="D59" s="165"/>
      <c r="E59" s="50">
        <f>SUMPRODUCT(--((LEFT(CONTA_GER!$A$2:$A$1500,LEN("3.02.08.01"))="3.02.08.01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1403.41</v>
      </c>
      <c r="F59" s="69">
        <f>IFERROR($E59/SUMPRODUCT(--(LEFT(CONTA_GER!$A$2:$A$1500,1)="2"),--(($H$4="Caixa")*CONTA_GER!$L$2:$L$1500+($H$4&lt;&gt;"Caixa")*CONTA_GER!$J$2:$J$1500)),0)</f>
        <v>1.1885630392185576E-3</v>
      </c>
    </row>
    <row r="60" spans="1:6" ht="15" customHeight="1" x14ac:dyDescent="0.3">
      <c r="A60" s="166" t="s">
        <v>418</v>
      </c>
      <c r="B60" s="166"/>
      <c r="C60" s="166"/>
      <c r="D60" s="166"/>
      <c r="E60" s="68">
        <f>SUMPRODUCT(--((LEFT(CONTA_GER!$A$2:$A$1500,LEN("3.03"))="3.03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518567.69999999995</v>
      </c>
      <c r="F60" s="69">
        <f>IFERROR($E60/SUMPRODUCT(--(LEFT(CONTA_GER!$A$2:$A$1500,1)="2"),--(($H$4="Caixa")*CONTA_GER!$L$2:$L$1500+($H$4&lt;&gt;"Caixa")*CONTA_GER!$J$2:$J$1500)),0)</f>
        <v>0.43918056843871506</v>
      </c>
    </row>
    <row r="61" spans="1:6" ht="15" customHeight="1" x14ac:dyDescent="0.3">
      <c r="A61" s="165" t="s">
        <v>419</v>
      </c>
      <c r="B61" s="165"/>
      <c r="C61" s="165"/>
      <c r="D61" s="165"/>
      <c r="E61" s="50">
        <f>SUMPRODUCT(--((LEFT(CONTA_GER!$A$2:$A$1500,LEN("3.03.01"))="3.03.01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104442.62999999999</v>
      </c>
      <c r="F61" s="69">
        <f>IFERROR($E61/SUMPRODUCT(--(LEFT(CONTA_GER!$A$2:$A$1500,1)="2"),--(($H$4="Caixa")*CONTA_GER!$L$2:$L$1500+($H$4&lt;&gt;"Caixa")*CONTA_GER!$J$2:$J$1500)),0)</f>
        <v>8.8453587858700791E-2</v>
      </c>
    </row>
    <row r="62" spans="1:6" ht="15" customHeight="1" x14ac:dyDescent="0.3">
      <c r="A62" s="165" t="s">
        <v>420</v>
      </c>
      <c r="B62" s="165"/>
      <c r="C62" s="165"/>
      <c r="D62" s="165"/>
      <c r="E62" s="50">
        <f>SUMPRODUCT(--((LEFT(CONTA_GER!$A$2:$A$1500,LEN("3.03.01.01"))="3.03.01.01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69017.61</v>
      </c>
      <c r="F62" s="69">
        <f>IFERROR($E62/SUMPRODUCT(--(LEFT(CONTA_GER!$A$2:$A$1500,1)="2"),--(($H$4="Caixa")*CONTA_GER!$L$2:$L$1500+($H$4&lt;&gt;"Caixa")*CONTA_GER!$J$2:$J$1500)),0)</f>
        <v>5.845175700700516E-2</v>
      </c>
    </row>
    <row r="63" spans="1:6" ht="15" customHeight="1" x14ac:dyDescent="0.3">
      <c r="A63" s="165" t="s">
        <v>421</v>
      </c>
      <c r="B63" s="165"/>
      <c r="C63" s="165"/>
      <c r="D63" s="165"/>
      <c r="E63" s="50">
        <f>SUMPRODUCT(--((LEFT(CONTA_GER!$A$2:$A$1500,LEN("3.03.01.06"))="3.03.01.06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13588.009999999998</v>
      </c>
      <c r="F63" s="69">
        <f>IFERROR($E63/SUMPRODUCT(--(LEFT(CONTA_GER!$A$2:$A$1500,1)="2"),--(($H$4="Caixa")*CONTA_GER!$L$2:$L$1500+($H$4&lt;&gt;"Caixa")*CONTA_GER!$J$2:$J$1500)),0)</f>
        <v>1.150783196822892E-2</v>
      </c>
    </row>
    <row r="64" spans="1:6" ht="15" customHeight="1" x14ac:dyDescent="0.3">
      <c r="A64" s="165" t="s">
        <v>422</v>
      </c>
      <c r="B64" s="165"/>
      <c r="C64" s="165"/>
      <c r="D64" s="165"/>
      <c r="E64" s="50">
        <f>SUMPRODUCT(--((LEFT(CONTA_GER!$A$2:$A$1500,LEN("3.03.01.07"))="3.03.01.07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2780.0899999999997</v>
      </c>
      <c r="F64" s="69">
        <f>IFERROR($E64/SUMPRODUCT(--(LEFT(CONTA_GER!$A$2:$A$1500,1)="2"),--(($H$4="Caixa")*CONTA_GER!$L$2:$L$1500+($H$4&lt;&gt;"Caixa")*CONTA_GER!$J$2:$J$1500)),0)</f>
        <v>2.3544881536408601E-3</v>
      </c>
    </row>
    <row r="65" spans="1:6" ht="15" customHeight="1" x14ac:dyDescent="0.3">
      <c r="A65" s="165" t="s">
        <v>423</v>
      </c>
      <c r="B65" s="165"/>
      <c r="C65" s="165"/>
      <c r="D65" s="165"/>
      <c r="E65" s="50">
        <f>SUMPRODUCT(--((LEFT(CONTA_GER!$A$2:$A$1500,LEN("3.03.01.09"))="3.03.01.09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7813.7</v>
      </c>
      <c r="F65" s="69">
        <f>IFERROR($E65/SUMPRODUCT(--(LEFT(CONTA_GER!$A$2:$A$1500,1)="2"),--(($H$4="Caixa")*CONTA_GER!$L$2:$L$1500+($H$4&lt;&gt;"Caixa")*CONTA_GER!$J$2:$J$1500)),0)</f>
        <v>6.6175066584547946E-3</v>
      </c>
    </row>
    <row r="66" spans="1:6" ht="15" customHeight="1" x14ac:dyDescent="0.3">
      <c r="A66" s="165" t="s">
        <v>424</v>
      </c>
      <c r="B66" s="165"/>
      <c r="C66" s="165"/>
      <c r="D66" s="165"/>
      <c r="E66" s="50">
        <f>SUMPRODUCT(--((LEFT(CONTA_GER!$A$2:$A$1500,LEN("3.03.01.13"))="3.03.01.13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10188.82</v>
      </c>
      <c r="F66" s="69">
        <f>IFERROR($E66/SUMPRODUCT(--(LEFT(CONTA_GER!$A$2:$A$1500,1)="2"),--(($H$4="Caixa")*CONTA_GER!$L$2:$L$1500+($H$4&lt;&gt;"Caixa")*CONTA_GER!$J$2:$J$1500)),0)</f>
        <v>8.6290213588693411E-3</v>
      </c>
    </row>
    <row r="67" spans="1:6" ht="15" customHeight="1" x14ac:dyDescent="0.3">
      <c r="A67" s="165" t="s">
        <v>425</v>
      </c>
      <c r="B67" s="165"/>
      <c r="C67" s="165"/>
      <c r="D67" s="165"/>
      <c r="E67" s="50">
        <f>SUMPRODUCT(--((LEFT(CONTA_GER!$A$2:$A$1500,LEN("3.03.02"))="3.03.02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219060.35</v>
      </c>
      <c r="F67" s="69">
        <f>IFERROR($E67/SUMPRODUCT(--(LEFT(CONTA_GER!$A$2:$A$1500,1)="2"),--(($H$4="Caixa")*CONTA_GER!$L$2:$L$1500+($H$4&lt;&gt;"Caixa")*CONTA_GER!$J$2:$J$1500)),0)</f>
        <v>0.18552456899144296</v>
      </c>
    </row>
    <row r="68" spans="1:6" ht="15" customHeight="1" x14ac:dyDescent="0.3">
      <c r="A68" s="165" t="s">
        <v>426</v>
      </c>
      <c r="B68" s="165"/>
      <c r="C68" s="165"/>
      <c r="D68" s="165"/>
      <c r="E68" s="50">
        <f>SUMPRODUCT(--((LEFT(CONTA_GER!$A$2:$A$1500,LEN("3.03.02.01"))="3.03.02.01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1793</v>
      </c>
      <c r="F68" s="69">
        <f>IFERROR($E68/SUMPRODUCT(--(LEFT(CONTA_GER!$A$2:$A$1500,1)="2"),--(($H$4="Caixa")*CONTA_GER!$L$2:$L$1500+($H$4&lt;&gt;"Caixa")*CONTA_GER!$J$2:$J$1500)),0)</f>
        <v>1.5185110048516639E-3</v>
      </c>
    </row>
    <row r="69" spans="1:6" ht="15" customHeight="1" x14ac:dyDescent="0.3">
      <c r="A69" s="165" t="s">
        <v>427</v>
      </c>
      <c r="B69" s="165"/>
      <c r="C69" s="165"/>
      <c r="D69" s="165"/>
      <c r="E69" s="50">
        <f>SUMPRODUCT(--((LEFT(CONTA_GER!$A$2:$A$1500,LEN("3.03.02.02"))="3.03.02.02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12200</v>
      </c>
      <c r="F69" s="69">
        <f>IFERROR($E69/SUMPRODUCT(--(LEFT(CONTA_GER!$A$2:$A$1500,1)="2"),--(($H$4="Caixa")*CONTA_GER!$L$2:$L$1500+($H$4&lt;&gt;"Caixa")*CONTA_GER!$J$2:$J$1500)),0)</f>
        <v>1.0332311354818907E-2</v>
      </c>
    </row>
    <row r="70" spans="1:6" ht="15" customHeight="1" x14ac:dyDescent="0.3">
      <c r="A70" s="165" t="s">
        <v>428</v>
      </c>
      <c r="B70" s="165"/>
      <c r="C70" s="165"/>
      <c r="D70" s="165"/>
      <c r="E70" s="50">
        <f>SUMPRODUCT(--((LEFT(CONTA_GER!$A$2:$A$1500,LEN("3.03.02.04"))="3.03.02.04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11244</v>
      </c>
      <c r="F70" s="69">
        <f>IFERROR($E70/SUMPRODUCT(--(LEFT(CONTA_GER!$A$2:$A$1500,1)="2"),--(($H$4="Caixa")*CONTA_GER!$L$2:$L$1500+($H$4&lt;&gt;"Caixa")*CONTA_GER!$J$2:$J$1500)),0)</f>
        <v>9.5226646617691622E-3</v>
      </c>
    </row>
    <row r="71" spans="1:6" ht="15" customHeight="1" x14ac:dyDescent="0.3">
      <c r="A71" s="165" t="s">
        <v>429</v>
      </c>
      <c r="B71" s="165"/>
      <c r="C71" s="165"/>
      <c r="D71" s="165"/>
      <c r="E71" s="50">
        <f>SUMPRODUCT(--((LEFT(CONTA_GER!$A$2:$A$1500,LEN("3.03.02.06"))="3.03.02.06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116600</v>
      </c>
      <c r="F71" s="69">
        <f>IFERROR($E71/SUMPRODUCT(--(LEFT(CONTA_GER!$A$2:$A$1500,1)="2"),--(($H$4="Caixa")*CONTA_GER!$L$2:$L$1500+($H$4&lt;&gt;"Caixa")*CONTA_GER!$J$2:$J$1500)),0)</f>
        <v>9.8749795407531524E-2</v>
      </c>
    </row>
    <row r="72" spans="1:6" ht="15" customHeight="1" x14ac:dyDescent="0.3">
      <c r="A72" s="165" t="s">
        <v>430</v>
      </c>
      <c r="B72" s="165"/>
      <c r="C72" s="165"/>
      <c r="D72" s="165"/>
      <c r="E72" s="50">
        <f>SUMPRODUCT(--((LEFT(CONTA_GER!$A$2:$A$1500,LEN("3.03.02.07"))="3.03.02.07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42424.060000000005</v>
      </c>
      <c r="F72" s="69">
        <f>IFERROR($E72/SUMPRODUCT(--(LEFT(CONTA_GER!$A$2:$A$1500,1)="2"),--(($H$4="Caixa")*CONTA_GER!$L$2:$L$1500+($H$4&lt;&gt;"Caixa")*CONTA_GER!$J$2:$J$1500)),0)</f>
        <v>3.5929393184878575E-2</v>
      </c>
    </row>
    <row r="73" spans="1:6" ht="15" customHeight="1" x14ac:dyDescent="0.3">
      <c r="A73" s="165" t="s">
        <v>431</v>
      </c>
      <c r="B73" s="165"/>
      <c r="C73" s="165"/>
      <c r="D73" s="165"/>
      <c r="E73" s="50">
        <f>SUMPRODUCT(--((LEFT(CONTA_GER!$A$2:$A$1500,LEN("3.03.02.08"))="3.03.02.08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21328.32</v>
      </c>
      <c r="F73" s="69">
        <f>IFERROR($E73/SUMPRODUCT(--(LEFT(CONTA_GER!$A$2:$A$1500,1)="2"),--(($H$4="Caixa")*CONTA_GER!$L$2:$L$1500+($H$4&lt;&gt;"Caixa")*CONTA_GER!$J$2:$J$1500)),0)</f>
        <v>1.8063183845509114E-2</v>
      </c>
    </row>
    <row r="74" spans="1:6" ht="15" customHeight="1" x14ac:dyDescent="0.3">
      <c r="A74" s="165" t="s">
        <v>432</v>
      </c>
      <c r="B74" s="165"/>
      <c r="C74" s="165"/>
      <c r="D74" s="165"/>
      <c r="E74" s="50">
        <f>SUMPRODUCT(--((LEFT(CONTA_GER!$A$2:$A$1500,LEN("3.03.02.09"))="3.03.02.09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13470.97</v>
      </c>
      <c r="F74" s="69">
        <f>IFERROR($E74/SUMPRODUCT(--(LEFT(CONTA_GER!$A$2:$A$1500,1)="2"),--(($H$4="Caixa")*CONTA_GER!$L$2:$L$1500+($H$4&lt;&gt;"Caixa")*CONTA_GER!$J$2:$J$1500)),0)</f>
        <v>1.1408709532084003E-2</v>
      </c>
    </row>
    <row r="75" spans="1:6" ht="15" customHeight="1" x14ac:dyDescent="0.3">
      <c r="A75" s="165" t="s">
        <v>433</v>
      </c>
      <c r="B75" s="165"/>
      <c r="C75" s="165"/>
      <c r="D75" s="165"/>
      <c r="E75" s="50">
        <f>SUMPRODUCT(--((LEFT(CONTA_GER!$A$2:$A$1500,LEN("3.03.04"))="3.03.04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56501.96</v>
      </c>
      <c r="F75" s="69">
        <f>IFERROR($E75/SUMPRODUCT(--(LEFT(CONTA_GER!$A$2:$A$1500,1)="2"),--(($H$4="Caixa")*CONTA_GER!$L$2:$L$1500+($H$4&lt;&gt;"Caixa")*CONTA_GER!$J$2:$J$1500)),0)</f>
        <v>4.7852118268649484E-2</v>
      </c>
    </row>
    <row r="76" spans="1:6" ht="15" customHeight="1" x14ac:dyDescent="0.3">
      <c r="A76" s="165" t="s">
        <v>434</v>
      </c>
      <c r="B76" s="165"/>
      <c r="C76" s="165"/>
      <c r="D76" s="165"/>
      <c r="E76" s="50">
        <f>SUMPRODUCT(--((LEFT(CONTA_GER!$A$2:$A$1500,LEN("3.03.05"))="3.03.05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37954.25</v>
      </c>
      <c r="F76" s="69">
        <f>IFERROR($E76/SUMPRODUCT(--(LEFT(CONTA_GER!$A$2:$A$1500,1)="2"),--(($H$4="Caixa")*CONTA_GER!$L$2:$L$1500+($H$4&lt;&gt;"Caixa")*CONTA_GER!$J$2:$J$1500)),0)</f>
        <v>3.2143862970379959E-2</v>
      </c>
    </row>
    <row r="77" spans="1:6" ht="15" customHeight="1" x14ac:dyDescent="0.3">
      <c r="A77" s="165" t="s">
        <v>435</v>
      </c>
      <c r="B77" s="165"/>
      <c r="C77" s="165"/>
      <c r="D77" s="165"/>
      <c r="E77" s="50">
        <f>SUMPRODUCT(--((LEFT(CONTA_GER!$A$2:$A$1500,LEN("3.03.05.01"))="3.03.05.01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15013.85</v>
      </c>
      <c r="F77" s="69">
        <f>IFERROR($E77/SUMPRODUCT(--(LEFT(CONTA_GER!$A$2:$A$1500,1)="2"),--(($H$4="Caixa")*CONTA_GER!$L$2:$L$1500+($H$4&lt;&gt;"Caixa")*CONTA_GER!$J$2:$J$1500)),0)</f>
        <v>1.2715391215946545E-2</v>
      </c>
    </row>
    <row r="78" spans="1:6" ht="15" customHeight="1" x14ac:dyDescent="0.3">
      <c r="A78" s="165" t="s">
        <v>436</v>
      </c>
      <c r="B78" s="165"/>
      <c r="C78" s="165"/>
      <c r="D78" s="165"/>
      <c r="E78" s="50">
        <f>SUMPRODUCT(--((LEFT(CONTA_GER!$A$2:$A$1500,LEN("3.03.05.02"))="3.03.05.02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145.19999999999999</v>
      </c>
      <c r="F78" s="69">
        <f>IFERROR($E78/SUMPRODUCT(--(LEFT(CONTA_GER!$A$2:$A$1500,1)="2"),--(($H$4="Caixa")*CONTA_GER!$L$2:$L$1500+($H$4&lt;&gt;"Caixa")*CONTA_GER!$J$2:$J$1500)),0)</f>
        <v>1.2297144333768076E-4</v>
      </c>
    </row>
    <row r="79" spans="1:6" ht="15" customHeight="1" x14ac:dyDescent="0.3">
      <c r="A79" s="165" t="s">
        <v>437</v>
      </c>
      <c r="B79" s="165"/>
      <c r="C79" s="165"/>
      <c r="D79" s="165"/>
      <c r="E79" s="50">
        <f>SUMPRODUCT(--((LEFT(CONTA_GER!$A$2:$A$1500,LEN("3.03.05.04"))="3.03.05.04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840</v>
      </c>
      <c r="F79" s="69">
        <f>IFERROR($E79/SUMPRODUCT(--(LEFT(CONTA_GER!$A$2:$A$1500,1)="2"),--(($H$4="Caixa")*CONTA_GER!$L$2:$L$1500+($H$4&lt;&gt;"Caixa")*CONTA_GER!$J$2:$J$1500)),0)</f>
        <v>7.1140504410228532E-4</v>
      </c>
    </row>
    <row r="80" spans="1:6" ht="15" customHeight="1" x14ac:dyDescent="0.3">
      <c r="A80" s="165" t="s">
        <v>438</v>
      </c>
      <c r="B80" s="165"/>
      <c r="C80" s="165"/>
      <c r="D80" s="165"/>
      <c r="E80" s="50">
        <f>SUMPRODUCT(--((LEFT(CONTA_GER!$A$2:$A$1500,LEN("3.03.05.05"))="3.03.05.05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4617.18</v>
      </c>
      <c r="F80" s="69">
        <f>IFERROR($E80/SUMPRODUCT(--(LEFT(CONTA_GER!$A$2:$A$1500,1)="2"),--(($H$4="Caixa")*CONTA_GER!$L$2:$L$1500+($H$4&lt;&gt;"Caixa")*CONTA_GER!$J$2:$J$1500)),0)</f>
        <v>3.9103394542002266E-3</v>
      </c>
    </row>
    <row r="81" spans="1:6" ht="15" customHeight="1" x14ac:dyDescent="0.3">
      <c r="A81" s="165" t="s">
        <v>439</v>
      </c>
      <c r="B81" s="165"/>
      <c r="C81" s="165"/>
      <c r="D81" s="165"/>
      <c r="E81" s="50">
        <f>SUMPRODUCT(--((LEFT(CONTA_GER!$A$2:$A$1500,LEN("3.03.05.07"))="3.03.05.07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17338.02</v>
      </c>
      <c r="F81" s="69">
        <f>IFERROR($E81/SUMPRODUCT(--(LEFT(CONTA_GER!$A$2:$A$1500,1)="2"),--(($H$4="Caixa")*CONTA_GER!$L$2:$L$1500+($H$4&lt;&gt;"Caixa")*CONTA_GER!$J$2:$J$1500)),0)</f>
        <v>1.4683755812793221E-2</v>
      </c>
    </row>
    <row r="82" spans="1:6" ht="15" customHeight="1" x14ac:dyDescent="0.3">
      <c r="A82" s="165" t="s">
        <v>440</v>
      </c>
      <c r="B82" s="165"/>
      <c r="C82" s="165"/>
      <c r="D82" s="165"/>
      <c r="E82" s="50">
        <f>SUMPRODUCT(--((LEFT(CONTA_GER!$A$2:$A$1500,LEN("3.03.06"))="3.03.06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45251.090000000004</v>
      </c>
      <c r="F82" s="69">
        <f>IFERROR($E82/SUMPRODUCT(--(LEFT(CONTA_GER!$A$2:$A$1500,1)="2"),--(($H$4="Caixa")*CONTA_GER!$L$2:$L$1500+($H$4&lt;&gt;"Caixa")*CONTA_GER!$J$2:$J$1500)),0)</f>
        <v>3.8323635329912488E-2</v>
      </c>
    </row>
    <row r="83" spans="1:6" ht="15" customHeight="1" x14ac:dyDescent="0.3">
      <c r="A83" s="165" t="s">
        <v>441</v>
      </c>
      <c r="B83" s="165"/>
      <c r="C83" s="165"/>
      <c r="D83" s="165"/>
      <c r="E83" s="50">
        <f>SUMPRODUCT(--((LEFT(CONTA_GER!$A$2:$A$1500,LEN("3.03.06.01"))="3.03.06.01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15526</v>
      </c>
      <c r="F83" s="69">
        <f>IFERROR($E83/SUMPRODUCT(--(LEFT(CONTA_GER!$A$2:$A$1500,1)="2"),--(($H$4="Caixa")*CONTA_GER!$L$2:$L$1500+($H$4&lt;&gt;"Caixa")*CONTA_GER!$J$2:$J$1500)),0)</f>
        <v>1.3149136565157241E-2</v>
      </c>
    </row>
    <row r="84" spans="1:6" ht="15" customHeight="1" x14ac:dyDescent="0.3">
      <c r="A84" s="165" t="s">
        <v>442</v>
      </c>
      <c r="B84" s="165"/>
      <c r="C84" s="165"/>
      <c r="D84" s="165"/>
      <c r="E84" s="50">
        <f>SUMPRODUCT(--((LEFT(CONTA_GER!$A$2:$A$1500,LEN("3.03.06.02"))="3.03.06.02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22325.26</v>
      </c>
      <c r="F84" s="69">
        <f>IFERROR($E84/SUMPRODUCT(--(LEFT(CONTA_GER!$A$2:$A$1500,1)="2"),--(($H$4="Caixa")*CONTA_GER!$L$2:$L$1500+($H$4&lt;&gt;"Caixa")*CONTA_GER!$J$2:$J$1500)),0)</f>
        <v>1.8907503065351175E-2</v>
      </c>
    </row>
    <row r="85" spans="1:6" ht="15" customHeight="1" x14ac:dyDescent="0.3">
      <c r="A85" s="165" t="s">
        <v>443</v>
      </c>
      <c r="B85" s="165"/>
      <c r="C85" s="165"/>
      <c r="D85" s="165"/>
      <c r="E85" s="50">
        <f>SUMPRODUCT(--((LEFT(CONTA_GER!$A$2:$A$1500,LEN("3.03.06.03"))="3.03.06.03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5648.01</v>
      </c>
      <c r="F85" s="69">
        <f>IFERROR($E85/SUMPRODUCT(--(LEFT(CONTA_GER!$A$2:$A$1500,1)="2"),--(($H$4="Caixa")*CONTA_GER!$L$2:$L$1500+($H$4&lt;&gt;"Caixa")*CONTA_GER!$J$2:$J$1500)),0)</f>
        <v>4.783360479928749E-3</v>
      </c>
    </row>
    <row r="86" spans="1:6" ht="15" customHeight="1" x14ac:dyDescent="0.3">
      <c r="A86" s="165" t="s">
        <v>444</v>
      </c>
      <c r="B86" s="165"/>
      <c r="C86" s="165"/>
      <c r="D86" s="165"/>
      <c r="E86" s="50">
        <f>SUMPRODUCT(--((LEFT(CONTA_GER!$A$2:$A$1500,LEN("3.03.06.04"))="3.03.06.04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1751.8200000000002</v>
      </c>
      <c r="F86" s="69">
        <f>IFERROR($E86/SUMPRODUCT(--(LEFT(CONTA_GER!$A$2:$A$1500,1)="2"),--(($H$4="Caixa")*CONTA_GER!$L$2:$L$1500+($H$4&lt;&gt;"Caixa")*CONTA_GER!$J$2:$J$1500)),0)</f>
        <v>1.4836352194753163E-3</v>
      </c>
    </row>
    <row r="87" spans="1:6" ht="15" customHeight="1" x14ac:dyDescent="0.3">
      <c r="A87" s="165" t="s">
        <v>445</v>
      </c>
      <c r="B87" s="165"/>
      <c r="C87" s="165"/>
      <c r="D87" s="165"/>
      <c r="E87" s="50">
        <f>SUMPRODUCT(--((LEFT(CONTA_GER!$A$2:$A$1500,LEN("3.03.07"))="3.03.07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55357.420000000013</v>
      </c>
      <c r="F87" s="69">
        <f>IFERROR($E87/SUMPRODUCT(--(LEFT(CONTA_GER!$A$2:$A$1500,1)="2"),--(($H$4="Caixa")*CONTA_GER!$L$2:$L$1500+($H$4&lt;&gt;"Caixa")*CONTA_GER!$J$2:$J$1500)),0)</f>
        <v>4.6882795019629456E-2</v>
      </c>
    </row>
    <row r="88" spans="1:6" ht="15" customHeight="1" x14ac:dyDescent="0.3">
      <c r="A88" s="165" t="s">
        <v>446</v>
      </c>
      <c r="B88" s="165"/>
      <c r="C88" s="165"/>
      <c r="D88" s="165"/>
      <c r="E88" s="50">
        <f>SUMPRODUCT(--((LEFT(CONTA_GER!$A$2:$A$1500,LEN("3.03.07.01"))="3.03.07.01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8377.89</v>
      </c>
      <c r="F88" s="69">
        <f>IFERROR($E88/SUMPRODUCT(--(LEFT(CONTA_GER!$A$2:$A$1500,1)="2"),--(($H$4="Caixa")*CONTA_GER!$L$2:$L$1500+($H$4&lt;&gt;"Caixa")*CONTA_GER!$J$2:$J$1500)),0)</f>
        <v>7.0953252439691613E-3</v>
      </c>
    </row>
    <row r="89" spans="1:6" ht="15" customHeight="1" x14ac:dyDescent="0.3">
      <c r="A89" s="165" t="s">
        <v>447</v>
      </c>
      <c r="B89" s="165"/>
      <c r="C89" s="165"/>
      <c r="D89" s="165"/>
      <c r="E89" s="50">
        <f>SUMPRODUCT(--((LEFT(CONTA_GER!$A$2:$A$1500,LEN("3.03.07.02"))="3.03.07.02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51</v>
      </c>
      <c r="F89" s="69">
        <f>IFERROR($E89/SUMPRODUCT(--(LEFT(CONTA_GER!$A$2:$A$1500,1)="2"),--(($H$4="Caixa")*CONTA_GER!$L$2:$L$1500+($H$4&lt;&gt;"Caixa")*CONTA_GER!$J$2:$J$1500)),0)</f>
        <v>4.3192449106210184E-5</v>
      </c>
    </row>
    <row r="90" spans="1:6" ht="15" customHeight="1" x14ac:dyDescent="0.3">
      <c r="A90" s="165" t="s">
        <v>448</v>
      </c>
      <c r="B90" s="165"/>
      <c r="C90" s="165"/>
      <c r="D90" s="165"/>
      <c r="E90" s="50">
        <f>SUMPRODUCT(--((LEFT(CONTA_GER!$A$2:$A$1500,LEN("3.03.07.03"))="3.03.07.03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46928.530000000013</v>
      </c>
      <c r="F90" s="69">
        <f>IFERROR($E90/SUMPRODUCT(--(LEFT(CONTA_GER!$A$2:$A$1500,1)="2"),--(($H$4="Caixa")*CONTA_GER!$L$2:$L$1500+($H$4&lt;&gt;"Caixa")*CONTA_GER!$J$2:$J$1500)),0)</f>
        <v>3.9744277326554084E-2</v>
      </c>
    </row>
    <row r="91" spans="1:6" ht="15" customHeight="1" x14ac:dyDescent="0.3">
      <c r="A91" s="166" t="s">
        <v>449</v>
      </c>
      <c r="B91" s="166"/>
      <c r="C91" s="166"/>
      <c r="D91" s="166"/>
      <c r="E91" s="68">
        <f>SUMPRODUCT(--((LEFT(CONTA_GER!$A$2:$A$1500,LEN("3.04"))="3.04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68562.150000000023</v>
      </c>
      <c r="F91" s="69">
        <f>IFERROR($E91/SUMPRODUCT(--(LEFT(CONTA_GER!$A$2:$A$1500,1)="2"),--(($H$4="Caixa")*CONTA_GER!$L$2:$L$1500+($H$4&lt;&gt;"Caixa")*CONTA_GER!$J$2:$J$1500)),0)</f>
        <v>5.8066023029163714E-2</v>
      </c>
    </row>
    <row r="92" spans="1:6" ht="15" customHeight="1" x14ac:dyDescent="0.3">
      <c r="A92" s="165" t="s">
        <v>450</v>
      </c>
      <c r="B92" s="165"/>
      <c r="C92" s="165"/>
      <c r="D92" s="165"/>
      <c r="E92" s="50">
        <f>SUMPRODUCT(--((LEFT(CONTA_GER!$A$2:$A$1500,LEN("3.04.02"))="3.04.02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1149</v>
      </c>
      <c r="F92" s="69">
        <f>IFERROR($E92/SUMPRODUCT(--(LEFT(CONTA_GER!$A$2:$A$1500,1)="2"),--(($H$4="Caixa")*CONTA_GER!$L$2:$L$1500+($H$4&lt;&gt;"Caixa")*CONTA_GER!$J$2:$J$1500)),0)</f>
        <v>9.7310047103991179E-4</v>
      </c>
    </row>
    <row r="93" spans="1:6" ht="15" customHeight="1" x14ac:dyDescent="0.3">
      <c r="A93" s="165" t="s">
        <v>451</v>
      </c>
      <c r="B93" s="165"/>
      <c r="C93" s="165"/>
      <c r="D93" s="165"/>
      <c r="E93" s="50">
        <f>SUMPRODUCT(--((LEFT(CONTA_GER!$A$2:$A$1500,LEN("3.04.04"))="3.04.04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9881.9699999999993</v>
      </c>
      <c r="F93" s="69">
        <f>IFERROR($E93/SUMPRODUCT(--(LEFT(CONTA_GER!$A$2:$A$1500,1)="2"),--(($H$4="Caixa")*CONTA_GER!$L$2:$L$1500+($H$4&lt;&gt;"Caixa")*CONTA_GER!$J$2:$J$1500)),0)</f>
        <v>8.3691467900803094E-3</v>
      </c>
    </row>
    <row r="94" spans="1:6" ht="15" customHeight="1" x14ac:dyDescent="0.3">
      <c r="A94" s="165" t="s">
        <v>452</v>
      </c>
      <c r="B94" s="165"/>
      <c r="C94" s="165"/>
      <c r="D94" s="165"/>
      <c r="E94" s="50">
        <f>SUMPRODUCT(--((LEFT(CONTA_GER!$A$2:$A$1500,LEN("3.04.06"))="3.04.06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1184.5899999999999</v>
      </c>
      <c r="F94" s="69">
        <f>IFERROR($E94/SUMPRODUCT(--(LEFT(CONTA_GER!$A$2:$A$1500,1)="2"),--(($H$4="Caixa")*CONTA_GER!$L$2:$L$1500+($H$4&lt;&gt;"Caixa")*CONTA_GER!$J$2:$J$1500)),0)</f>
        <v>1.003242025229912E-3</v>
      </c>
    </row>
    <row r="95" spans="1:6" ht="15" customHeight="1" x14ac:dyDescent="0.3">
      <c r="A95" s="165" t="s">
        <v>453</v>
      </c>
      <c r="B95" s="165"/>
      <c r="C95" s="165"/>
      <c r="D95" s="165"/>
      <c r="E95" s="50">
        <f>SUMPRODUCT(--((LEFT(CONTA_GER!$A$2:$A$1500,LEN("3.04.08"))="3.04.08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54034.489999999991</v>
      </c>
      <c r="F95" s="69">
        <f>IFERROR($E95/SUMPRODUCT(--(LEFT(CONTA_GER!$A$2:$A$1500,1)="2"),--(($H$4="Caixa")*CONTA_GER!$L$2:$L$1500+($H$4&lt;&gt;"Caixa")*CONTA_GER!$J$2:$J$1500)),0)</f>
        <v>4.5762391358922017E-2</v>
      </c>
    </row>
    <row r="96" spans="1:6" ht="15" customHeight="1" x14ac:dyDescent="0.3">
      <c r="A96" s="165" t="s">
        <v>454</v>
      </c>
      <c r="B96" s="165"/>
      <c r="C96" s="165"/>
      <c r="D96" s="165"/>
      <c r="E96" s="50">
        <f>SUMPRODUCT(--((LEFT(CONTA_GER!$A$2:$A$1500,LEN("3.04.09"))="3.04.09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2312.1</v>
      </c>
      <c r="F96" s="69">
        <f>IFERROR($E96/SUMPRODUCT(--(LEFT(CONTA_GER!$A$2:$A$1500,1)="2"),--(($H$4="Caixa")*CONTA_GER!$L$2:$L$1500+($H$4&lt;&gt;"Caixa")*CONTA_GER!$J$2:$J$1500)),0)</f>
        <v>1.9581423838915405E-3</v>
      </c>
    </row>
    <row r="97" spans="1:6" ht="15" customHeight="1" x14ac:dyDescent="0.3">
      <c r="A97" s="166" t="s">
        <v>455</v>
      </c>
      <c r="B97" s="166"/>
      <c r="C97" s="166"/>
      <c r="D97" s="166"/>
      <c r="E97" s="68">
        <f>SUMPRODUCT(--((LEFT(CONTA_GER!$A$2:$A$1500,LEN("3.06"))="3.06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13445.800000000001</v>
      </c>
      <c r="F97" s="69">
        <f>IFERROR($E97/SUMPRODUCT(--(LEFT(CONTA_GER!$A$2:$A$1500,1)="2"),--(($H$4="Caixa")*CONTA_GER!$L$2:$L$1500+($H$4&lt;&gt;"Caixa")*CONTA_GER!$J$2:$J$1500)),0)</f>
        <v>1.138739278808394E-2</v>
      </c>
    </row>
    <row r="98" spans="1:6" ht="15" customHeight="1" x14ac:dyDescent="0.3">
      <c r="A98" s="165" t="s">
        <v>456</v>
      </c>
      <c r="B98" s="165"/>
      <c r="C98" s="165"/>
      <c r="D98" s="165"/>
      <c r="E98" s="50">
        <f>SUMPRODUCT(--((LEFT(CONTA_GER!$A$2:$A$1500,LEN("3.06.01"))="3.06.01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13445.800000000001</v>
      </c>
      <c r="F98" s="69">
        <f>IFERROR($E98/SUMPRODUCT(--(LEFT(CONTA_GER!$A$2:$A$1500,1)="2"),--(($H$4="Caixa")*CONTA_GER!$L$2:$L$1500+($H$4&lt;&gt;"Caixa")*CONTA_GER!$J$2:$J$1500)),0)</f>
        <v>1.138739278808394E-2</v>
      </c>
    </row>
    <row r="99" spans="1:6" ht="15" customHeight="1" x14ac:dyDescent="0.3">
      <c r="A99" s="166" t="s">
        <v>457</v>
      </c>
      <c r="B99" s="166"/>
      <c r="C99" s="166"/>
      <c r="D99" s="166"/>
      <c r="E99" s="68">
        <f>SUMPRODUCT(--((LEFT(CONTA_GER!$A$2:$A$1500,LEN("3.07"))="3.07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49757.99</v>
      </c>
      <c r="F99" s="69">
        <f>IFERROR($E99/SUMPRODUCT(--(LEFT(CONTA_GER!$A$2:$A$1500,1)="2"),--(($H$4="Caixa")*CONTA_GER!$L$2:$L$1500+($H$4&lt;&gt;"Caixa")*CONTA_GER!$J$2:$J$1500)),0)</f>
        <v>4.2140577464751278E-2</v>
      </c>
    </row>
    <row r="100" spans="1:6" ht="15" customHeight="1" x14ac:dyDescent="0.3">
      <c r="A100" s="165" t="s">
        <v>458</v>
      </c>
      <c r="B100" s="165"/>
      <c r="C100" s="165"/>
      <c r="D100" s="165"/>
      <c r="E100" s="50">
        <f>SUMPRODUCT(--((LEFT(CONTA_GER!$A$2:$A$1500,LEN("3.07.01"))="3.07.01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46050.81</v>
      </c>
      <c r="F100" s="69">
        <f>IFERROR($E100/SUMPRODUCT(--(LEFT(CONTA_GER!$A$2:$A$1500,1)="2"),--(($H$4="Caixa")*CONTA_GER!$L$2:$L$1500+($H$4&lt;&gt;"Caixa")*CONTA_GER!$J$2:$J$1500)),0)</f>
        <v>3.9000926808328527E-2</v>
      </c>
    </row>
    <row r="101" spans="1:6" ht="15" customHeight="1" x14ac:dyDescent="0.3">
      <c r="A101" s="165" t="s">
        <v>459</v>
      </c>
      <c r="B101" s="165"/>
      <c r="C101" s="165"/>
      <c r="D101" s="165"/>
      <c r="E101" s="50">
        <f>SUMPRODUCT(--((LEFT(CONTA_GER!$A$2:$A$1500,LEN("3.07.01.01"))="3.07.01.01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3377.04</v>
      </c>
      <c r="F101" s="69">
        <f>IFERROR($E101/SUMPRODUCT(--(LEFT(CONTA_GER!$A$2:$A$1500,1)="2"),--(($H$4="Caixa")*CONTA_GER!$L$2:$L$1500+($H$4&lt;&gt;"Caixa")*CONTA_GER!$J$2:$J$1500)),0)</f>
        <v>2.8600515358752163E-3</v>
      </c>
    </row>
    <row r="102" spans="1:6" ht="15" customHeight="1" x14ac:dyDescent="0.3">
      <c r="A102" s="165" t="s">
        <v>460</v>
      </c>
      <c r="B102" s="165"/>
      <c r="C102" s="165"/>
      <c r="D102" s="165"/>
      <c r="E102" s="50">
        <f>SUMPRODUCT(--((LEFT(CONTA_GER!$A$2:$A$1500,LEN("3.07.01.02"))="3.07.01.02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42673.770000000004</v>
      </c>
      <c r="F102" s="69">
        <f>IFERROR($E102/SUMPRODUCT(--(LEFT(CONTA_GER!$A$2:$A$1500,1)="2"),--(($H$4="Caixa")*CONTA_GER!$L$2:$L$1500+($H$4&lt;&gt;"Caixa")*CONTA_GER!$J$2:$J$1500)),0)</f>
        <v>3.6140875272453313E-2</v>
      </c>
    </row>
    <row r="103" spans="1:6" ht="15" customHeight="1" x14ac:dyDescent="0.3">
      <c r="A103" s="166" t="s">
        <v>461</v>
      </c>
      <c r="B103" s="166"/>
      <c r="C103" s="166"/>
      <c r="D103" s="166"/>
      <c r="E103" s="68">
        <f>SUMPRODUCT(--((LEFT(CONTA_GER!$A$2:$A$1500,LEN("3.08"))="3.08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5254.64</v>
      </c>
      <c r="F103" s="69">
        <f>IFERROR($E103/SUMPRODUCT(--(LEFT(CONTA_GER!$A$2:$A$1500,1)="2"),--(($H$4="Caixa")*CONTA_GER!$L$2:$L$1500+($H$4&lt;&gt;"Caixa")*CONTA_GER!$J$2:$J$1500)),0)</f>
        <v>4.4502111915971825E-3</v>
      </c>
    </row>
    <row r="104" spans="1:6" ht="15" customHeight="1" x14ac:dyDescent="0.3">
      <c r="A104" s="165" t="s">
        <v>462</v>
      </c>
      <c r="B104" s="165"/>
      <c r="C104" s="165"/>
      <c r="D104" s="165"/>
      <c r="E104" s="50">
        <f>SUMPRODUCT(--((LEFT(CONTA_GER!$A$2:$A$1500,LEN("3.08.04"))="3.08.04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3831.96</v>
      </c>
      <c r="F104" s="69">
        <f>IFERROR($E104/SUMPRODUCT(--(LEFT(CONTA_GER!$A$2:$A$1500,1)="2"),--(($H$4="Caixa")*CONTA_GER!$L$2:$L$1500+($H$4&lt;&gt;"Caixa")*CONTA_GER!$J$2:$J$1500)),0)</f>
        <v>3.2453281819026115E-3</v>
      </c>
    </row>
    <row r="105" spans="1:6" ht="15" customHeight="1" x14ac:dyDescent="0.3">
      <c r="A105" s="166" t="s">
        <v>463</v>
      </c>
      <c r="B105" s="166"/>
      <c r="C105" s="166"/>
      <c r="D105" s="166"/>
      <c r="E105" s="68">
        <f>SUMPRODUCT(--((LEFT(CONTA_GER!$A$2:$A$1500,LEN("3.09"))="3.09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24871.62</v>
      </c>
      <c r="F105" s="69">
        <f>IFERROR($E105/SUMPRODUCT(--(LEFT(CONTA_GER!$A$2:$A$1500,1)="2"),--(($H$4="Caixa")*CONTA_GER!$L$2:$L$1500+($H$4&lt;&gt;"Caixa")*CONTA_GER!$J$2:$J$1500)),0)</f>
        <v>2.1064042765470574E-2</v>
      </c>
    </row>
    <row r="106" spans="1:6" ht="15" customHeight="1" x14ac:dyDescent="0.3">
      <c r="A106" s="165" t="s">
        <v>464</v>
      </c>
      <c r="B106" s="165"/>
      <c r="C106" s="165"/>
      <c r="D106" s="165"/>
      <c r="E106" s="50">
        <f>SUMPRODUCT(--((LEFT(CONTA_GER!$A$2:$A$1500,LEN("3.09.04"))="3.09.04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24871.62</v>
      </c>
      <c r="F106" s="69">
        <f>IFERROR($E106/SUMPRODUCT(--(LEFT(CONTA_GER!$A$2:$A$1500,1)="2"),--(($H$4="Caixa")*CONTA_GER!$L$2:$L$1500+($H$4&lt;&gt;"Caixa")*CONTA_GER!$J$2:$J$1500)),0)</f>
        <v>2.1064042765470574E-2</v>
      </c>
    </row>
    <row r="107" spans="1:6" ht="15" customHeight="1" x14ac:dyDescent="0.3">
      <c r="A107" s="166" t="s">
        <v>465</v>
      </c>
      <c r="B107" s="166"/>
      <c r="C107" s="166"/>
      <c r="D107" s="166"/>
      <c r="E107" s="68">
        <f>SUMPRODUCT(--((LEFT(CONTA_GER!$A$2:$A$1500,LEN("3.10"))="3.10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869280.04999999993</v>
      </c>
      <c r="F107" s="69">
        <f>IFERROR($E107/SUMPRODUCT(--(LEFT(CONTA_GER!$A$2:$A$1500,1)="2"),--(($H$4="Caixa")*CONTA_GER!$L$2:$L$1500+($H$4&lt;&gt;"Caixa")*CONTA_GER!$J$2:$J$1500)),0)</f>
        <v>0.73620263369938899</v>
      </c>
    </row>
    <row r="108" spans="1:6" ht="15" customHeight="1" x14ac:dyDescent="0.3">
      <c r="A108" s="165" t="s">
        <v>466</v>
      </c>
      <c r="B108" s="165"/>
      <c r="C108" s="165"/>
      <c r="D108" s="165"/>
      <c r="E108" s="50">
        <f>SUMPRODUCT(--((LEFT(CONTA_GER!$A$2:$A$1500,LEN("3.10.02"))="3.10.02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93324.36</v>
      </c>
      <c r="F108" s="69">
        <f>IFERROR($E108/SUMPRODUCT(--(LEFT(CONTA_GER!$A$2:$A$1500,1)="2"),--(($H$4="Caixa")*CONTA_GER!$L$2:$L$1500+($H$4&lt;&gt;"Caixa")*CONTA_GER!$J$2:$J$1500)),0)</f>
        <v>7.9037405287639945E-2</v>
      </c>
    </row>
    <row r="109" spans="1:6" ht="15" customHeight="1" x14ac:dyDescent="0.3">
      <c r="A109" s="165" t="s">
        <v>467</v>
      </c>
      <c r="B109" s="165"/>
      <c r="C109" s="165"/>
      <c r="D109" s="165"/>
      <c r="E109" s="50">
        <f>SUMPRODUCT(--((LEFT(CONTA_GER!$A$2:$A$1500,LEN("3.10.05"))="3.10.05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249955.69</v>
      </c>
      <c r="F109" s="69">
        <f>IFERROR($E109/SUMPRODUCT(--(LEFT(CONTA_GER!$A$2:$A$1500,1)="2"),--(($H$4="Caixa")*CONTA_GER!$L$2:$L$1500+($H$4&lt;&gt;"Caixa")*CONTA_GER!$J$2:$J$1500)),0)</f>
        <v>0.21169016508103236</v>
      </c>
    </row>
    <row r="110" spans="1:6" ht="15" customHeight="1" x14ac:dyDescent="0.3">
      <c r="A110" s="165" t="s">
        <v>468</v>
      </c>
      <c r="B110" s="165"/>
      <c r="C110" s="165"/>
      <c r="D110" s="165"/>
      <c r="E110" s="50">
        <f>SUMPRODUCT(--((LEFT(CONTA_GER!$A$2:$A$1500,LEN("3.10.06"))="3.10.06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526000</v>
      </c>
      <c r="F110" s="69">
        <f>IFERROR($E110/SUMPRODUCT(--(LEFT(CONTA_GER!$A$2:$A$1500,1)="2"),--(($H$4="Caixa")*CONTA_GER!$L$2:$L$1500+($H$4&lt;&gt;"Caixa")*CONTA_GER!$J$2:$J$1500)),0)</f>
        <v>0.44547506333071679</v>
      </c>
    </row>
    <row r="111" spans="1:6" ht="15" customHeight="1" x14ac:dyDescent="0.3">
      <c r="A111" s="165" t="s">
        <v>469</v>
      </c>
      <c r="B111" s="165"/>
      <c r="C111" s="165"/>
      <c r="D111" s="165"/>
      <c r="E111" s="50">
        <f>SUMPRODUCT(--((LEFT(CONTA_GER!$A$2:$A$1500,LEN("3.10.06.01"))="3.10.06.01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526000</v>
      </c>
      <c r="F111" s="69">
        <f>IFERROR($E111/SUMPRODUCT(--(LEFT(CONTA_GER!$A$2:$A$1500,1)="2"),--(($H$4="Caixa")*CONTA_GER!$L$2:$L$1500+($H$4&lt;&gt;"Caixa")*CONTA_GER!$J$2:$J$1500)),0)</f>
        <v>0.44547506333071679</v>
      </c>
    </row>
    <row r="112" spans="1:6" ht="15" customHeight="1" x14ac:dyDescent="0.3">
      <c r="A112" s="166" t="s">
        <v>470</v>
      </c>
      <c r="B112" s="166"/>
      <c r="C112" s="166"/>
      <c r="D112" s="166"/>
      <c r="E112" s="68">
        <f>SUMPRODUCT(--((LEFT(CONTA_GER!$A$2:$A$1500,LEN("3.98"))="3.98")),--((($H$4="Caixa")*CONTA_GER!$L$2:$L$1500+($H$4&lt;&gt;"Caixa")*CONTA_GER!$J$2:$J$1500)),--((($H$4="Caixa")*(CONTA_GER!$D$2:$D$1500&gt;=$B$4)*(CONTA_GER!$D$2:$D$1500&lt;=$D$4)+($H$4&lt;&gt;"Caixa")*(CONTA_GER!$E$2:$E$1500&gt;=$B$4)*(CONTA_GER!$E$2:$E$1500&lt;=$D$4))),--((($F$4="(Todos)")+(CONTA_GER!$N$2:$N$1500=$F$4)&gt;0)))</f>
        <v>0</v>
      </c>
      <c r="F112" s="69">
        <f>IFERROR($E112/SUMPRODUCT(--(LEFT(CONTA_GER!$A$2:$A$1500,1)="2"),--(($H$4="Caixa")*CONTA_GER!$L$2:$L$1500+($H$4&lt;&gt;"Caixa")*CONTA_GER!$J$2:$J$1500)),0)</f>
        <v>0</v>
      </c>
    </row>
  </sheetData>
  <mergeCells count="113">
    <mergeCell ref="A1:N1"/>
    <mergeCell ref="A2:N2"/>
    <mergeCell ref="A6:B6"/>
    <mergeCell ref="C6:D6"/>
    <mergeCell ref="E6:F6"/>
    <mergeCell ref="A7:B8"/>
    <mergeCell ref="C7:D8"/>
    <mergeCell ref="E7:F8"/>
    <mergeCell ref="A10:F10"/>
    <mergeCell ref="H10:M10"/>
    <mergeCell ref="A3:N3"/>
    <mergeCell ref="A11:D11"/>
    <mergeCell ref="A12:D12"/>
    <mergeCell ref="A13:D13"/>
    <mergeCell ref="A14:D14"/>
    <mergeCell ref="A15:D15"/>
    <mergeCell ref="A16:D16"/>
    <mergeCell ref="A17:D17"/>
    <mergeCell ref="A18:D18"/>
    <mergeCell ref="A19:D19"/>
    <mergeCell ref="A20:D20"/>
    <mergeCell ref="A21:D21"/>
    <mergeCell ref="A22:D22"/>
    <mergeCell ref="A23:D23"/>
    <mergeCell ref="A24:D24"/>
    <mergeCell ref="A25:D25"/>
    <mergeCell ref="A26:D26"/>
    <mergeCell ref="A27:D27"/>
    <mergeCell ref="A28:D28"/>
    <mergeCell ref="A29:D29"/>
    <mergeCell ref="A30:D30"/>
    <mergeCell ref="A31:D31"/>
    <mergeCell ref="A32:D32"/>
    <mergeCell ref="A33:D33"/>
    <mergeCell ref="A34:D34"/>
    <mergeCell ref="A35:D35"/>
    <mergeCell ref="A36:D36"/>
    <mergeCell ref="A37:D37"/>
    <mergeCell ref="A38:D38"/>
    <mergeCell ref="A39:D39"/>
    <mergeCell ref="A40:D40"/>
    <mergeCell ref="A41:D41"/>
    <mergeCell ref="A42:D42"/>
    <mergeCell ref="A43:D43"/>
    <mergeCell ref="A44:D44"/>
    <mergeCell ref="A45:D45"/>
    <mergeCell ref="A46:D46"/>
    <mergeCell ref="A47:D47"/>
    <mergeCell ref="A48:D48"/>
    <mergeCell ref="A49:D49"/>
    <mergeCell ref="A50:D50"/>
    <mergeCell ref="A51:D51"/>
    <mergeCell ref="A52:D52"/>
    <mergeCell ref="A53:D53"/>
    <mergeCell ref="A54:D54"/>
    <mergeCell ref="A55:D55"/>
    <mergeCell ref="A56:D56"/>
    <mergeCell ref="A57:D57"/>
    <mergeCell ref="A58:D58"/>
    <mergeCell ref="A59:D59"/>
    <mergeCell ref="A60:D60"/>
    <mergeCell ref="A61:D61"/>
    <mergeCell ref="A62:D62"/>
    <mergeCell ref="A63:D63"/>
    <mergeCell ref="A64:D64"/>
    <mergeCell ref="A65:D65"/>
    <mergeCell ref="A66:D66"/>
    <mergeCell ref="A67:D67"/>
    <mergeCell ref="A68:D68"/>
    <mergeCell ref="A69:D69"/>
    <mergeCell ref="A70:D70"/>
    <mergeCell ref="A71:D71"/>
    <mergeCell ref="A72:D72"/>
    <mergeCell ref="A73:D73"/>
    <mergeCell ref="A74:D74"/>
    <mergeCell ref="A75:D75"/>
    <mergeCell ref="A76:D76"/>
    <mergeCell ref="A77:D77"/>
    <mergeCell ref="A78:D78"/>
    <mergeCell ref="A79:D79"/>
    <mergeCell ref="A80:D80"/>
    <mergeCell ref="A81:D81"/>
    <mergeCell ref="A82:D82"/>
    <mergeCell ref="A83:D83"/>
    <mergeCell ref="A84:D84"/>
    <mergeCell ref="A85:D85"/>
    <mergeCell ref="A86:D86"/>
    <mergeCell ref="A87:D87"/>
    <mergeCell ref="A88:D88"/>
    <mergeCell ref="A89:D89"/>
    <mergeCell ref="A90:D90"/>
    <mergeCell ref="A91:D91"/>
    <mergeCell ref="A92:D92"/>
    <mergeCell ref="A93:D93"/>
    <mergeCell ref="A94:D94"/>
    <mergeCell ref="A95:D95"/>
    <mergeCell ref="A96:D96"/>
    <mergeCell ref="A97:D97"/>
    <mergeCell ref="A98:D98"/>
    <mergeCell ref="A99:D99"/>
    <mergeCell ref="A100:D100"/>
    <mergeCell ref="A110:D110"/>
    <mergeCell ref="A111:D111"/>
    <mergeCell ref="A112:D112"/>
    <mergeCell ref="A101:D101"/>
    <mergeCell ref="A102:D102"/>
    <mergeCell ref="A103:D103"/>
    <mergeCell ref="A104:D104"/>
    <mergeCell ref="A105:D105"/>
    <mergeCell ref="A106:D106"/>
    <mergeCell ref="A107:D107"/>
    <mergeCell ref="A108:D108"/>
    <mergeCell ref="A109:D109"/>
  </mergeCells>
  <dataValidations count="2">
    <dataValidation type="list" sqref="F4" xr:uid="{00000000-0002-0000-0700-000000000000}">
      <formula1>"(Todos),PL,C|26,ARR"</formula1>
      <formula2>0</formula2>
    </dataValidation>
    <dataValidation type="list" sqref="H4" xr:uid="{00000000-0002-0000-0700-000001000000}">
      <formula1>"Caixa,Competência"</formula1>
      <formula2>0</formula2>
    </dataValidation>
  </dataValidations>
  <hyperlinks>
    <hyperlink ref="E6" r:id="rId1" location="'6·FINANCEIRO'!A8" xr:uid="{00000000-0004-0000-0700-000000000000}"/>
  </hyperlinks>
  <pageMargins left="0.75" right="0.75" top="1" bottom="1" header="0.511811023622047" footer="0.511811023622047"/>
  <pageSetup paperSize="9" orientation="portrait" horizontalDpi="300" verticalDpi="30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rgb="FFA21C5A"/>
  </sheetPr>
  <dimension ref="A1:L18"/>
  <sheetViews>
    <sheetView showGridLines="0" zoomScaleNormal="100" workbookViewId="0">
      <selection activeCell="V1" sqref="V1"/>
    </sheetView>
  </sheetViews>
  <sheetFormatPr defaultColWidth="8.6640625" defaultRowHeight="14.4" x14ac:dyDescent="0.3"/>
  <cols>
    <col min="1" max="1" width="3" customWidth="1"/>
    <col min="2" max="2" width="16" customWidth="1"/>
    <col min="3" max="3" width="17.88671875" bestFit="1" customWidth="1"/>
    <col min="4" max="4" width="16.44140625" bestFit="1" customWidth="1"/>
    <col min="5" max="5" width="13" customWidth="1"/>
    <col min="6" max="12" width="3" customWidth="1"/>
  </cols>
  <sheetData>
    <row r="1" spans="1:12" ht="39.75" customHeight="1" x14ac:dyDescent="0.3">
      <c r="A1" s="122" t="s">
        <v>471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</row>
    <row r="2" spans="1:12" ht="15" customHeight="1" x14ac:dyDescent="0.3">
      <c r="A2" s="123" t="s">
        <v>472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</row>
    <row r="4" spans="1:12" ht="15" customHeight="1" x14ac:dyDescent="0.3">
      <c r="A4" s="72" t="s">
        <v>473</v>
      </c>
      <c r="B4" s="73">
        <v>46023</v>
      </c>
      <c r="C4" s="57" t="s">
        <v>474</v>
      </c>
      <c r="D4" s="73">
        <v>46387</v>
      </c>
    </row>
    <row r="6" spans="1:12" ht="15" customHeight="1" x14ac:dyDescent="0.3">
      <c r="B6" s="5" t="s">
        <v>475</v>
      </c>
      <c r="C6" s="6" t="s">
        <v>476</v>
      </c>
      <c r="D6" s="60" t="s">
        <v>477</v>
      </c>
    </row>
    <row r="7" spans="1:12" ht="21.75" customHeight="1" x14ac:dyDescent="0.3">
      <c r="B7" s="164">
        <f>SUMIFS(FLUXO!$B$2:$B$124,FLUXO!$A$2:$A$124,"&gt;="&amp;$B$4,FLUXO!$A$2:$A$124,"&lt;="&amp;$D$4)</f>
        <v>927078.55</v>
      </c>
      <c r="C7" s="164">
        <f>SUMIFS(FLUXO!$C$2:$C$124,FLUXO!$A$2:$A$124,"&gt;="&amp;$B$4,FLUXO!$A$2:$A$124,"&lt;="&amp;$D$4)</f>
        <v>1080843.4099999999</v>
      </c>
      <c r="D7" s="164">
        <f>B7-C7</f>
        <v>-153764.85999999987</v>
      </c>
    </row>
    <row r="8" spans="1:12" ht="15" customHeight="1" x14ac:dyDescent="0.3">
      <c r="B8" s="164"/>
      <c r="C8" s="164"/>
      <c r="D8" s="164"/>
    </row>
    <row r="10" spans="1:12" ht="18.75" customHeight="1" x14ac:dyDescent="0.3">
      <c r="A10" s="121" t="s">
        <v>478</v>
      </c>
      <c r="B10" s="121"/>
      <c r="C10" s="121"/>
      <c r="D10" s="121"/>
      <c r="E10" s="121"/>
    </row>
    <row r="11" spans="1:12" ht="18.75" customHeight="1" x14ac:dyDescent="0.3">
      <c r="A11" s="7" t="s">
        <v>479</v>
      </c>
      <c r="B11" s="7" t="s">
        <v>480</v>
      </c>
      <c r="C11" s="7" t="s">
        <v>481</v>
      </c>
      <c r="D11" s="7" t="s">
        <v>482</v>
      </c>
      <c r="E11" s="7" t="s">
        <v>483</v>
      </c>
    </row>
    <row r="12" spans="1:12" ht="27.75" customHeight="1" x14ac:dyDescent="0.3">
      <c r="A12" s="65" t="s">
        <v>232</v>
      </c>
      <c r="B12" s="50">
        <f>SUMIFS(FLUXO!$B$2:$B$124,FLUXO!$F$2:$F$124,"2026-01")</f>
        <v>156386.01999999999</v>
      </c>
      <c r="C12" s="50">
        <f>SUMIFS(FLUXO!$C$2:$C$124,FLUXO!$F$2:$F$124,"2026-01")</f>
        <v>74320.250000000015</v>
      </c>
      <c r="D12" s="74">
        <f t="shared" ref="D12:D17" si="0">B12-C12</f>
        <v>82065.769999999975</v>
      </c>
      <c r="E12" s="50">
        <f>D12</f>
        <v>82065.769999999975</v>
      </c>
    </row>
    <row r="13" spans="1:12" ht="27.75" customHeight="1" x14ac:dyDescent="0.3">
      <c r="A13" s="65" t="s">
        <v>233</v>
      </c>
      <c r="B13" s="50">
        <f>SUMIFS(FLUXO!$B$2:$B$124,FLUXO!$F$2:$F$124,"2026-02")</f>
        <v>449902.54</v>
      </c>
      <c r="C13" s="50">
        <f>SUMIFS(FLUXO!$C$2:$C$124,FLUXO!$F$2:$F$124,"2026-02")</f>
        <v>77239.260000000009</v>
      </c>
      <c r="D13" s="74">
        <f t="shared" si="0"/>
        <v>372663.27999999997</v>
      </c>
      <c r="E13" s="50">
        <f>E12+D13</f>
        <v>454729.04999999993</v>
      </c>
    </row>
    <row r="14" spans="1:12" ht="27.75" customHeight="1" x14ac:dyDescent="0.3">
      <c r="A14" s="65" t="s">
        <v>234</v>
      </c>
      <c r="B14" s="50">
        <f>SUMIFS(FLUXO!$B$2:$B$124,FLUXO!$F$2:$F$124,"2026-03")</f>
        <v>218942.88</v>
      </c>
      <c r="C14" s="50">
        <f>SUMIFS(FLUXO!$C$2:$C$124,FLUXO!$F$2:$F$124,"2026-03")</f>
        <v>105090.91</v>
      </c>
      <c r="D14" s="74">
        <f t="shared" si="0"/>
        <v>113851.97</v>
      </c>
      <c r="E14" s="50">
        <f>E13+D14</f>
        <v>568581.0199999999</v>
      </c>
    </row>
    <row r="15" spans="1:12" ht="27.75" customHeight="1" x14ac:dyDescent="0.3">
      <c r="A15" s="65" t="s">
        <v>235</v>
      </c>
      <c r="B15" s="50">
        <f>SUMIFS(FLUXO!$B$2:$B$124,FLUXO!$F$2:$F$124,"2026-04")</f>
        <v>35776.32</v>
      </c>
      <c r="C15" s="50">
        <f>SUMIFS(FLUXO!$C$2:$C$124,FLUXO!$F$2:$F$124,"2026-04")</f>
        <v>446889.50999999995</v>
      </c>
      <c r="D15" s="74">
        <f t="shared" si="0"/>
        <v>-411113.18999999994</v>
      </c>
      <c r="E15" s="50">
        <f>E14+D15</f>
        <v>157467.82999999996</v>
      </c>
    </row>
    <row r="16" spans="1:12" ht="27.75" customHeight="1" x14ac:dyDescent="0.3">
      <c r="A16" s="65" t="s">
        <v>236</v>
      </c>
      <c r="B16" s="50">
        <f>SUMIFS(FLUXO!$B$2:$B$124,FLUXO!$F$2:$F$124,"2026-05")</f>
        <v>43070.79</v>
      </c>
      <c r="C16" s="50">
        <f>SUMIFS(FLUXO!$C$2:$C$124,FLUXO!$F$2:$F$124,"2026-05")</f>
        <v>234965.33999999997</v>
      </c>
      <c r="D16" s="74">
        <f t="shared" si="0"/>
        <v>-191894.54999999996</v>
      </c>
      <c r="E16" s="50">
        <f>E15+D16</f>
        <v>-34426.720000000001</v>
      </c>
    </row>
    <row r="17" spans="1:5" ht="27.75" customHeight="1" x14ac:dyDescent="0.3">
      <c r="A17" s="65" t="s">
        <v>237</v>
      </c>
      <c r="B17" s="50">
        <f>SUMIFS(FLUXO!$B$2:$B$124,FLUXO!$F$2:$F$124,"2026-06")</f>
        <v>23000</v>
      </c>
      <c r="C17" s="50">
        <f>SUMIFS(FLUXO!$C$2:$C$124,FLUXO!$F$2:$F$124,"2026-06")</f>
        <v>142338.14000000001</v>
      </c>
      <c r="D17" s="74">
        <f t="shared" si="0"/>
        <v>-119338.14000000001</v>
      </c>
      <c r="E17" s="50">
        <f>E16+D17</f>
        <v>-153764.86000000002</v>
      </c>
    </row>
    <row r="18" spans="1:5" ht="27.75" customHeight="1" x14ac:dyDescent="0.3">
      <c r="A18" s="7" t="s">
        <v>107</v>
      </c>
      <c r="B18" s="63">
        <f>SUM(B12:B17)</f>
        <v>927078.54999999993</v>
      </c>
      <c r="C18" s="63">
        <f>SUM(C12:C17)</f>
        <v>1080843.4099999999</v>
      </c>
      <c r="D18" s="63">
        <f>SUM(D12:D17)</f>
        <v>-153764.86000000002</v>
      </c>
      <c r="E18" s="15"/>
    </row>
  </sheetData>
  <mergeCells count="6">
    <mergeCell ref="A10:E10"/>
    <mergeCell ref="A1:L1"/>
    <mergeCell ref="A2:L2"/>
    <mergeCell ref="B7:B8"/>
    <mergeCell ref="C7:C8"/>
    <mergeCell ref="D7:D8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>
    <tabColor rgb="FFE8C33A"/>
  </sheetPr>
  <dimension ref="A1:N58"/>
  <sheetViews>
    <sheetView showGridLines="0" zoomScaleNormal="100" workbookViewId="0">
      <selection activeCell="D6" sqref="D6"/>
    </sheetView>
  </sheetViews>
  <sheetFormatPr defaultColWidth="8.6640625" defaultRowHeight="14.4" x14ac:dyDescent="0.3"/>
  <cols>
    <col min="1" max="1" width="22" customWidth="1"/>
    <col min="2" max="5" width="13" customWidth="1"/>
    <col min="6" max="6" width="22" customWidth="1"/>
    <col min="7" max="11" width="13" customWidth="1"/>
  </cols>
  <sheetData>
    <row r="1" spans="1:14" ht="39.75" customHeight="1" x14ac:dyDescent="0.3">
      <c r="A1" s="122" t="s">
        <v>484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</row>
    <row r="2" spans="1:14" ht="15" customHeight="1" x14ac:dyDescent="0.3">
      <c r="A2" s="123" t="s">
        <v>485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</row>
    <row r="4" spans="1:14" ht="18.75" customHeight="1" x14ac:dyDescent="0.3">
      <c r="A4" s="124" t="s">
        <v>486</v>
      </c>
      <c r="B4" s="124"/>
      <c r="C4" s="124"/>
      <c r="D4" s="124"/>
      <c r="F4" s="124" t="s">
        <v>487</v>
      </c>
      <c r="G4" s="124"/>
      <c r="H4" s="124"/>
      <c r="I4" s="124"/>
    </row>
    <row r="5" spans="1:14" ht="15" customHeight="1" x14ac:dyDescent="0.3">
      <c r="A5" s="180" t="s">
        <v>488</v>
      </c>
      <c r="B5" s="180"/>
      <c r="C5" s="180"/>
      <c r="D5" s="75">
        <v>2.8</v>
      </c>
      <c r="E5" s="13" t="s">
        <v>489</v>
      </c>
      <c r="F5" s="181" t="s">
        <v>1506</v>
      </c>
      <c r="G5" s="181"/>
      <c r="H5" s="76">
        <f>IFERROR(INDEX(DRE!$B:$B,MATCH("3.01.01*",DRE!$A:$A,0)),0)+$H$13</f>
        <v>121476.37</v>
      </c>
    </row>
    <row r="6" spans="1:14" ht="15" customHeight="1" x14ac:dyDescent="0.3">
      <c r="A6" s="180" t="s">
        <v>490</v>
      </c>
      <c r="B6" s="180"/>
      <c r="C6" s="180"/>
      <c r="D6" s="77">
        <v>181</v>
      </c>
      <c r="E6" s="78" t="s">
        <v>491</v>
      </c>
      <c r="F6" s="181" t="s">
        <v>492</v>
      </c>
      <c r="G6" s="181"/>
      <c r="H6" s="76">
        <f>IFERROR(INDEX(DRE!$B:$B,MATCH("3.03.01*",DRE!$A:$A,0)),0)</f>
        <v>94481.85</v>
      </c>
    </row>
    <row r="7" spans="1:14" ht="15" customHeight="1" x14ac:dyDescent="0.3">
      <c r="A7" s="180" t="s">
        <v>493</v>
      </c>
      <c r="B7" s="180"/>
      <c r="C7" s="180"/>
      <c r="D7" s="79">
        <f>SUM(GERAL!$J:$J)</f>
        <v>755</v>
      </c>
      <c r="F7" s="181" t="s">
        <v>494</v>
      </c>
      <c r="G7" s="181"/>
      <c r="H7" s="76">
        <f>IFERROR(INDEX(DRE!$B:$B,MATCH("3.01.03*",DRE!$A:$A,0)),0)</f>
        <v>31076.99</v>
      </c>
    </row>
    <row r="8" spans="1:14" ht="15" customHeight="1" x14ac:dyDescent="0.3">
      <c r="A8" s="181" t="s">
        <v>495</v>
      </c>
      <c r="B8" s="181"/>
      <c r="C8" s="181"/>
      <c r="D8" s="80">
        <f>D7*D6</f>
        <v>136655</v>
      </c>
      <c r="F8" s="181" t="s">
        <v>496</v>
      </c>
      <c r="G8" s="181"/>
      <c r="H8" s="76">
        <f>IFERROR(INDEX(DRE!$B:$B,MATCH("3 - Despesa",DRE!$A:$A,0)),0)</f>
        <v>1611137.88</v>
      </c>
    </row>
    <row r="9" spans="1:14" ht="15" customHeight="1" x14ac:dyDescent="0.3">
      <c r="A9" s="181" t="s">
        <v>497</v>
      </c>
      <c r="B9" s="181"/>
      <c r="C9" s="181"/>
      <c r="D9" s="76">
        <f>D8*D5</f>
        <v>382634</v>
      </c>
      <c r="F9" s="181" t="s">
        <v>498</v>
      </c>
      <c r="G9" s="181"/>
      <c r="H9" s="76">
        <f>IFERROR(INDEX(DRE!$B:$B,MATCH("3.10*",DRE!$A:$A,0)),0)</f>
        <v>872446.35</v>
      </c>
    </row>
    <row r="10" spans="1:14" ht="15" customHeight="1" x14ac:dyDescent="0.3">
      <c r="A10" s="181" t="s">
        <v>499</v>
      </c>
      <c r="B10" s="181"/>
      <c r="C10" s="181"/>
      <c r="D10" s="76">
        <f>IFERROR(INDEX(DRE!$B:$B,MATCH("2.01.01*",DRE!$A:$A,0)),0)</f>
        <v>227039.24</v>
      </c>
      <c r="F10" s="181" t="s">
        <v>500</v>
      </c>
      <c r="G10" s="181"/>
      <c r="H10" s="76">
        <f>H8-H9</f>
        <v>738691.52999999991</v>
      </c>
    </row>
    <row r="11" spans="1:14" x14ac:dyDescent="0.3">
      <c r="F11" t="s">
        <v>1503</v>
      </c>
      <c r="H11">
        <v>0.2</v>
      </c>
    </row>
    <row r="12" spans="1:14" ht="18.75" customHeight="1" x14ac:dyDescent="0.3">
      <c r="A12" s="95" t="s">
        <v>501</v>
      </c>
      <c r="B12" s="95"/>
      <c r="C12" s="95"/>
      <c r="D12" s="95"/>
      <c r="E12" s="95"/>
      <c r="F12" s="95" t="s">
        <v>1504</v>
      </c>
      <c r="G12" s="95"/>
      <c r="H12" s="95">
        <f>'2·DIETA'!$B$7</f>
        <v>540</v>
      </c>
      <c r="I12" s="95"/>
    </row>
    <row r="13" spans="1:14" ht="15" customHeight="1" x14ac:dyDescent="0.3">
      <c r="A13" s="96" t="s">
        <v>502</v>
      </c>
      <c r="B13" s="96"/>
      <c r="C13" s="96"/>
      <c r="D13" s="96"/>
      <c r="E13" s="96" t="s">
        <v>503</v>
      </c>
      <c r="F13" s="96" t="s">
        <v>1505</v>
      </c>
      <c r="G13" s="96" t="s">
        <v>504</v>
      </c>
      <c r="H13" s="96">
        <f>$H$12*$H$11*$D$6</f>
        <v>19548</v>
      </c>
      <c r="I13" s="96"/>
    </row>
    <row r="14" spans="1:14" ht="15" customHeight="1" x14ac:dyDescent="0.3">
      <c r="A14" s="181" t="s">
        <v>505</v>
      </c>
      <c r="B14" s="181"/>
      <c r="C14" s="181"/>
      <c r="D14" s="181"/>
      <c r="E14" s="182">
        <f>$D$5</f>
        <v>2.8</v>
      </c>
      <c r="F14" s="182"/>
      <c r="G14" s="183">
        <f t="shared" ref="G14:G22" si="0">IF($D$5=0,0,E14/$D$5)</f>
        <v>1</v>
      </c>
      <c r="H14" s="183"/>
      <c r="I14" s="183"/>
    </row>
    <row r="15" spans="1:14" ht="15" customHeight="1" x14ac:dyDescent="0.3">
      <c r="A15" s="181" t="s">
        <v>506</v>
      </c>
      <c r="B15" s="181"/>
      <c r="C15" s="181"/>
      <c r="D15" s="181"/>
      <c r="E15" s="182">
        <f>IF($D$8=0,0,H10/$D$8)</f>
        <v>5.4055214225604615</v>
      </c>
      <c r="F15" s="182"/>
      <c r="G15" s="183">
        <f t="shared" si="0"/>
        <v>1.9305433652001649</v>
      </c>
      <c r="H15" s="183"/>
      <c r="I15" s="183"/>
    </row>
    <row r="16" spans="1:14" ht="15" customHeight="1" x14ac:dyDescent="0.3">
      <c r="A16" s="181" t="s">
        <v>507</v>
      </c>
      <c r="B16" s="181"/>
      <c r="C16" s="181"/>
      <c r="D16" s="181"/>
      <c r="E16" s="182">
        <f>IF($D$8=0,0,H5/$D$8)</f>
        <v>0.88892737184881632</v>
      </c>
      <c r="F16" s="182"/>
      <c r="G16" s="183">
        <f t="shared" si="0"/>
        <v>0.31747406137457729</v>
      </c>
      <c r="H16" s="183"/>
      <c r="I16" s="183"/>
    </row>
    <row r="17" spans="1:10" ht="15" customHeight="1" x14ac:dyDescent="0.3">
      <c r="A17" s="181" t="s">
        <v>508</v>
      </c>
      <c r="B17" s="181"/>
      <c r="C17" s="181"/>
      <c r="D17" s="181"/>
      <c r="E17" s="182">
        <f>IF($D$8=0,0,H6/$D$8)</f>
        <v>0.69138963082214344</v>
      </c>
      <c r="F17" s="182"/>
      <c r="G17" s="183">
        <f t="shared" si="0"/>
        <v>0.24692486815076553</v>
      </c>
      <c r="H17" s="183"/>
      <c r="I17" s="183"/>
    </row>
    <row r="18" spans="1:10" ht="15" customHeight="1" x14ac:dyDescent="0.3">
      <c r="A18" s="181" t="s">
        <v>509</v>
      </c>
      <c r="B18" s="181"/>
      <c r="C18" s="181"/>
      <c r="D18" s="181"/>
      <c r="E18" s="182">
        <f>IF($D$8=0,0,H7/$D$8)</f>
        <v>0.22741202297757127</v>
      </c>
      <c r="F18" s="182"/>
      <c r="G18" s="183">
        <f t="shared" si="0"/>
        <v>8.1218579634846882E-2</v>
      </c>
      <c r="H18" s="183"/>
      <c r="I18" s="183"/>
    </row>
    <row r="19" spans="1:10" ht="15" customHeight="1" x14ac:dyDescent="0.3">
      <c r="A19" s="180" t="s">
        <v>510</v>
      </c>
      <c r="B19" s="180"/>
      <c r="C19" s="180"/>
      <c r="D19" s="180"/>
      <c r="E19" s="182">
        <f>$D$5-IF($D$8=0,0,H5/$D$8)</f>
        <v>1.9110726281511834</v>
      </c>
      <c r="F19" s="182"/>
      <c r="G19" s="183">
        <f t="shared" si="0"/>
        <v>0.68252593862542266</v>
      </c>
      <c r="H19" s="183"/>
      <c r="I19" s="183"/>
    </row>
    <row r="20" spans="1:10" ht="15" customHeight="1" x14ac:dyDescent="0.3">
      <c r="A20" s="184" t="s">
        <v>511</v>
      </c>
      <c r="B20" s="184"/>
      <c r="C20" s="184"/>
      <c r="D20" s="184"/>
      <c r="E20" s="185">
        <f>$D$5-IF($D$8=0,0,(H5+H6)/$D$8)</f>
        <v>1.2196829973290402</v>
      </c>
      <c r="F20" s="185"/>
      <c r="G20" s="186">
        <f t="shared" si="0"/>
        <v>0.43560107047465724</v>
      </c>
      <c r="H20" s="186"/>
      <c r="I20" s="186"/>
    </row>
    <row r="21" spans="1:10" ht="15" customHeight="1" x14ac:dyDescent="0.3">
      <c r="A21" s="180" t="s">
        <v>512</v>
      </c>
      <c r="B21" s="180"/>
      <c r="C21" s="180"/>
      <c r="D21" s="180"/>
      <c r="E21" s="182">
        <f>$D$5-IF($D$8=0,0,H10/$D$8)</f>
        <v>-2.6055214225604617</v>
      </c>
      <c r="F21" s="182"/>
      <c r="G21" s="183">
        <f t="shared" si="0"/>
        <v>-0.93054336520016501</v>
      </c>
      <c r="H21" s="183"/>
      <c r="I21" s="183"/>
    </row>
    <row r="22" spans="1:10" ht="15" customHeight="1" x14ac:dyDescent="0.3">
      <c r="A22" s="180" t="s">
        <v>513</v>
      </c>
      <c r="B22" s="180"/>
      <c r="C22" s="180"/>
      <c r="D22" s="180"/>
      <c r="E22" s="182">
        <f>IF($D$8=0,0,(SUM(FLUXO!$B:$B)-SUM(FLUXO!$C:$C))/$D$8)</f>
        <v>-2.890676960228312</v>
      </c>
      <c r="F22" s="182"/>
      <c r="G22" s="183">
        <f t="shared" si="0"/>
        <v>-1.0323846286529685</v>
      </c>
      <c r="H22" s="183"/>
      <c r="I22" s="183"/>
    </row>
    <row r="24" spans="1:10" ht="18.75" customHeight="1" x14ac:dyDescent="0.3">
      <c r="A24" s="124" t="s">
        <v>514</v>
      </c>
      <c r="B24" s="124"/>
      <c r="C24" s="124"/>
      <c r="D24" s="124"/>
      <c r="E24" s="124"/>
      <c r="F24" s="124"/>
      <c r="G24" s="124"/>
      <c r="H24" s="124"/>
      <c r="I24" s="124"/>
    </row>
    <row r="25" spans="1:10" ht="15" customHeight="1" x14ac:dyDescent="0.3">
      <c r="A25" s="180" t="s">
        <v>515</v>
      </c>
      <c r="B25" s="180"/>
      <c r="C25" s="180"/>
      <c r="D25" s="77">
        <v>17</v>
      </c>
      <c r="F25" s="180" t="s">
        <v>516</v>
      </c>
      <c r="G25" s="180"/>
      <c r="H25" s="180"/>
      <c r="I25" s="79">
        <v>18</v>
      </c>
    </row>
    <row r="26" spans="1:10" ht="15" customHeight="1" x14ac:dyDescent="0.3">
      <c r="A26" s="180" t="s">
        <v>517</v>
      </c>
      <c r="B26" s="180"/>
      <c r="C26" s="180"/>
      <c r="D26" s="77">
        <v>9</v>
      </c>
      <c r="F26" s="181" t="s">
        <v>518</v>
      </c>
      <c r="G26" s="181"/>
      <c r="H26" s="181"/>
      <c r="I26" s="81">
        <f>E20</f>
        <v>1.2196829973290402</v>
      </c>
      <c r="J26" s="13" t="s">
        <v>519</v>
      </c>
    </row>
    <row r="27" spans="1:10" ht="15" customHeight="1" x14ac:dyDescent="0.3">
      <c r="A27" s="181" t="s">
        <v>520</v>
      </c>
      <c r="B27" s="181"/>
      <c r="C27" s="181"/>
      <c r="D27" s="80">
        <f>D25+D26</f>
        <v>26</v>
      </c>
      <c r="F27" s="181" t="s">
        <v>521</v>
      </c>
      <c r="G27" s="181"/>
      <c r="H27" s="181"/>
      <c r="I27" s="81">
        <f>I25*I26</f>
        <v>21.954293951922722</v>
      </c>
    </row>
    <row r="28" spans="1:10" ht="15" customHeight="1" x14ac:dyDescent="0.3">
      <c r="A28" s="181" t="s">
        <v>522</v>
      </c>
      <c r="B28" s="181"/>
      <c r="C28" s="181"/>
      <c r="D28" s="80">
        <f>D27*30.4</f>
        <v>790.4</v>
      </c>
      <c r="F28" s="181" t="s">
        <v>523</v>
      </c>
      <c r="G28" s="181"/>
      <c r="H28" s="181"/>
      <c r="I28" s="80">
        <f>IF(I27&lt;=0,0,D31/I27)</f>
        <v>531.35846798563728</v>
      </c>
    </row>
    <row r="29" spans="1:10" ht="15" customHeight="1" x14ac:dyDescent="0.3">
      <c r="A29" s="180" t="s">
        <v>524</v>
      </c>
      <c r="B29" s="180"/>
      <c r="C29" s="180"/>
      <c r="D29" s="82">
        <v>14</v>
      </c>
      <c r="F29" s="181" t="s">
        <v>525</v>
      </c>
      <c r="G29" s="181"/>
      <c r="H29" s="181"/>
      <c r="I29" s="83">
        <f>IF(I27&lt;=0,0,D31/I27/30.4)</f>
        <v>17.478896973211754</v>
      </c>
    </row>
    <row r="30" spans="1:10" ht="15" customHeight="1" x14ac:dyDescent="0.3">
      <c r="A30" s="180" t="s">
        <v>526</v>
      </c>
      <c r="B30" s="180"/>
      <c r="C30" s="180"/>
      <c r="D30" s="84">
        <v>600</v>
      </c>
    </row>
    <row r="31" spans="1:10" ht="15" customHeight="1" x14ac:dyDescent="0.3">
      <c r="A31" s="181" t="s">
        <v>527</v>
      </c>
      <c r="B31" s="181"/>
      <c r="C31" s="181"/>
      <c r="D31" s="76">
        <f>D28*D29+D30</f>
        <v>11665.6</v>
      </c>
    </row>
    <row r="33" spans="1:10" ht="18.75" customHeight="1" x14ac:dyDescent="0.3">
      <c r="A33" s="121" t="s">
        <v>528</v>
      </c>
      <c r="B33" s="121"/>
      <c r="C33" s="121"/>
      <c r="D33" s="121"/>
      <c r="E33" s="121"/>
      <c r="F33" s="121"/>
      <c r="G33" s="121"/>
      <c r="H33" s="121"/>
      <c r="I33" s="121"/>
      <c r="J33" s="121"/>
    </row>
    <row r="34" spans="1:10" ht="15" customHeight="1" x14ac:dyDescent="0.3">
      <c r="A34" s="7" t="s">
        <v>529</v>
      </c>
      <c r="B34" s="7"/>
      <c r="C34" s="7" t="s">
        <v>530</v>
      </c>
      <c r="D34" s="7" t="s">
        <v>363</v>
      </c>
    </row>
    <row r="35" spans="1:10" ht="15" customHeight="1" x14ac:dyDescent="0.3">
      <c r="A35" s="179" t="s">
        <v>531</v>
      </c>
      <c r="B35" s="179"/>
      <c r="C35" s="85">
        <v>130</v>
      </c>
      <c r="D35" s="50">
        <f>C35</f>
        <v>130</v>
      </c>
    </row>
    <row r="36" spans="1:10" ht="26.4" customHeight="1" x14ac:dyDescent="0.3">
      <c r="A36" s="179" t="s">
        <v>532</v>
      </c>
      <c r="B36" s="179"/>
      <c r="C36" s="85">
        <v>20</v>
      </c>
      <c r="D36" s="50">
        <f>C36*270</f>
        <v>5400</v>
      </c>
    </row>
    <row r="37" spans="1:10" ht="15" customHeight="1" x14ac:dyDescent="0.3">
      <c r="A37" s="179" t="s">
        <v>533</v>
      </c>
      <c r="B37" s="179"/>
      <c r="C37" s="86">
        <f>D29</f>
        <v>14</v>
      </c>
      <c r="D37" s="50">
        <f>D29*D28</f>
        <v>11065.6</v>
      </c>
    </row>
    <row r="38" spans="1:10" ht="15" customHeight="1" x14ac:dyDescent="0.3">
      <c r="A38" s="179" t="s">
        <v>534</v>
      </c>
      <c r="B38" s="179"/>
      <c r="C38" s="86">
        <f>D30</f>
        <v>600</v>
      </c>
      <c r="D38" s="50">
        <f>D30</f>
        <v>600</v>
      </c>
    </row>
    <row r="39" spans="1:10" ht="15" customHeight="1" x14ac:dyDescent="0.3">
      <c r="A39" s="178" t="s">
        <v>535</v>
      </c>
      <c r="B39" s="178"/>
      <c r="C39" s="15"/>
      <c r="D39" s="74">
        <f>D35+D36+D37+D38</f>
        <v>17195.599999999999</v>
      </c>
    </row>
    <row r="41" spans="1:10" ht="15" customHeight="1" x14ac:dyDescent="0.3">
      <c r="A41" s="7" t="s">
        <v>536</v>
      </c>
      <c r="B41" s="7"/>
      <c r="C41" s="7"/>
      <c r="D41" s="7"/>
    </row>
    <row r="42" spans="1:10" ht="15" customHeight="1" x14ac:dyDescent="0.3">
      <c r="A42" s="179" t="s">
        <v>537</v>
      </c>
      <c r="B42" s="179"/>
      <c r="C42" s="15"/>
      <c r="D42" s="50">
        <f>I27</f>
        <v>21.954293951922722</v>
      </c>
    </row>
    <row r="43" spans="1:10" ht="15" customHeight="1" x14ac:dyDescent="0.3">
      <c r="A43" s="178" t="s">
        <v>538</v>
      </c>
      <c r="B43" s="178"/>
      <c r="C43" s="15"/>
      <c r="D43" s="87">
        <f>D39/D42</f>
        <v>783.24541147423395</v>
      </c>
    </row>
    <row r="44" spans="1:10" ht="15" customHeight="1" x14ac:dyDescent="0.3">
      <c r="A44" s="178" t="s">
        <v>539</v>
      </c>
      <c r="B44" s="178"/>
      <c r="C44" s="15"/>
      <c r="D44" s="88">
        <f>D39/D42/30</f>
        <v>26.108180382474465</v>
      </c>
    </row>
    <row r="46" spans="1:10" ht="15" customHeight="1" x14ac:dyDescent="0.3">
      <c r="A46" s="161" t="s">
        <v>540</v>
      </c>
      <c r="B46" s="161"/>
      <c r="C46" s="161"/>
      <c r="D46" s="161"/>
      <c r="E46" s="161"/>
      <c r="F46" s="161"/>
      <c r="G46" s="161"/>
      <c r="H46" s="161"/>
      <c r="I46" s="161"/>
      <c r="J46" s="161"/>
    </row>
    <row r="47" spans="1:10" ht="15" customHeight="1" x14ac:dyDescent="0.3">
      <c r="A47" s="161"/>
      <c r="B47" s="161"/>
      <c r="C47" s="161"/>
      <c r="D47" s="161"/>
      <c r="E47" s="161"/>
      <c r="F47" s="161"/>
      <c r="G47" s="161"/>
      <c r="H47" s="161"/>
      <c r="I47" s="161"/>
      <c r="J47" s="161"/>
    </row>
    <row r="48" spans="1:10" ht="15" customHeight="1" x14ac:dyDescent="0.3">
      <c r="A48" s="161"/>
      <c r="B48" s="161"/>
      <c r="C48" s="161"/>
      <c r="D48" s="161"/>
      <c r="E48" s="161"/>
      <c r="F48" s="161"/>
      <c r="G48" s="161"/>
      <c r="H48" s="161"/>
      <c r="I48" s="161"/>
      <c r="J48" s="161"/>
    </row>
    <row r="49" spans="1:10" ht="15" customHeight="1" x14ac:dyDescent="0.3">
      <c r="A49" s="161"/>
      <c r="B49" s="161"/>
      <c r="C49" s="161"/>
      <c r="D49" s="161"/>
      <c r="E49" s="161"/>
      <c r="F49" s="161"/>
      <c r="G49" s="161"/>
      <c r="H49" s="161"/>
      <c r="I49" s="161"/>
      <c r="J49" s="161"/>
    </row>
    <row r="50" spans="1:10" ht="15" customHeight="1" x14ac:dyDescent="0.3">
      <c r="A50" s="161"/>
      <c r="B50" s="161"/>
      <c r="C50" s="161"/>
      <c r="D50" s="161"/>
      <c r="E50" s="161"/>
      <c r="F50" s="161"/>
      <c r="G50" s="161"/>
      <c r="H50" s="161"/>
      <c r="I50" s="161"/>
      <c r="J50" s="161"/>
    </row>
    <row r="51" spans="1:10" ht="15" customHeight="1" x14ac:dyDescent="0.3">
      <c r="A51" s="161"/>
      <c r="B51" s="161"/>
      <c r="C51" s="161"/>
      <c r="D51" s="161"/>
      <c r="E51" s="161"/>
      <c r="F51" s="161"/>
      <c r="G51" s="161"/>
      <c r="H51" s="161"/>
      <c r="I51" s="161"/>
      <c r="J51" s="161"/>
    </row>
    <row r="53" spans="1:10" ht="15" customHeight="1" x14ac:dyDescent="0.3">
      <c r="A53" s="121" t="s">
        <v>541</v>
      </c>
      <c r="B53" s="121"/>
      <c r="C53" s="121"/>
      <c r="D53" s="121"/>
      <c r="E53" s="121"/>
      <c r="F53" s="121"/>
      <c r="G53" s="121"/>
      <c r="H53" s="121"/>
      <c r="I53" s="121"/>
      <c r="J53" s="121"/>
    </row>
    <row r="54" spans="1:10" ht="15" customHeight="1" x14ac:dyDescent="0.3">
      <c r="A54" s="14" t="s">
        <v>542</v>
      </c>
      <c r="B54" s="15"/>
      <c r="C54" s="15"/>
      <c r="D54" s="89">
        <f>IFERROR(D7/'1·PRODUÇÃO'!$L$5,0)</f>
        <v>36</v>
      </c>
      <c r="E54" s="13" t="s">
        <v>543</v>
      </c>
    </row>
    <row r="55" spans="1:10" ht="15" customHeight="1" x14ac:dyDescent="0.3">
      <c r="A55" s="14" t="s">
        <v>544</v>
      </c>
      <c r="B55" s="15"/>
      <c r="C55" s="15"/>
      <c r="D55" s="17">
        <f>D4</f>
        <v>0</v>
      </c>
      <c r="E55" s="13" t="s">
        <v>545</v>
      </c>
    </row>
    <row r="56" spans="1:10" ht="15" customHeight="1" x14ac:dyDescent="0.3">
      <c r="A56" s="18" t="s">
        <v>546</v>
      </c>
      <c r="B56" s="15"/>
      <c r="C56" s="15"/>
      <c r="D56" s="19">
        <f>D55*'1·PRODUÇÃO'!$L$5</f>
        <v>0</v>
      </c>
    </row>
    <row r="57" spans="1:10" ht="15" customHeight="1" x14ac:dyDescent="0.3">
      <c r="A57" s="18" t="s">
        <v>547</v>
      </c>
      <c r="B57" s="15"/>
      <c r="C57" s="15"/>
      <c r="D57" s="54">
        <f>D56*I26</f>
        <v>0</v>
      </c>
    </row>
    <row r="58" spans="1:10" ht="15" customHeight="1" x14ac:dyDescent="0.3">
      <c r="A58" s="14" t="s">
        <v>548</v>
      </c>
      <c r="B58" s="15"/>
      <c r="C58" s="15"/>
      <c r="D58" s="54">
        <f>D57*30</f>
        <v>0</v>
      </c>
    </row>
  </sheetData>
  <mergeCells count="67">
    <mergeCell ref="A1:N1"/>
    <mergeCell ref="A2:N2"/>
    <mergeCell ref="A4:D4"/>
    <mergeCell ref="F4:I4"/>
    <mergeCell ref="A5:C5"/>
    <mergeCell ref="F5:G5"/>
    <mergeCell ref="A6:C6"/>
    <mergeCell ref="F6:G6"/>
    <mergeCell ref="A7:C7"/>
    <mergeCell ref="F7:G7"/>
    <mergeCell ref="A8:C8"/>
    <mergeCell ref="F8:G8"/>
    <mergeCell ref="A9:C9"/>
    <mergeCell ref="F9:G9"/>
    <mergeCell ref="A10:C10"/>
    <mergeCell ref="F10:G10"/>
    <mergeCell ref="A14:D14"/>
    <mergeCell ref="E14:F14"/>
    <mergeCell ref="G14:I14"/>
    <mergeCell ref="A15:D15"/>
    <mergeCell ref="E15:F15"/>
    <mergeCell ref="G15:I15"/>
    <mergeCell ref="A16:D16"/>
    <mergeCell ref="E16:F16"/>
    <mergeCell ref="G16:I16"/>
    <mergeCell ref="A17:D17"/>
    <mergeCell ref="E17:F17"/>
    <mergeCell ref="G17:I17"/>
    <mergeCell ref="A18:D18"/>
    <mergeCell ref="E18:F18"/>
    <mergeCell ref="G18:I18"/>
    <mergeCell ref="A19:D19"/>
    <mergeCell ref="E19:F19"/>
    <mergeCell ref="G19:I19"/>
    <mergeCell ref="A20:D20"/>
    <mergeCell ref="E20:F20"/>
    <mergeCell ref="G20:I20"/>
    <mergeCell ref="A21:D21"/>
    <mergeCell ref="E21:F21"/>
    <mergeCell ref="G21:I21"/>
    <mergeCell ref="A22:D22"/>
    <mergeCell ref="E22:F22"/>
    <mergeCell ref="G22:I22"/>
    <mergeCell ref="A24:I24"/>
    <mergeCell ref="A25:C25"/>
    <mergeCell ref="F25:H25"/>
    <mergeCell ref="A26:C26"/>
    <mergeCell ref="F26:H26"/>
    <mergeCell ref="A27:C27"/>
    <mergeCell ref="F27:H27"/>
    <mergeCell ref="A28:C28"/>
    <mergeCell ref="F28:H28"/>
    <mergeCell ref="A29:C29"/>
    <mergeCell ref="F29:H29"/>
    <mergeCell ref="A30:C30"/>
    <mergeCell ref="A31:C31"/>
    <mergeCell ref="A33:J33"/>
    <mergeCell ref="A35:B35"/>
    <mergeCell ref="A36:B36"/>
    <mergeCell ref="A44:B44"/>
    <mergeCell ref="A46:J51"/>
    <mergeCell ref="A53:J53"/>
    <mergeCell ref="A37:B37"/>
    <mergeCell ref="A38:B38"/>
    <mergeCell ref="A39:B39"/>
    <mergeCell ref="A42:B42"/>
    <mergeCell ref="A43:B43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57596-A16D-4B21-AA67-D007AF01834A}">
  <sheetPr codeName="Planilha20">
    <tabColor rgb="FFB8860B"/>
  </sheetPr>
  <dimension ref="A1:M150"/>
  <sheetViews>
    <sheetView tabSelected="1" workbookViewId="0">
      <selection activeCell="C23" sqref="C23"/>
    </sheetView>
  </sheetViews>
  <sheetFormatPr defaultRowHeight="14.4" x14ac:dyDescent="0.3"/>
  <cols>
    <col min="1" max="1" width="16.77734375" customWidth="1"/>
    <col min="2" max="2" width="17.77734375" customWidth="1"/>
    <col min="3" max="3" width="34.77734375" customWidth="1"/>
    <col min="4" max="4" width="22.77734375" customWidth="1"/>
    <col min="5" max="5" width="42.77734375" customWidth="1"/>
    <col min="6" max="6" width="9.77734375" customWidth="1"/>
  </cols>
  <sheetData>
    <row r="1" spans="1:13" ht="34.049999999999997" customHeight="1" x14ac:dyDescent="0.45">
      <c r="A1" s="187" t="s">
        <v>2192</v>
      </c>
      <c r="B1" s="177"/>
      <c r="C1" s="177"/>
      <c r="D1" s="177"/>
      <c r="E1" s="177"/>
      <c r="F1" s="177"/>
      <c r="G1" s="177"/>
      <c r="I1" s="188" t="s">
        <v>2388</v>
      </c>
      <c r="J1" s="176"/>
      <c r="K1" s="176"/>
      <c r="L1" s="176"/>
      <c r="M1" s="176"/>
    </row>
    <row r="2" spans="1:13" x14ac:dyDescent="0.3">
      <c r="A2" s="100" t="s">
        <v>2373</v>
      </c>
      <c r="I2" s="105" t="s">
        <v>2188</v>
      </c>
      <c r="J2" s="105" t="s">
        <v>75</v>
      </c>
      <c r="K2" s="105" t="s">
        <v>2189</v>
      </c>
      <c r="L2" s="105" t="s">
        <v>2190</v>
      </c>
      <c r="M2" s="105" t="s">
        <v>2191</v>
      </c>
    </row>
    <row r="3" spans="1:13" x14ac:dyDescent="0.3">
      <c r="I3" s="107"/>
      <c r="J3" s="106"/>
      <c r="K3" s="106"/>
      <c r="L3" s="106"/>
      <c r="M3" s="106"/>
    </row>
    <row r="4" spans="1:13" x14ac:dyDescent="0.3">
      <c r="A4" s="189" t="s">
        <v>2389</v>
      </c>
      <c r="B4" s="190"/>
      <c r="C4" s="190"/>
      <c r="D4" s="190"/>
      <c r="E4" s="190"/>
      <c r="F4" s="190"/>
    </row>
    <row r="5" spans="1:13" x14ac:dyDescent="0.3">
      <c r="A5" s="108" t="s">
        <v>2390</v>
      </c>
      <c r="B5" s="104"/>
      <c r="C5" s="104"/>
      <c r="D5" s="104"/>
      <c r="E5" s="104"/>
      <c r="F5" s="104"/>
    </row>
    <row r="7" spans="1:13" x14ac:dyDescent="0.3">
      <c r="A7" s="191" t="s">
        <v>2391</v>
      </c>
      <c r="B7" s="177"/>
      <c r="C7" s="177"/>
      <c r="D7" s="177"/>
      <c r="E7" s="177"/>
      <c r="F7" s="177"/>
    </row>
    <row r="8" spans="1:13" x14ac:dyDescent="0.3">
      <c r="A8" s="108" t="s">
        <v>1091</v>
      </c>
      <c r="B8" s="108" t="s">
        <v>2193</v>
      </c>
      <c r="C8" s="108" t="s">
        <v>2194</v>
      </c>
      <c r="D8" s="108" t="s">
        <v>2195</v>
      </c>
    </row>
    <row r="9" spans="1:13" x14ac:dyDescent="0.3">
      <c r="A9" s="104" t="s">
        <v>2196</v>
      </c>
      <c r="B9" s="104">
        <v>17</v>
      </c>
      <c r="C9" s="104">
        <v>1</v>
      </c>
      <c r="D9" s="109" t="s">
        <v>2392</v>
      </c>
    </row>
    <row r="10" spans="1:13" x14ac:dyDescent="0.3">
      <c r="A10" s="104" t="s">
        <v>1066</v>
      </c>
      <c r="B10" s="104">
        <v>17</v>
      </c>
      <c r="C10" s="104">
        <v>47</v>
      </c>
      <c r="D10" s="110" t="s">
        <v>2197</v>
      </c>
    </row>
    <row r="11" spans="1:13" x14ac:dyDescent="0.3">
      <c r="A11" s="104" t="s">
        <v>1068</v>
      </c>
      <c r="B11" s="104">
        <v>17</v>
      </c>
      <c r="C11" s="104">
        <v>46</v>
      </c>
      <c r="D11" s="110" t="s">
        <v>2197</v>
      </c>
    </row>
    <row r="12" spans="1:13" x14ac:dyDescent="0.3">
      <c r="A12" s="104" t="s">
        <v>1056</v>
      </c>
      <c r="B12" s="104">
        <v>17</v>
      </c>
      <c r="C12" s="104">
        <v>52</v>
      </c>
      <c r="D12" s="110" t="s">
        <v>2197</v>
      </c>
    </row>
    <row r="13" spans="1:13" x14ac:dyDescent="0.3">
      <c r="A13" s="104" t="s">
        <v>1064</v>
      </c>
      <c r="B13" s="104">
        <v>17</v>
      </c>
      <c r="C13" s="104">
        <v>97</v>
      </c>
      <c r="D13" s="110" t="s">
        <v>2197</v>
      </c>
    </row>
    <row r="16" spans="1:13" x14ac:dyDescent="0.3">
      <c r="A16" s="189" t="s">
        <v>2393</v>
      </c>
      <c r="B16" s="190"/>
      <c r="C16" s="190"/>
      <c r="D16" s="190"/>
      <c r="E16" s="190"/>
      <c r="F16" s="190"/>
    </row>
    <row r="17" spans="1:6" x14ac:dyDescent="0.3">
      <c r="A17" s="104" t="s">
        <v>2394</v>
      </c>
      <c r="B17" s="108" t="s">
        <v>2395</v>
      </c>
      <c r="C17" s="104"/>
      <c r="D17" s="104"/>
      <c r="E17" s="104"/>
      <c r="F17" s="104"/>
    </row>
    <row r="18" spans="1:6" x14ac:dyDescent="0.3">
      <c r="A18" s="104" t="s">
        <v>2396</v>
      </c>
      <c r="B18" s="108" t="s">
        <v>2397</v>
      </c>
      <c r="C18" s="104"/>
      <c r="D18" s="104"/>
      <c r="E18" s="104"/>
      <c r="F18" s="104"/>
    </row>
    <row r="20" spans="1:6" x14ac:dyDescent="0.3">
      <c r="A20" s="103" t="s">
        <v>2188</v>
      </c>
      <c r="B20" s="103" t="s">
        <v>75</v>
      </c>
      <c r="C20" s="103" t="s">
        <v>2198</v>
      </c>
      <c r="D20" s="103" t="s">
        <v>2199</v>
      </c>
      <c r="E20" s="103" t="s">
        <v>2191</v>
      </c>
      <c r="F20" s="103" t="s">
        <v>2200</v>
      </c>
    </row>
    <row r="21" spans="1:6" x14ac:dyDescent="0.3">
      <c r="A21" s="111">
        <v>46202</v>
      </c>
      <c r="B21" s="112" t="s">
        <v>2204</v>
      </c>
      <c r="C21" s="112" t="s">
        <v>2206</v>
      </c>
      <c r="D21" s="112">
        <v>132</v>
      </c>
      <c r="E21" s="112" t="s">
        <v>2209</v>
      </c>
      <c r="F21" s="112" t="s">
        <v>2203</v>
      </c>
    </row>
    <row r="22" spans="1:6" x14ac:dyDescent="0.3">
      <c r="A22" s="113">
        <v>46205</v>
      </c>
      <c r="B22" s="114" t="s">
        <v>494</v>
      </c>
      <c r="C22" s="114" t="s">
        <v>2219</v>
      </c>
      <c r="D22" s="114" t="s">
        <v>2220</v>
      </c>
      <c r="E22" s="114" t="s">
        <v>2221</v>
      </c>
      <c r="F22" s="114" t="s">
        <v>2203</v>
      </c>
    </row>
    <row r="23" spans="1:6" x14ac:dyDescent="0.3">
      <c r="A23" s="111">
        <v>46206</v>
      </c>
      <c r="B23" s="112" t="s">
        <v>2204</v>
      </c>
      <c r="C23" s="112" t="s">
        <v>2206</v>
      </c>
      <c r="D23" s="112">
        <v>127</v>
      </c>
      <c r="E23" s="112" t="s">
        <v>2226</v>
      </c>
      <c r="F23" s="112" t="s">
        <v>2203</v>
      </c>
    </row>
    <row r="24" spans="1:6" x14ac:dyDescent="0.3">
      <c r="A24" s="111">
        <v>46206</v>
      </c>
      <c r="B24" s="112" t="s">
        <v>2204</v>
      </c>
      <c r="C24" s="112" t="s">
        <v>2205</v>
      </c>
      <c r="D24" s="112">
        <v>429</v>
      </c>
      <c r="E24" s="112" t="s">
        <v>2227</v>
      </c>
      <c r="F24" s="112" t="s">
        <v>2203</v>
      </c>
    </row>
    <row r="25" spans="1:6" x14ac:dyDescent="0.3">
      <c r="A25" s="111">
        <v>46206</v>
      </c>
      <c r="B25" s="112" t="s">
        <v>2204</v>
      </c>
      <c r="C25" s="112" t="s">
        <v>2205</v>
      </c>
      <c r="D25" s="112">
        <v>430</v>
      </c>
      <c r="E25" s="112" t="s">
        <v>2227</v>
      </c>
      <c r="F25" s="112" t="s">
        <v>2203</v>
      </c>
    </row>
    <row r="26" spans="1:6" x14ac:dyDescent="0.3">
      <c r="A26" s="111">
        <v>46206</v>
      </c>
      <c r="B26" s="112" t="s">
        <v>2204</v>
      </c>
      <c r="C26" s="112" t="s">
        <v>2206</v>
      </c>
      <c r="D26" s="112">
        <v>434</v>
      </c>
      <c r="E26" s="112" t="s">
        <v>2226</v>
      </c>
      <c r="F26" s="112" t="s">
        <v>2203</v>
      </c>
    </row>
    <row r="27" spans="1:6" x14ac:dyDescent="0.3">
      <c r="A27" s="111">
        <v>46206</v>
      </c>
      <c r="B27" s="112" t="s">
        <v>2204</v>
      </c>
      <c r="C27" s="112" t="s">
        <v>2228</v>
      </c>
      <c r="D27" s="112" t="s">
        <v>2229</v>
      </c>
      <c r="E27" s="112" t="s">
        <v>2230</v>
      </c>
      <c r="F27" s="112" t="s">
        <v>2203</v>
      </c>
    </row>
    <row r="28" spans="1:6" x14ac:dyDescent="0.3">
      <c r="A28" s="115">
        <v>46208</v>
      </c>
      <c r="B28" s="116" t="s">
        <v>2208</v>
      </c>
      <c r="C28" s="116" t="s">
        <v>2374</v>
      </c>
      <c r="D28" s="116" t="s">
        <v>1683</v>
      </c>
      <c r="E28" s="116" t="s">
        <v>2375</v>
      </c>
      <c r="F28" s="116" t="s">
        <v>2203</v>
      </c>
    </row>
    <row r="29" spans="1:6" x14ac:dyDescent="0.3">
      <c r="A29" s="115">
        <v>46208</v>
      </c>
      <c r="B29" s="116" t="s">
        <v>2208</v>
      </c>
      <c r="C29" s="116" t="s">
        <v>2374</v>
      </c>
      <c r="D29" s="116" t="s">
        <v>133</v>
      </c>
      <c r="E29" s="116" t="s">
        <v>2376</v>
      </c>
      <c r="F29" s="116" t="s">
        <v>2203</v>
      </c>
    </row>
    <row r="30" spans="1:6" x14ac:dyDescent="0.3">
      <c r="A30" s="115">
        <v>46208</v>
      </c>
      <c r="B30" s="116" t="s">
        <v>2208</v>
      </c>
      <c r="C30" s="116" t="s">
        <v>2374</v>
      </c>
      <c r="D30" s="116" t="s">
        <v>1683</v>
      </c>
      <c r="E30" s="116" t="s">
        <v>2377</v>
      </c>
      <c r="F30" s="116" t="s">
        <v>2203</v>
      </c>
    </row>
    <row r="31" spans="1:6" x14ac:dyDescent="0.3">
      <c r="A31" s="115">
        <v>46208</v>
      </c>
      <c r="B31" s="116" t="s">
        <v>2208</v>
      </c>
      <c r="C31" s="116" t="s">
        <v>2374</v>
      </c>
      <c r="D31" s="116" t="s">
        <v>126</v>
      </c>
      <c r="E31" s="116" t="s">
        <v>2378</v>
      </c>
      <c r="F31" s="116" t="s">
        <v>2203</v>
      </c>
    </row>
    <row r="32" spans="1:6" x14ac:dyDescent="0.3">
      <c r="A32" s="115">
        <v>46208</v>
      </c>
      <c r="B32" s="116" t="s">
        <v>2208</v>
      </c>
      <c r="C32" s="116" t="s">
        <v>2374</v>
      </c>
      <c r="D32" s="116" t="s">
        <v>1685</v>
      </c>
      <c r="E32" s="116" t="s">
        <v>2379</v>
      </c>
      <c r="F32" s="116" t="s">
        <v>2203</v>
      </c>
    </row>
    <row r="33" spans="1:6" x14ac:dyDescent="0.3">
      <c r="A33" s="115">
        <v>46208</v>
      </c>
      <c r="B33" s="116" t="s">
        <v>2208</v>
      </c>
      <c r="C33" s="116" t="s">
        <v>2374</v>
      </c>
      <c r="D33" s="116" t="s">
        <v>1694</v>
      </c>
      <c r="E33" s="116" t="s">
        <v>2380</v>
      </c>
      <c r="F33" s="116" t="s">
        <v>2203</v>
      </c>
    </row>
    <row r="34" spans="1:6" x14ac:dyDescent="0.3">
      <c r="A34" s="115">
        <v>46208</v>
      </c>
      <c r="B34" s="116" t="s">
        <v>2208</v>
      </c>
      <c r="C34" s="116" t="s">
        <v>2381</v>
      </c>
      <c r="D34" s="116" t="s">
        <v>1683</v>
      </c>
      <c r="E34" s="116" t="s">
        <v>2377</v>
      </c>
      <c r="F34" s="116" t="s">
        <v>2203</v>
      </c>
    </row>
    <row r="35" spans="1:6" x14ac:dyDescent="0.3">
      <c r="A35" s="115">
        <v>46208</v>
      </c>
      <c r="B35" s="116" t="s">
        <v>2208</v>
      </c>
      <c r="C35" s="116" t="s">
        <v>2381</v>
      </c>
      <c r="D35" s="116" t="s">
        <v>1683</v>
      </c>
      <c r="E35" s="116" t="s">
        <v>2375</v>
      </c>
      <c r="F35" s="116" t="s">
        <v>2203</v>
      </c>
    </row>
    <row r="36" spans="1:6" x14ac:dyDescent="0.3">
      <c r="A36" s="111">
        <v>46210</v>
      </c>
      <c r="B36" s="112" t="s">
        <v>2204</v>
      </c>
      <c r="C36" s="112" t="s">
        <v>2206</v>
      </c>
      <c r="D36" s="112">
        <v>8</v>
      </c>
      <c r="E36" s="112" t="s">
        <v>2231</v>
      </c>
      <c r="F36" s="112" t="s">
        <v>2203</v>
      </c>
    </row>
    <row r="37" spans="1:6" x14ac:dyDescent="0.3">
      <c r="A37" s="111">
        <v>46210</v>
      </c>
      <c r="B37" s="112" t="s">
        <v>2204</v>
      </c>
      <c r="C37" s="112" t="s">
        <v>2206</v>
      </c>
      <c r="D37" s="112">
        <v>129</v>
      </c>
      <c r="E37" s="112" t="s">
        <v>2231</v>
      </c>
      <c r="F37" s="112" t="s">
        <v>2203</v>
      </c>
    </row>
    <row r="38" spans="1:6" x14ac:dyDescent="0.3">
      <c r="A38" s="111">
        <v>46210</v>
      </c>
      <c r="B38" s="112" t="s">
        <v>2204</v>
      </c>
      <c r="C38" s="112" t="s">
        <v>2206</v>
      </c>
      <c r="D38" s="112">
        <v>17</v>
      </c>
      <c r="E38" s="112" t="s">
        <v>2231</v>
      </c>
      <c r="F38" s="112" t="s">
        <v>2203</v>
      </c>
    </row>
    <row r="39" spans="1:6" x14ac:dyDescent="0.3">
      <c r="A39" s="111">
        <v>46210</v>
      </c>
      <c r="B39" s="112" t="s">
        <v>2204</v>
      </c>
      <c r="C39" s="112" t="s">
        <v>2206</v>
      </c>
      <c r="D39" s="112">
        <v>208</v>
      </c>
      <c r="E39" s="112" t="s">
        <v>2231</v>
      </c>
      <c r="F39" s="112" t="s">
        <v>2203</v>
      </c>
    </row>
    <row r="40" spans="1:6" x14ac:dyDescent="0.3">
      <c r="A40" s="111">
        <v>46210</v>
      </c>
      <c r="B40" s="112" t="s">
        <v>2204</v>
      </c>
      <c r="C40" s="112" t="s">
        <v>2206</v>
      </c>
      <c r="D40" s="112">
        <v>2341</v>
      </c>
      <c r="E40" s="112" t="s">
        <v>2231</v>
      </c>
      <c r="F40" s="112" t="s">
        <v>2203</v>
      </c>
    </row>
    <row r="41" spans="1:6" x14ac:dyDescent="0.3">
      <c r="A41" s="111">
        <v>46210</v>
      </c>
      <c r="B41" s="112" t="s">
        <v>2204</v>
      </c>
      <c r="C41" s="112" t="s">
        <v>2206</v>
      </c>
      <c r="D41" s="112">
        <v>427</v>
      </c>
      <c r="E41" s="112" t="s">
        <v>2231</v>
      </c>
      <c r="F41" s="112" t="s">
        <v>2203</v>
      </c>
    </row>
    <row r="42" spans="1:6" x14ac:dyDescent="0.3">
      <c r="A42" s="111">
        <v>46210</v>
      </c>
      <c r="B42" s="112" t="s">
        <v>2204</v>
      </c>
      <c r="C42" s="112" t="s">
        <v>2206</v>
      </c>
      <c r="D42" s="112">
        <v>861</v>
      </c>
      <c r="E42" s="112" t="s">
        <v>2231</v>
      </c>
      <c r="F42" s="112" t="s">
        <v>2203</v>
      </c>
    </row>
    <row r="43" spans="1:6" x14ac:dyDescent="0.3">
      <c r="A43" s="117">
        <v>46210</v>
      </c>
      <c r="B43" s="118" t="s">
        <v>2201</v>
      </c>
      <c r="C43" s="118" t="s">
        <v>2210</v>
      </c>
      <c r="D43" s="118" t="s">
        <v>2211</v>
      </c>
      <c r="E43" s="118" t="s">
        <v>2212</v>
      </c>
      <c r="F43" s="118" t="s">
        <v>2203</v>
      </c>
    </row>
    <row r="44" spans="1:6" x14ac:dyDescent="0.3">
      <c r="A44" s="117">
        <v>46210</v>
      </c>
      <c r="B44" s="118" t="s">
        <v>2201</v>
      </c>
      <c r="C44" s="118" t="s">
        <v>2213</v>
      </c>
      <c r="D44" s="118" t="s">
        <v>2214</v>
      </c>
      <c r="E44" s="118" t="s">
        <v>2215</v>
      </c>
      <c r="F44" s="118" t="s">
        <v>2203</v>
      </c>
    </row>
    <row r="45" spans="1:6" x14ac:dyDescent="0.3">
      <c r="A45" s="115">
        <v>46210</v>
      </c>
      <c r="B45" s="116" t="s">
        <v>2208</v>
      </c>
      <c r="C45" s="116" t="s">
        <v>2232</v>
      </c>
      <c r="D45" s="116" t="s">
        <v>1490</v>
      </c>
      <c r="E45" s="116" t="s">
        <v>2233</v>
      </c>
      <c r="F45" s="116" t="s">
        <v>2203</v>
      </c>
    </row>
    <row r="46" spans="1:6" x14ac:dyDescent="0.3">
      <c r="A46" s="115">
        <v>46210</v>
      </c>
      <c r="B46" s="116" t="s">
        <v>2208</v>
      </c>
      <c r="C46" s="116" t="s">
        <v>2234</v>
      </c>
      <c r="D46" s="116" t="s">
        <v>1490</v>
      </c>
      <c r="E46" s="116" t="s">
        <v>2235</v>
      </c>
      <c r="F46" s="116" t="s">
        <v>2203</v>
      </c>
    </row>
    <row r="47" spans="1:6" x14ac:dyDescent="0.3">
      <c r="A47" s="115">
        <v>46210</v>
      </c>
      <c r="B47" s="116" t="s">
        <v>2208</v>
      </c>
      <c r="C47" s="116" t="s">
        <v>2234</v>
      </c>
      <c r="D47" s="116" t="s">
        <v>1490</v>
      </c>
      <c r="E47" s="116" t="s">
        <v>2236</v>
      </c>
      <c r="F47" s="116" t="s">
        <v>2203</v>
      </c>
    </row>
    <row r="48" spans="1:6" x14ac:dyDescent="0.3">
      <c r="A48" s="115">
        <v>46210</v>
      </c>
      <c r="B48" s="116" t="s">
        <v>2208</v>
      </c>
      <c r="C48" s="116" t="s">
        <v>2234</v>
      </c>
      <c r="D48" s="116" t="s">
        <v>1490</v>
      </c>
      <c r="E48" s="116" t="s">
        <v>2237</v>
      </c>
      <c r="F48" s="116" t="s">
        <v>2203</v>
      </c>
    </row>
    <row r="49" spans="1:6" x14ac:dyDescent="0.3">
      <c r="A49" s="115">
        <v>46210</v>
      </c>
      <c r="B49" s="116" t="s">
        <v>2208</v>
      </c>
      <c r="C49" s="116" t="s">
        <v>2238</v>
      </c>
      <c r="D49" s="116" t="s">
        <v>1490</v>
      </c>
      <c r="E49" s="116" t="s">
        <v>2239</v>
      </c>
      <c r="F49" s="116" t="s">
        <v>2203</v>
      </c>
    </row>
    <row r="50" spans="1:6" x14ac:dyDescent="0.3">
      <c r="A50" s="115">
        <v>46210</v>
      </c>
      <c r="B50" s="116" t="s">
        <v>2208</v>
      </c>
      <c r="C50" s="116" t="s">
        <v>2238</v>
      </c>
      <c r="D50" s="116" t="s">
        <v>1490</v>
      </c>
      <c r="E50" s="116" t="s">
        <v>2240</v>
      </c>
      <c r="F50" s="116" t="s">
        <v>2203</v>
      </c>
    </row>
    <row r="51" spans="1:6" x14ac:dyDescent="0.3">
      <c r="A51" s="115">
        <v>46210</v>
      </c>
      <c r="B51" s="116" t="s">
        <v>2208</v>
      </c>
      <c r="C51" s="116" t="s">
        <v>2241</v>
      </c>
      <c r="D51" s="116" t="s">
        <v>1490</v>
      </c>
      <c r="E51" s="116" t="s">
        <v>2236</v>
      </c>
      <c r="F51" s="116" t="s">
        <v>2203</v>
      </c>
    </row>
    <row r="52" spans="1:6" x14ac:dyDescent="0.3">
      <c r="A52" s="115">
        <v>46210</v>
      </c>
      <c r="B52" s="116" t="s">
        <v>2208</v>
      </c>
      <c r="C52" s="116" t="s">
        <v>2242</v>
      </c>
      <c r="D52" s="116" t="s">
        <v>1490</v>
      </c>
      <c r="E52" s="116" t="s">
        <v>2243</v>
      </c>
      <c r="F52" s="116" t="s">
        <v>2203</v>
      </c>
    </row>
    <row r="53" spans="1:6" x14ac:dyDescent="0.3">
      <c r="A53" s="115">
        <v>46210</v>
      </c>
      <c r="B53" s="116" t="s">
        <v>2208</v>
      </c>
      <c r="C53" s="116" t="s">
        <v>2244</v>
      </c>
      <c r="D53" s="116" t="s">
        <v>1490</v>
      </c>
      <c r="E53" s="116" t="s">
        <v>2245</v>
      </c>
      <c r="F53" s="116" t="s">
        <v>2203</v>
      </c>
    </row>
    <row r="54" spans="1:6" x14ac:dyDescent="0.3">
      <c r="A54" s="115">
        <v>46210</v>
      </c>
      <c r="B54" s="116" t="s">
        <v>2208</v>
      </c>
      <c r="C54" s="116" t="s">
        <v>2244</v>
      </c>
      <c r="D54" s="116" t="s">
        <v>1490</v>
      </c>
      <c r="E54" s="116" t="s">
        <v>2235</v>
      </c>
      <c r="F54" s="116" t="s">
        <v>2203</v>
      </c>
    </row>
    <row r="55" spans="1:6" x14ac:dyDescent="0.3">
      <c r="A55" s="115">
        <v>46210</v>
      </c>
      <c r="B55" s="116" t="s">
        <v>2208</v>
      </c>
      <c r="C55" s="116" t="s">
        <v>2241</v>
      </c>
      <c r="D55" s="116" t="s">
        <v>1490</v>
      </c>
      <c r="E55" s="116" t="s">
        <v>2233</v>
      </c>
      <c r="F55" s="116" t="s">
        <v>2203</v>
      </c>
    </row>
    <row r="56" spans="1:6" x14ac:dyDescent="0.3">
      <c r="A56" s="115">
        <v>46210</v>
      </c>
      <c r="B56" s="116" t="s">
        <v>2208</v>
      </c>
      <c r="C56" s="116" t="s">
        <v>2242</v>
      </c>
      <c r="D56" s="116" t="s">
        <v>1490</v>
      </c>
      <c r="E56" s="116" t="s">
        <v>2246</v>
      </c>
      <c r="F56" s="116" t="s">
        <v>2203</v>
      </c>
    </row>
    <row r="57" spans="1:6" x14ac:dyDescent="0.3">
      <c r="A57" s="115">
        <v>46210</v>
      </c>
      <c r="B57" s="116" t="s">
        <v>2208</v>
      </c>
      <c r="C57" s="116" t="s">
        <v>2242</v>
      </c>
      <c r="D57" s="116" t="s">
        <v>1490</v>
      </c>
      <c r="E57" s="116" t="s">
        <v>2246</v>
      </c>
      <c r="F57" s="116" t="s">
        <v>2203</v>
      </c>
    </row>
    <row r="58" spans="1:6" x14ac:dyDescent="0.3">
      <c r="A58" s="115">
        <v>46210</v>
      </c>
      <c r="B58" s="116" t="s">
        <v>2208</v>
      </c>
      <c r="C58" s="116" t="s">
        <v>2225</v>
      </c>
      <c r="D58" s="116" t="s">
        <v>1490</v>
      </c>
      <c r="E58" s="116" t="s">
        <v>2240</v>
      </c>
      <c r="F58" s="116" t="s">
        <v>2203</v>
      </c>
    </row>
    <row r="59" spans="1:6" x14ac:dyDescent="0.3">
      <c r="A59" s="115">
        <v>46210</v>
      </c>
      <c r="B59" s="116" t="s">
        <v>2208</v>
      </c>
      <c r="C59" s="116" t="s">
        <v>2225</v>
      </c>
      <c r="D59" s="116" t="s">
        <v>1490</v>
      </c>
      <c r="E59" s="116" t="s">
        <v>2247</v>
      </c>
      <c r="F59" s="116" t="s">
        <v>2203</v>
      </c>
    </row>
    <row r="60" spans="1:6" x14ac:dyDescent="0.3">
      <c r="A60" s="115">
        <v>46210</v>
      </c>
      <c r="B60" s="116" t="s">
        <v>2208</v>
      </c>
      <c r="C60" s="116" t="s">
        <v>2248</v>
      </c>
      <c r="D60" s="116" t="s">
        <v>1490</v>
      </c>
      <c r="E60" s="116" t="s">
        <v>2249</v>
      </c>
      <c r="F60" s="116" t="s">
        <v>2203</v>
      </c>
    </row>
    <row r="61" spans="1:6" x14ac:dyDescent="0.3">
      <c r="A61" s="115">
        <v>46210</v>
      </c>
      <c r="B61" s="116" t="s">
        <v>2208</v>
      </c>
      <c r="C61" s="116" t="s">
        <v>2250</v>
      </c>
      <c r="D61" s="116" t="s">
        <v>1490</v>
      </c>
      <c r="E61" s="116" t="s">
        <v>2247</v>
      </c>
      <c r="F61" s="116" t="s">
        <v>2203</v>
      </c>
    </row>
    <row r="62" spans="1:6" x14ac:dyDescent="0.3">
      <c r="A62" s="115">
        <v>46210</v>
      </c>
      <c r="B62" s="116" t="s">
        <v>2208</v>
      </c>
      <c r="C62" s="116" t="s">
        <v>2216</v>
      </c>
      <c r="D62" s="116" t="s">
        <v>1490</v>
      </c>
      <c r="E62" s="116" t="s">
        <v>2251</v>
      </c>
      <c r="F62" s="116" t="s">
        <v>2203</v>
      </c>
    </row>
    <row r="63" spans="1:6" x14ac:dyDescent="0.3">
      <c r="A63" s="115">
        <v>46210</v>
      </c>
      <c r="B63" s="116" t="s">
        <v>2208</v>
      </c>
      <c r="C63" s="116" t="s">
        <v>2216</v>
      </c>
      <c r="D63" s="116" t="s">
        <v>1490</v>
      </c>
      <c r="E63" s="116" t="s">
        <v>2252</v>
      </c>
      <c r="F63" s="116" t="s">
        <v>2203</v>
      </c>
    </row>
    <row r="64" spans="1:6" x14ac:dyDescent="0.3">
      <c r="A64" s="115">
        <v>46210</v>
      </c>
      <c r="B64" s="116" t="s">
        <v>2208</v>
      </c>
      <c r="C64" s="116" t="s">
        <v>2244</v>
      </c>
      <c r="D64" s="116" t="s">
        <v>1490</v>
      </c>
      <c r="E64" s="116" t="s">
        <v>2255</v>
      </c>
      <c r="F64" s="116" t="s">
        <v>2203</v>
      </c>
    </row>
    <row r="65" spans="1:6" x14ac:dyDescent="0.3">
      <c r="A65" s="115">
        <v>46210</v>
      </c>
      <c r="B65" s="116" t="s">
        <v>2208</v>
      </c>
      <c r="C65" s="116" t="s">
        <v>2244</v>
      </c>
      <c r="D65" s="116" t="s">
        <v>1490</v>
      </c>
      <c r="E65" s="116" t="s">
        <v>2247</v>
      </c>
      <c r="F65" s="116" t="s">
        <v>2203</v>
      </c>
    </row>
    <row r="66" spans="1:6" x14ac:dyDescent="0.3">
      <c r="A66" s="115">
        <v>46210</v>
      </c>
      <c r="B66" s="116" t="s">
        <v>2208</v>
      </c>
      <c r="C66" s="116" t="s">
        <v>2244</v>
      </c>
      <c r="D66" s="116" t="s">
        <v>1490</v>
      </c>
      <c r="E66" s="116" t="s">
        <v>2253</v>
      </c>
      <c r="F66" s="116" t="s">
        <v>2203</v>
      </c>
    </row>
    <row r="67" spans="1:6" x14ac:dyDescent="0.3">
      <c r="A67" s="115">
        <v>46210</v>
      </c>
      <c r="B67" s="116" t="s">
        <v>2208</v>
      </c>
      <c r="C67" s="116" t="s">
        <v>2244</v>
      </c>
      <c r="D67" s="116" t="s">
        <v>1490</v>
      </c>
      <c r="E67" s="116" t="s">
        <v>2256</v>
      </c>
      <c r="F67" s="116" t="s">
        <v>2203</v>
      </c>
    </row>
    <row r="68" spans="1:6" x14ac:dyDescent="0.3">
      <c r="A68" s="115">
        <v>46210</v>
      </c>
      <c r="B68" s="116" t="s">
        <v>2208</v>
      </c>
      <c r="C68" s="116" t="s">
        <v>2244</v>
      </c>
      <c r="D68" s="116" t="s">
        <v>1490</v>
      </c>
      <c r="E68" s="116" t="s">
        <v>2235</v>
      </c>
      <c r="F68" s="116" t="s">
        <v>2203</v>
      </c>
    </row>
    <row r="69" spans="1:6" x14ac:dyDescent="0.3">
      <c r="A69" s="115">
        <v>46210</v>
      </c>
      <c r="B69" s="116" t="s">
        <v>2208</v>
      </c>
      <c r="C69" s="116" t="s">
        <v>2244</v>
      </c>
      <c r="D69" s="116" t="s">
        <v>1490</v>
      </c>
      <c r="E69" s="116" t="s">
        <v>2254</v>
      </c>
      <c r="F69" s="116" t="s">
        <v>2203</v>
      </c>
    </row>
    <row r="70" spans="1:6" x14ac:dyDescent="0.3">
      <c r="A70" s="115">
        <v>46210</v>
      </c>
      <c r="B70" s="116" t="s">
        <v>2208</v>
      </c>
      <c r="C70" s="116" t="s">
        <v>2241</v>
      </c>
      <c r="D70" s="116" t="s">
        <v>1490</v>
      </c>
      <c r="E70" s="116" t="s">
        <v>2257</v>
      </c>
      <c r="F70" s="116" t="s">
        <v>2203</v>
      </c>
    </row>
    <row r="71" spans="1:6" x14ac:dyDescent="0.3">
      <c r="A71" s="115">
        <v>46210</v>
      </c>
      <c r="B71" s="116" t="s">
        <v>2208</v>
      </c>
      <c r="C71" s="116" t="s">
        <v>2241</v>
      </c>
      <c r="D71" s="116" t="s">
        <v>1490</v>
      </c>
      <c r="E71" s="116" t="s">
        <v>2235</v>
      </c>
      <c r="F71" s="116" t="s">
        <v>2203</v>
      </c>
    </row>
    <row r="72" spans="1:6" x14ac:dyDescent="0.3">
      <c r="A72" s="115">
        <v>46210</v>
      </c>
      <c r="B72" s="116" t="s">
        <v>2208</v>
      </c>
      <c r="C72" s="116" t="s">
        <v>2241</v>
      </c>
      <c r="D72" s="116" t="s">
        <v>1490</v>
      </c>
      <c r="E72" s="116" t="s">
        <v>2255</v>
      </c>
      <c r="F72" s="116" t="s">
        <v>2203</v>
      </c>
    </row>
    <row r="73" spans="1:6" x14ac:dyDescent="0.3">
      <c r="A73" s="115">
        <v>46210</v>
      </c>
      <c r="B73" s="116" t="s">
        <v>2208</v>
      </c>
      <c r="C73" s="116" t="s">
        <v>2258</v>
      </c>
      <c r="D73" s="116" t="s">
        <v>1490</v>
      </c>
      <c r="E73" s="116" t="s">
        <v>2255</v>
      </c>
      <c r="F73" s="116" t="s">
        <v>2203</v>
      </c>
    </row>
    <row r="74" spans="1:6" x14ac:dyDescent="0.3">
      <c r="A74" s="115">
        <v>46210</v>
      </c>
      <c r="B74" s="116" t="s">
        <v>2208</v>
      </c>
      <c r="C74" s="116" t="s">
        <v>2258</v>
      </c>
      <c r="D74" s="116" t="s">
        <v>1490</v>
      </c>
      <c r="E74" s="116" t="s">
        <v>2257</v>
      </c>
      <c r="F74" s="116" t="s">
        <v>2203</v>
      </c>
    </row>
    <row r="75" spans="1:6" x14ac:dyDescent="0.3">
      <c r="A75" s="115">
        <v>46210</v>
      </c>
      <c r="B75" s="116" t="s">
        <v>2208</v>
      </c>
      <c r="C75" s="116" t="s">
        <v>2258</v>
      </c>
      <c r="D75" s="116" t="s">
        <v>1490</v>
      </c>
      <c r="E75" s="116" t="s">
        <v>2237</v>
      </c>
      <c r="F75" s="116" t="s">
        <v>2203</v>
      </c>
    </row>
    <row r="76" spans="1:6" x14ac:dyDescent="0.3">
      <c r="A76" s="115">
        <v>46210</v>
      </c>
      <c r="B76" s="116" t="s">
        <v>2208</v>
      </c>
      <c r="C76" s="116" t="s">
        <v>2258</v>
      </c>
      <c r="D76" s="116" t="s">
        <v>1490</v>
      </c>
      <c r="E76" s="116" t="s">
        <v>2233</v>
      </c>
      <c r="F76" s="116" t="s">
        <v>2203</v>
      </c>
    </row>
    <row r="77" spans="1:6" x14ac:dyDescent="0.3">
      <c r="A77" s="115">
        <v>46210</v>
      </c>
      <c r="B77" s="116" t="s">
        <v>2208</v>
      </c>
      <c r="C77" s="116" t="s">
        <v>2258</v>
      </c>
      <c r="D77" s="116" t="s">
        <v>1490</v>
      </c>
      <c r="E77" s="116" t="s">
        <v>2235</v>
      </c>
      <c r="F77" s="116" t="s">
        <v>2203</v>
      </c>
    </row>
    <row r="78" spans="1:6" x14ac:dyDescent="0.3">
      <c r="A78" s="117">
        <v>46212</v>
      </c>
      <c r="B78" s="118" t="s">
        <v>2201</v>
      </c>
      <c r="C78" s="118" t="s">
        <v>2222</v>
      </c>
      <c r="D78" s="118" t="s">
        <v>2223</v>
      </c>
      <c r="E78" s="118" t="s">
        <v>2224</v>
      </c>
      <c r="F78" s="118" t="s">
        <v>2203</v>
      </c>
    </row>
    <row r="79" spans="1:6" x14ac:dyDescent="0.3">
      <c r="A79" s="115">
        <v>46213</v>
      </c>
      <c r="B79" s="116" t="s">
        <v>2208</v>
      </c>
      <c r="C79" s="116" t="s">
        <v>2382</v>
      </c>
      <c r="D79" s="116" t="s">
        <v>1752</v>
      </c>
      <c r="E79" s="116" t="s">
        <v>2383</v>
      </c>
      <c r="F79" s="116" t="s">
        <v>2203</v>
      </c>
    </row>
    <row r="80" spans="1:6" x14ac:dyDescent="0.3">
      <c r="A80" s="111">
        <v>46214</v>
      </c>
      <c r="B80" s="112" t="s">
        <v>2204</v>
      </c>
      <c r="C80" s="112" t="s">
        <v>2206</v>
      </c>
      <c r="D80" s="112">
        <v>150</v>
      </c>
      <c r="E80" s="112" t="s">
        <v>2291</v>
      </c>
      <c r="F80" s="112" t="s">
        <v>2203</v>
      </c>
    </row>
    <row r="81" spans="1:6" x14ac:dyDescent="0.3">
      <c r="A81" s="111">
        <v>46215</v>
      </c>
      <c r="B81" s="112" t="s">
        <v>2204</v>
      </c>
      <c r="C81" s="112" t="s">
        <v>2217</v>
      </c>
      <c r="D81" s="112">
        <v>2349</v>
      </c>
      <c r="E81" s="112" t="s">
        <v>2218</v>
      </c>
      <c r="F81" s="112" t="s">
        <v>2203</v>
      </c>
    </row>
    <row r="82" spans="1:6" x14ac:dyDescent="0.3">
      <c r="A82" s="111">
        <v>46216</v>
      </c>
      <c r="B82" s="112" t="s">
        <v>2204</v>
      </c>
      <c r="C82" s="112" t="s">
        <v>2207</v>
      </c>
      <c r="D82" s="112">
        <v>3335</v>
      </c>
      <c r="E82" s="112" t="s">
        <v>2384</v>
      </c>
      <c r="F82" s="112" t="s">
        <v>2203</v>
      </c>
    </row>
    <row r="83" spans="1:6" x14ac:dyDescent="0.3">
      <c r="A83" s="113">
        <v>46217</v>
      </c>
      <c r="B83" s="114" t="s">
        <v>494</v>
      </c>
      <c r="C83" s="114" t="s">
        <v>2219</v>
      </c>
      <c r="D83" s="114" t="s">
        <v>2220</v>
      </c>
      <c r="E83" s="114" t="s">
        <v>2221</v>
      </c>
      <c r="F83" s="114" t="s">
        <v>2203</v>
      </c>
    </row>
    <row r="84" spans="1:6" x14ac:dyDescent="0.3">
      <c r="A84" s="111">
        <v>46218</v>
      </c>
      <c r="B84" s="112" t="s">
        <v>2204</v>
      </c>
      <c r="C84" s="112" t="s">
        <v>2217</v>
      </c>
      <c r="D84" s="112">
        <v>132</v>
      </c>
      <c r="E84" s="112" t="s">
        <v>2218</v>
      </c>
      <c r="F84" s="112" t="s">
        <v>2203</v>
      </c>
    </row>
    <row r="85" spans="1:6" x14ac:dyDescent="0.3">
      <c r="A85" s="111">
        <v>46218</v>
      </c>
      <c r="B85" s="112" t="s">
        <v>2204</v>
      </c>
      <c r="C85" s="112" t="s">
        <v>2206</v>
      </c>
      <c r="D85" s="112">
        <v>146</v>
      </c>
      <c r="E85" s="112" t="s">
        <v>2385</v>
      </c>
      <c r="F85" s="112" t="s">
        <v>2203</v>
      </c>
    </row>
    <row r="86" spans="1:6" x14ac:dyDescent="0.3">
      <c r="A86" s="111">
        <v>46218</v>
      </c>
      <c r="B86" s="112" t="s">
        <v>2204</v>
      </c>
      <c r="C86" s="112" t="s">
        <v>2206</v>
      </c>
      <c r="D86" s="112">
        <v>9321</v>
      </c>
      <c r="E86" s="112" t="s">
        <v>2385</v>
      </c>
      <c r="F86" s="112" t="s">
        <v>2203</v>
      </c>
    </row>
    <row r="87" spans="1:6" x14ac:dyDescent="0.3">
      <c r="A87" s="117">
        <v>46219</v>
      </c>
      <c r="B87" s="118" t="s">
        <v>2201</v>
      </c>
      <c r="C87" s="118" t="s">
        <v>2222</v>
      </c>
      <c r="D87" s="118" t="s">
        <v>2223</v>
      </c>
      <c r="E87" s="118" t="s">
        <v>2224</v>
      </c>
      <c r="F87" s="118" t="s">
        <v>2203</v>
      </c>
    </row>
    <row r="88" spans="1:6" x14ac:dyDescent="0.3">
      <c r="A88" s="111">
        <v>46222</v>
      </c>
      <c r="B88" s="112" t="s">
        <v>2204</v>
      </c>
      <c r="C88" s="112" t="s">
        <v>2217</v>
      </c>
      <c r="D88" s="112">
        <v>127</v>
      </c>
      <c r="E88" s="112" t="s">
        <v>2218</v>
      </c>
      <c r="F88" s="112" t="s">
        <v>2203</v>
      </c>
    </row>
    <row r="89" spans="1:6" x14ac:dyDescent="0.3">
      <c r="A89" s="111">
        <v>46222</v>
      </c>
      <c r="B89" s="112" t="s">
        <v>2204</v>
      </c>
      <c r="C89" s="112" t="s">
        <v>2217</v>
      </c>
      <c r="D89" s="112">
        <v>434</v>
      </c>
      <c r="E89" s="112" t="s">
        <v>2218</v>
      </c>
      <c r="F89" s="112" t="s">
        <v>2203</v>
      </c>
    </row>
    <row r="90" spans="1:6" x14ac:dyDescent="0.3">
      <c r="A90" s="111">
        <v>46224</v>
      </c>
      <c r="B90" s="112" t="s">
        <v>2204</v>
      </c>
      <c r="C90" s="112" t="s">
        <v>2207</v>
      </c>
      <c r="D90" s="112">
        <v>1245</v>
      </c>
      <c r="E90" s="112" t="s">
        <v>2259</v>
      </c>
      <c r="F90" s="112" t="s">
        <v>2203</v>
      </c>
    </row>
    <row r="91" spans="1:6" x14ac:dyDescent="0.3">
      <c r="A91" s="111">
        <v>46224</v>
      </c>
      <c r="B91" s="112" t="s">
        <v>2204</v>
      </c>
      <c r="C91" s="112" t="s">
        <v>2207</v>
      </c>
      <c r="D91" s="112">
        <v>1258</v>
      </c>
      <c r="E91" s="112" t="s">
        <v>2259</v>
      </c>
      <c r="F91" s="112" t="s">
        <v>2203</v>
      </c>
    </row>
    <row r="92" spans="1:6" x14ac:dyDescent="0.3">
      <c r="A92" s="111">
        <v>46224</v>
      </c>
      <c r="B92" s="112" t="s">
        <v>2204</v>
      </c>
      <c r="C92" s="112" t="s">
        <v>2207</v>
      </c>
      <c r="D92" s="112">
        <v>1262</v>
      </c>
      <c r="E92" s="112" t="s">
        <v>2259</v>
      </c>
      <c r="F92" s="112" t="s">
        <v>2203</v>
      </c>
    </row>
    <row r="93" spans="1:6" x14ac:dyDescent="0.3">
      <c r="A93" s="111">
        <v>46224</v>
      </c>
      <c r="B93" s="112" t="s">
        <v>2204</v>
      </c>
      <c r="C93" s="112" t="s">
        <v>2207</v>
      </c>
      <c r="D93" s="112">
        <v>1275</v>
      </c>
      <c r="E93" s="112" t="s">
        <v>2259</v>
      </c>
      <c r="F93" s="112" t="s">
        <v>2203</v>
      </c>
    </row>
    <row r="94" spans="1:6" x14ac:dyDescent="0.3">
      <c r="A94" s="111">
        <v>46224</v>
      </c>
      <c r="B94" s="112" t="s">
        <v>2204</v>
      </c>
      <c r="C94" s="112" t="s">
        <v>2207</v>
      </c>
      <c r="D94" s="112">
        <v>1278</v>
      </c>
      <c r="E94" s="112" t="s">
        <v>2259</v>
      </c>
      <c r="F94" s="112" t="s">
        <v>2203</v>
      </c>
    </row>
    <row r="95" spans="1:6" x14ac:dyDescent="0.3">
      <c r="A95" s="111">
        <v>46224</v>
      </c>
      <c r="B95" s="112" t="s">
        <v>2204</v>
      </c>
      <c r="C95" s="112" t="s">
        <v>2207</v>
      </c>
      <c r="D95" s="112">
        <v>432</v>
      </c>
      <c r="E95" s="112" t="s">
        <v>2259</v>
      </c>
      <c r="F95" s="112" t="s">
        <v>2203</v>
      </c>
    </row>
    <row r="96" spans="1:6" x14ac:dyDescent="0.3">
      <c r="A96" s="111">
        <v>46224</v>
      </c>
      <c r="B96" s="112" t="s">
        <v>2204</v>
      </c>
      <c r="C96" s="112" t="s">
        <v>2207</v>
      </c>
      <c r="D96" s="112">
        <v>433</v>
      </c>
      <c r="E96" s="112" t="s">
        <v>2259</v>
      </c>
      <c r="F96" s="112" t="s">
        <v>2203</v>
      </c>
    </row>
    <row r="97" spans="1:6" x14ac:dyDescent="0.3">
      <c r="A97" s="117">
        <v>46224</v>
      </c>
      <c r="B97" s="118" t="s">
        <v>2201</v>
      </c>
      <c r="C97" s="118" t="s">
        <v>2210</v>
      </c>
      <c r="D97" s="118" t="s">
        <v>2211</v>
      </c>
      <c r="E97" s="118" t="s">
        <v>2212</v>
      </c>
      <c r="F97" s="118" t="s">
        <v>2203</v>
      </c>
    </row>
    <row r="98" spans="1:6" x14ac:dyDescent="0.3">
      <c r="A98" s="111">
        <v>46226</v>
      </c>
      <c r="B98" s="112" t="s">
        <v>2204</v>
      </c>
      <c r="C98" s="112" t="s">
        <v>2217</v>
      </c>
      <c r="D98" s="112">
        <v>8</v>
      </c>
      <c r="E98" s="112" t="s">
        <v>2218</v>
      </c>
      <c r="F98" s="112" t="s">
        <v>2203</v>
      </c>
    </row>
    <row r="99" spans="1:6" x14ac:dyDescent="0.3">
      <c r="A99" s="111">
        <v>46226</v>
      </c>
      <c r="B99" s="112" t="s">
        <v>2204</v>
      </c>
      <c r="C99" s="112" t="s">
        <v>2217</v>
      </c>
      <c r="D99" s="112">
        <v>129</v>
      </c>
      <c r="E99" s="112" t="s">
        <v>2218</v>
      </c>
      <c r="F99" s="112" t="s">
        <v>2203</v>
      </c>
    </row>
    <row r="100" spans="1:6" x14ac:dyDescent="0.3">
      <c r="A100" s="111">
        <v>46226</v>
      </c>
      <c r="B100" s="112" t="s">
        <v>2204</v>
      </c>
      <c r="C100" s="112" t="s">
        <v>2217</v>
      </c>
      <c r="D100" s="112">
        <v>17</v>
      </c>
      <c r="E100" s="112" t="s">
        <v>2218</v>
      </c>
      <c r="F100" s="112" t="s">
        <v>2203</v>
      </c>
    </row>
    <row r="101" spans="1:6" x14ac:dyDescent="0.3">
      <c r="A101" s="111">
        <v>46226</v>
      </c>
      <c r="B101" s="112" t="s">
        <v>2204</v>
      </c>
      <c r="C101" s="112" t="s">
        <v>2217</v>
      </c>
      <c r="D101" s="112">
        <v>208</v>
      </c>
      <c r="E101" s="112" t="s">
        <v>2218</v>
      </c>
      <c r="F101" s="112" t="s">
        <v>2203</v>
      </c>
    </row>
    <row r="102" spans="1:6" x14ac:dyDescent="0.3">
      <c r="A102" s="111">
        <v>46226</v>
      </c>
      <c r="B102" s="112" t="s">
        <v>2204</v>
      </c>
      <c r="C102" s="112" t="s">
        <v>2217</v>
      </c>
      <c r="D102" s="112">
        <v>2341</v>
      </c>
      <c r="E102" s="112" t="s">
        <v>2218</v>
      </c>
      <c r="F102" s="112" t="s">
        <v>2203</v>
      </c>
    </row>
    <row r="103" spans="1:6" x14ac:dyDescent="0.3">
      <c r="A103" s="111">
        <v>46226</v>
      </c>
      <c r="B103" s="112" t="s">
        <v>2204</v>
      </c>
      <c r="C103" s="112" t="s">
        <v>2217</v>
      </c>
      <c r="D103" s="112">
        <v>427</v>
      </c>
      <c r="E103" s="112" t="s">
        <v>2218</v>
      </c>
      <c r="F103" s="112" t="s">
        <v>2203</v>
      </c>
    </row>
    <row r="104" spans="1:6" x14ac:dyDescent="0.3">
      <c r="A104" s="111">
        <v>46226</v>
      </c>
      <c r="B104" s="112" t="s">
        <v>2204</v>
      </c>
      <c r="C104" s="112" t="s">
        <v>2217</v>
      </c>
      <c r="D104" s="112">
        <v>861</v>
      </c>
      <c r="E104" s="112" t="s">
        <v>2218</v>
      </c>
      <c r="F104" s="112" t="s">
        <v>2203</v>
      </c>
    </row>
    <row r="105" spans="1:6" x14ac:dyDescent="0.3">
      <c r="A105" s="117">
        <v>46226</v>
      </c>
      <c r="B105" s="118" t="s">
        <v>2201</v>
      </c>
      <c r="C105" s="118" t="s">
        <v>2222</v>
      </c>
      <c r="D105" s="118" t="s">
        <v>2223</v>
      </c>
      <c r="E105" s="118" t="s">
        <v>2224</v>
      </c>
      <c r="F105" s="118" t="s">
        <v>2203</v>
      </c>
    </row>
    <row r="106" spans="1:6" x14ac:dyDescent="0.3">
      <c r="A106" s="111">
        <v>46227</v>
      </c>
      <c r="B106" s="112" t="s">
        <v>2204</v>
      </c>
      <c r="C106" s="112" t="s">
        <v>2205</v>
      </c>
      <c r="D106" s="112">
        <v>145</v>
      </c>
      <c r="E106" s="112" t="s">
        <v>2260</v>
      </c>
      <c r="F106" s="112" t="s">
        <v>2203</v>
      </c>
    </row>
    <row r="107" spans="1:6" x14ac:dyDescent="0.3">
      <c r="A107" s="111">
        <v>46227</v>
      </c>
      <c r="B107" s="112" t="s">
        <v>2204</v>
      </c>
      <c r="C107" s="112" t="s">
        <v>2205</v>
      </c>
      <c r="D107" s="112">
        <v>435</v>
      </c>
      <c r="E107" s="112" t="s">
        <v>2260</v>
      </c>
      <c r="F107" s="112" t="s">
        <v>2203</v>
      </c>
    </row>
    <row r="108" spans="1:6" x14ac:dyDescent="0.3">
      <c r="A108" s="111">
        <v>46227</v>
      </c>
      <c r="B108" s="112" t="s">
        <v>2204</v>
      </c>
      <c r="C108" s="112" t="s">
        <v>2228</v>
      </c>
      <c r="D108" s="112" t="s">
        <v>2229</v>
      </c>
      <c r="E108" s="112" t="s">
        <v>2230</v>
      </c>
      <c r="F108" s="112" t="s">
        <v>2203</v>
      </c>
    </row>
    <row r="109" spans="1:6" x14ac:dyDescent="0.3">
      <c r="A109" s="117">
        <v>46227</v>
      </c>
      <c r="B109" s="118" t="s">
        <v>2201</v>
      </c>
      <c r="C109" s="118" t="s">
        <v>2202</v>
      </c>
      <c r="D109" s="118" t="s">
        <v>789</v>
      </c>
      <c r="E109" s="118" t="s">
        <v>2261</v>
      </c>
      <c r="F109" s="118" t="s">
        <v>2203</v>
      </c>
    </row>
    <row r="110" spans="1:6" x14ac:dyDescent="0.3">
      <c r="A110" s="113">
        <v>46229</v>
      </c>
      <c r="B110" s="114" t="s">
        <v>494</v>
      </c>
      <c r="C110" s="114" t="s">
        <v>2219</v>
      </c>
      <c r="D110" s="114" t="s">
        <v>2220</v>
      </c>
      <c r="E110" s="114" t="s">
        <v>2221</v>
      </c>
      <c r="F110" s="114" t="s">
        <v>2203</v>
      </c>
    </row>
    <row r="111" spans="1:6" x14ac:dyDescent="0.3">
      <c r="A111" s="117">
        <v>46229</v>
      </c>
      <c r="B111" s="118" t="s">
        <v>2201</v>
      </c>
      <c r="C111" s="118" t="s">
        <v>2202</v>
      </c>
      <c r="D111" s="118">
        <v>482</v>
      </c>
      <c r="E111" s="118" t="s">
        <v>2262</v>
      </c>
      <c r="F111" s="118" t="s">
        <v>2203</v>
      </c>
    </row>
    <row r="112" spans="1:6" x14ac:dyDescent="0.3">
      <c r="A112" s="111">
        <v>46230</v>
      </c>
      <c r="B112" s="112" t="s">
        <v>2204</v>
      </c>
      <c r="C112" s="112" t="s">
        <v>2217</v>
      </c>
      <c r="D112" s="112">
        <v>150</v>
      </c>
      <c r="E112" s="112" t="s">
        <v>2218</v>
      </c>
      <c r="F112" s="112" t="s">
        <v>2203</v>
      </c>
    </row>
    <row r="113" spans="1:6" x14ac:dyDescent="0.3">
      <c r="A113" s="111">
        <v>46231</v>
      </c>
      <c r="B113" s="112" t="s">
        <v>2204</v>
      </c>
      <c r="C113" s="112" t="s">
        <v>2207</v>
      </c>
      <c r="D113" s="112">
        <v>429</v>
      </c>
      <c r="E113" s="112" t="s">
        <v>2263</v>
      </c>
      <c r="F113" s="112" t="s">
        <v>2203</v>
      </c>
    </row>
    <row r="114" spans="1:6" x14ac:dyDescent="0.3">
      <c r="A114" s="111">
        <v>46231</v>
      </c>
      <c r="B114" s="112" t="s">
        <v>2204</v>
      </c>
      <c r="C114" s="112" t="s">
        <v>2207</v>
      </c>
      <c r="D114" s="112">
        <v>430</v>
      </c>
      <c r="E114" s="112" t="s">
        <v>2263</v>
      </c>
      <c r="F114" s="112" t="s">
        <v>2203</v>
      </c>
    </row>
    <row r="115" spans="1:6" x14ac:dyDescent="0.3">
      <c r="A115" s="117">
        <v>46233</v>
      </c>
      <c r="B115" s="118" t="s">
        <v>2201</v>
      </c>
      <c r="C115" s="118" t="s">
        <v>2222</v>
      </c>
      <c r="D115" s="118" t="s">
        <v>2223</v>
      </c>
      <c r="E115" s="118" t="s">
        <v>2224</v>
      </c>
      <c r="F115" s="118" t="s">
        <v>2203</v>
      </c>
    </row>
    <row r="116" spans="1:6" x14ac:dyDescent="0.3">
      <c r="A116" s="111">
        <v>46234</v>
      </c>
      <c r="B116" s="112" t="s">
        <v>2204</v>
      </c>
      <c r="C116" s="112" t="s">
        <v>2217</v>
      </c>
      <c r="D116" s="112">
        <v>146</v>
      </c>
      <c r="E116" s="112" t="s">
        <v>2218</v>
      </c>
      <c r="F116" s="112" t="s">
        <v>2203</v>
      </c>
    </row>
    <row r="117" spans="1:6" x14ac:dyDescent="0.3">
      <c r="A117" s="111">
        <v>46234</v>
      </c>
      <c r="B117" s="112" t="s">
        <v>2204</v>
      </c>
      <c r="C117" s="112" t="s">
        <v>2217</v>
      </c>
      <c r="D117" s="112">
        <v>9321</v>
      </c>
      <c r="E117" s="112" t="s">
        <v>2218</v>
      </c>
      <c r="F117" s="112" t="s">
        <v>2203</v>
      </c>
    </row>
    <row r="118" spans="1:6" x14ac:dyDescent="0.3">
      <c r="A118" s="111">
        <v>46235</v>
      </c>
      <c r="B118" s="112" t="s">
        <v>2204</v>
      </c>
      <c r="C118" s="112" t="s">
        <v>2207</v>
      </c>
      <c r="D118" s="112">
        <v>108</v>
      </c>
      <c r="E118" s="112" t="s">
        <v>2264</v>
      </c>
      <c r="F118" s="112" t="s">
        <v>2203</v>
      </c>
    </row>
    <row r="119" spans="1:6" x14ac:dyDescent="0.3">
      <c r="A119" s="111">
        <v>46236</v>
      </c>
      <c r="B119" s="112" t="s">
        <v>2204</v>
      </c>
      <c r="C119" s="112" t="s">
        <v>2207</v>
      </c>
      <c r="D119" s="112">
        <v>559</v>
      </c>
      <c r="E119" s="112" t="s">
        <v>2265</v>
      </c>
      <c r="F119" s="112" t="s">
        <v>2203</v>
      </c>
    </row>
    <row r="120" spans="1:6" x14ac:dyDescent="0.3">
      <c r="A120" s="111">
        <v>46236</v>
      </c>
      <c r="B120" s="112" t="s">
        <v>2204</v>
      </c>
      <c r="C120" s="112" t="s">
        <v>2207</v>
      </c>
      <c r="D120" s="112">
        <v>7542</v>
      </c>
      <c r="E120" s="112" t="s">
        <v>2265</v>
      </c>
      <c r="F120" s="112" t="s">
        <v>2203</v>
      </c>
    </row>
    <row r="121" spans="1:6" x14ac:dyDescent="0.3">
      <c r="A121" s="111">
        <v>46236</v>
      </c>
      <c r="B121" s="112" t="s">
        <v>2204</v>
      </c>
      <c r="C121" s="112" t="s">
        <v>2207</v>
      </c>
      <c r="D121" s="112">
        <v>8013</v>
      </c>
      <c r="E121" s="112" t="s">
        <v>2265</v>
      </c>
      <c r="F121" s="112" t="s">
        <v>2203</v>
      </c>
    </row>
    <row r="122" spans="1:6" x14ac:dyDescent="0.3">
      <c r="A122" s="111">
        <v>46236</v>
      </c>
      <c r="B122" s="112" t="s">
        <v>2204</v>
      </c>
      <c r="C122" s="112" t="s">
        <v>2207</v>
      </c>
      <c r="D122" s="112">
        <v>9251</v>
      </c>
      <c r="E122" s="112" t="s">
        <v>2265</v>
      </c>
      <c r="F122" s="112" t="s">
        <v>2203</v>
      </c>
    </row>
    <row r="123" spans="1:6" x14ac:dyDescent="0.3">
      <c r="A123" s="111">
        <v>46236</v>
      </c>
      <c r="B123" s="112" t="s">
        <v>2204</v>
      </c>
      <c r="C123" s="112" t="s">
        <v>2207</v>
      </c>
      <c r="D123" s="112">
        <v>9320</v>
      </c>
      <c r="E123" s="112" t="s">
        <v>2265</v>
      </c>
      <c r="F123" s="112" t="s">
        <v>2203</v>
      </c>
    </row>
    <row r="124" spans="1:6" x14ac:dyDescent="0.3">
      <c r="A124" s="111">
        <v>46236</v>
      </c>
      <c r="B124" s="112" t="s">
        <v>2204</v>
      </c>
      <c r="C124" s="112" t="s">
        <v>2207</v>
      </c>
      <c r="D124" s="112">
        <v>9322</v>
      </c>
      <c r="E124" s="112" t="s">
        <v>2265</v>
      </c>
      <c r="F124" s="112" t="s">
        <v>2203</v>
      </c>
    </row>
    <row r="125" spans="1:6" x14ac:dyDescent="0.3">
      <c r="A125" s="111">
        <v>46236</v>
      </c>
      <c r="B125" s="112" t="s">
        <v>2204</v>
      </c>
      <c r="C125" s="112" t="s">
        <v>2207</v>
      </c>
      <c r="D125" s="112">
        <v>9372</v>
      </c>
      <c r="E125" s="112" t="s">
        <v>2265</v>
      </c>
      <c r="F125" s="112" t="s">
        <v>2203</v>
      </c>
    </row>
    <row r="126" spans="1:6" x14ac:dyDescent="0.3">
      <c r="A126" s="111">
        <v>46236</v>
      </c>
      <c r="B126" s="112" t="s">
        <v>2204</v>
      </c>
      <c r="C126" s="112" t="s">
        <v>2207</v>
      </c>
      <c r="D126" s="112">
        <v>9376</v>
      </c>
      <c r="E126" s="112" t="s">
        <v>2265</v>
      </c>
      <c r="F126" s="112" t="s">
        <v>2203</v>
      </c>
    </row>
    <row r="127" spans="1:6" x14ac:dyDescent="0.3">
      <c r="A127" s="111">
        <v>46236</v>
      </c>
      <c r="B127" s="112" t="s">
        <v>2204</v>
      </c>
      <c r="C127" s="112" t="s">
        <v>2207</v>
      </c>
      <c r="D127" s="112">
        <v>9378</v>
      </c>
      <c r="E127" s="112" t="s">
        <v>2265</v>
      </c>
      <c r="F127" s="112" t="s">
        <v>2203</v>
      </c>
    </row>
    <row r="128" spans="1:6" x14ac:dyDescent="0.3">
      <c r="A128" s="117">
        <v>46238</v>
      </c>
      <c r="B128" s="118" t="s">
        <v>2201</v>
      </c>
      <c r="C128" s="118" t="s">
        <v>2210</v>
      </c>
      <c r="D128" s="118" t="s">
        <v>2211</v>
      </c>
      <c r="E128" s="118" t="s">
        <v>2212</v>
      </c>
      <c r="F128" s="118" t="s">
        <v>2203</v>
      </c>
    </row>
    <row r="129" spans="1:6" x14ac:dyDescent="0.3">
      <c r="A129" s="111">
        <v>46240</v>
      </c>
      <c r="B129" s="112" t="s">
        <v>2204</v>
      </c>
      <c r="C129" s="112" t="s">
        <v>2205</v>
      </c>
      <c r="D129" s="112">
        <v>151</v>
      </c>
      <c r="E129" s="112" t="s">
        <v>2266</v>
      </c>
      <c r="F129" s="112" t="s">
        <v>2203</v>
      </c>
    </row>
    <row r="130" spans="1:6" x14ac:dyDescent="0.3">
      <c r="A130" s="117">
        <v>46240</v>
      </c>
      <c r="B130" s="118" t="s">
        <v>2201</v>
      </c>
      <c r="C130" s="118" t="s">
        <v>2222</v>
      </c>
      <c r="D130" s="118" t="s">
        <v>2223</v>
      </c>
      <c r="E130" s="118" t="s">
        <v>2224</v>
      </c>
      <c r="F130" s="118" t="s">
        <v>2203</v>
      </c>
    </row>
    <row r="131" spans="1:6" x14ac:dyDescent="0.3">
      <c r="A131" s="113">
        <v>46241</v>
      </c>
      <c r="B131" s="114" t="s">
        <v>494</v>
      </c>
      <c r="C131" s="114" t="s">
        <v>2219</v>
      </c>
      <c r="D131" s="114" t="s">
        <v>2220</v>
      </c>
      <c r="E131" s="114" t="s">
        <v>2221</v>
      </c>
      <c r="F131" s="114" t="s">
        <v>2203</v>
      </c>
    </row>
    <row r="132" spans="1:6" x14ac:dyDescent="0.3">
      <c r="A132" s="111">
        <v>46245</v>
      </c>
      <c r="B132" s="112" t="s">
        <v>2204</v>
      </c>
      <c r="C132" s="112" t="s">
        <v>2207</v>
      </c>
      <c r="D132" s="112">
        <v>1263</v>
      </c>
      <c r="E132" s="112" t="s">
        <v>2267</v>
      </c>
      <c r="F132" s="112" t="s">
        <v>2203</v>
      </c>
    </row>
    <row r="133" spans="1:6" x14ac:dyDescent="0.3">
      <c r="A133" s="111">
        <v>46245</v>
      </c>
      <c r="B133" s="112" t="s">
        <v>2204</v>
      </c>
      <c r="C133" s="112" t="s">
        <v>2207</v>
      </c>
      <c r="D133" s="112">
        <v>1276</v>
      </c>
      <c r="E133" s="112" t="s">
        <v>2267</v>
      </c>
      <c r="F133" s="112" t="s">
        <v>2203</v>
      </c>
    </row>
    <row r="134" spans="1:6" x14ac:dyDescent="0.3">
      <c r="A134" s="111">
        <v>46247</v>
      </c>
      <c r="B134" s="112" t="s">
        <v>2204</v>
      </c>
      <c r="C134" s="112" t="s">
        <v>2205</v>
      </c>
      <c r="D134" s="112">
        <v>428</v>
      </c>
      <c r="E134" s="112" t="s">
        <v>2268</v>
      </c>
      <c r="F134" s="112" t="s">
        <v>2203</v>
      </c>
    </row>
    <row r="135" spans="1:6" x14ac:dyDescent="0.3">
      <c r="A135" s="117">
        <v>46247</v>
      </c>
      <c r="B135" s="118" t="s">
        <v>2201</v>
      </c>
      <c r="C135" s="118" t="s">
        <v>2222</v>
      </c>
      <c r="D135" s="118" t="s">
        <v>2223</v>
      </c>
      <c r="E135" s="118" t="s">
        <v>2224</v>
      </c>
      <c r="F135" s="118" t="s">
        <v>2203</v>
      </c>
    </row>
    <row r="136" spans="1:6" x14ac:dyDescent="0.3">
      <c r="A136" s="111">
        <v>46248</v>
      </c>
      <c r="B136" s="112" t="s">
        <v>2204</v>
      </c>
      <c r="C136" s="112" t="s">
        <v>2228</v>
      </c>
      <c r="D136" s="112" t="s">
        <v>2229</v>
      </c>
      <c r="E136" s="112" t="s">
        <v>2230</v>
      </c>
      <c r="F136" s="112" t="s">
        <v>2203</v>
      </c>
    </row>
    <row r="137" spans="1:6" x14ac:dyDescent="0.3">
      <c r="A137" s="111">
        <v>46251</v>
      </c>
      <c r="B137" s="112" t="s">
        <v>2204</v>
      </c>
      <c r="C137" s="112" t="s">
        <v>2207</v>
      </c>
      <c r="D137" s="112">
        <v>1273</v>
      </c>
      <c r="E137" s="112" t="s">
        <v>2269</v>
      </c>
      <c r="F137" s="112" t="s">
        <v>2203</v>
      </c>
    </row>
    <row r="138" spans="1:6" x14ac:dyDescent="0.3">
      <c r="A138" s="111">
        <v>46252</v>
      </c>
      <c r="B138" s="112" t="s">
        <v>2204</v>
      </c>
      <c r="C138" s="112" t="s">
        <v>2207</v>
      </c>
      <c r="D138" s="112">
        <v>145</v>
      </c>
      <c r="E138" s="112" t="s">
        <v>2270</v>
      </c>
      <c r="F138" s="112" t="s">
        <v>2203</v>
      </c>
    </row>
    <row r="139" spans="1:6" x14ac:dyDescent="0.3">
      <c r="A139" s="111">
        <v>46252</v>
      </c>
      <c r="B139" s="112" t="s">
        <v>2204</v>
      </c>
      <c r="C139" s="112" t="s">
        <v>2207</v>
      </c>
      <c r="D139" s="112">
        <v>435</v>
      </c>
      <c r="E139" s="112" t="s">
        <v>2270</v>
      </c>
      <c r="F139" s="112" t="s">
        <v>2203</v>
      </c>
    </row>
    <row r="140" spans="1:6" x14ac:dyDescent="0.3">
      <c r="A140" s="117">
        <v>46252</v>
      </c>
      <c r="B140" s="118" t="s">
        <v>2201</v>
      </c>
      <c r="C140" s="118" t="s">
        <v>2210</v>
      </c>
      <c r="D140" s="118" t="s">
        <v>2211</v>
      </c>
      <c r="E140" s="118" t="s">
        <v>2212</v>
      </c>
      <c r="F140" s="118" t="s">
        <v>2203</v>
      </c>
    </row>
    <row r="141" spans="1:6" x14ac:dyDescent="0.3">
      <c r="A141" s="117">
        <v>46252</v>
      </c>
      <c r="B141" s="118" t="s">
        <v>2201</v>
      </c>
      <c r="C141" s="118" t="s">
        <v>2202</v>
      </c>
      <c r="D141" s="118" t="s">
        <v>797</v>
      </c>
      <c r="E141" s="118" t="s">
        <v>2271</v>
      </c>
      <c r="F141" s="118" t="s">
        <v>2203</v>
      </c>
    </row>
    <row r="142" spans="1:6" x14ac:dyDescent="0.3">
      <c r="A142" s="113">
        <v>46253</v>
      </c>
      <c r="B142" s="114" t="s">
        <v>494</v>
      </c>
      <c r="C142" s="114" t="s">
        <v>2219</v>
      </c>
      <c r="D142" s="114" t="s">
        <v>2220</v>
      </c>
      <c r="E142" s="114" t="s">
        <v>2221</v>
      </c>
      <c r="F142" s="114" t="s">
        <v>2203</v>
      </c>
    </row>
    <row r="143" spans="1:6" x14ac:dyDescent="0.3">
      <c r="A143" s="117">
        <v>46254</v>
      </c>
      <c r="B143" s="118" t="s">
        <v>2201</v>
      </c>
      <c r="C143" s="118" t="s">
        <v>2222</v>
      </c>
      <c r="D143" s="118" t="s">
        <v>2223</v>
      </c>
      <c r="E143" s="118" t="s">
        <v>2224</v>
      </c>
      <c r="F143" s="118" t="s">
        <v>2203</v>
      </c>
    </row>
    <row r="144" spans="1:6" x14ac:dyDescent="0.3">
      <c r="A144" s="117">
        <v>46255</v>
      </c>
      <c r="B144" s="118" t="s">
        <v>2201</v>
      </c>
      <c r="C144" s="118" t="s">
        <v>2202</v>
      </c>
      <c r="D144" s="118">
        <v>483</v>
      </c>
      <c r="E144" s="118" t="s">
        <v>2272</v>
      </c>
      <c r="F144" s="118" t="s">
        <v>2203</v>
      </c>
    </row>
    <row r="145" spans="1:6" x14ac:dyDescent="0.3">
      <c r="A145" s="117">
        <v>46261</v>
      </c>
      <c r="B145" s="118" t="s">
        <v>2201</v>
      </c>
      <c r="C145" s="118" t="s">
        <v>2222</v>
      </c>
      <c r="D145" s="118" t="s">
        <v>2223</v>
      </c>
      <c r="E145" s="118" t="s">
        <v>2224</v>
      </c>
      <c r="F145" s="118" t="s">
        <v>2203</v>
      </c>
    </row>
    <row r="146" spans="1:6" x14ac:dyDescent="0.3">
      <c r="A146" s="111">
        <v>46264</v>
      </c>
      <c r="B146" s="112" t="s">
        <v>2204</v>
      </c>
      <c r="C146" s="112" t="s">
        <v>2207</v>
      </c>
      <c r="D146" s="112">
        <v>1279</v>
      </c>
      <c r="E146" s="112" t="s">
        <v>2386</v>
      </c>
      <c r="F146" s="112" t="s">
        <v>2203</v>
      </c>
    </row>
    <row r="147" spans="1:6" x14ac:dyDescent="0.3">
      <c r="A147" s="111">
        <v>46265</v>
      </c>
      <c r="B147" s="112" t="s">
        <v>2204</v>
      </c>
      <c r="C147" s="112" t="s">
        <v>2207</v>
      </c>
      <c r="D147" s="112">
        <v>151</v>
      </c>
      <c r="E147" s="112" t="s">
        <v>2387</v>
      </c>
      <c r="F147" s="112" t="s">
        <v>2203</v>
      </c>
    </row>
    <row r="148" spans="1:6" x14ac:dyDescent="0.3">
      <c r="A148" s="113">
        <v>46265</v>
      </c>
      <c r="B148" s="114" t="s">
        <v>494</v>
      </c>
      <c r="C148" s="114" t="s">
        <v>2219</v>
      </c>
      <c r="D148" s="114" t="s">
        <v>2220</v>
      </c>
      <c r="E148" s="114" t="s">
        <v>2221</v>
      </c>
      <c r="F148" s="114" t="s">
        <v>2203</v>
      </c>
    </row>
    <row r="149" spans="1:6" x14ac:dyDescent="0.3">
      <c r="A149" s="117">
        <v>46266</v>
      </c>
      <c r="B149" s="118" t="s">
        <v>2201</v>
      </c>
      <c r="C149" s="118" t="s">
        <v>2210</v>
      </c>
      <c r="D149" s="118" t="s">
        <v>2211</v>
      </c>
      <c r="E149" s="118" t="s">
        <v>2212</v>
      </c>
      <c r="F149" s="118" t="s">
        <v>2203</v>
      </c>
    </row>
    <row r="150" spans="1:6" x14ac:dyDescent="0.3">
      <c r="A150" s="117">
        <v>46266</v>
      </c>
      <c r="B150" s="118" t="s">
        <v>2201</v>
      </c>
      <c r="C150" s="118" t="s">
        <v>2213</v>
      </c>
      <c r="D150" s="118" t="s">
        <v>2214</v>
      </c>
      <c r="E150" s="118" t="s">
        <v>2215</v>
      </c>
      <c r="F150" s="118" t="s">
        <v>2203</v>
      </c>
    </row>
  </sheetData>
  <autoFilter ref="A20:F150" xr:uid="{19457596-A16D-4B21-AA67-D007AF01834A}"/>
  <mergeCells count="5">
    <mergeCell ref="A1:G1"/>
    <mergeCell ref="I1:M1"/>
    <mergeCell ref="A4:F4"/>
    <mergeCell ref="A7:F7"/>
    <mergeCell ref="A16:F16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>
    <tabColor rgb="FF808080"/>
    <outlinePr summaryBelow="0"/>
  </sheetPr>
  <dimension ref="A1:AQ457"/>
  <sheetViews>
    <sheetView zoomScaleNormal="100" workbookViewId="0">
      <pane ySplit="1" topLeftCell="A2" activePane="bottomLeft" state="frozen"/>
      <selection pane="bottomLeft"/>
    </sheetView>
  </sheetViews>
  <sheetFormatPr defaultColWidth="8.6640625" defaultRowHeight="14.4" outlineLevelRow="1" x14ac:dyDescent="0.3"/>
  <cols>
    <col min="1" max="1" width="10" customWidth="1"/>
    <col min="2" max="2" width="14" customWidth="1"/>
    <col min="3" max="3" width="12" customWidth="1"/>
    <col min="4" max="4" width="15" customWidth="1"/>
    <col min="5" max="5" width="14" customWidth="1"/>
    <col min="6" max="6" width="13" customWidth="1"/>
    <col min="7" max="7" width="10" customWidth="1"/>
    <col min="8" max="8" width="12" customWidth="1"/>
    <col min="9" max="9" width="16" customWidth="1"/>
    <col min="10" max="10" width="13" customWidth="1"/>
    <col min="11" max="11" width="15" customWidth="1"/>
    <col min="12" max="12" width="14" customWidth="1"/>
    <col min="13" max="13" width="12" customWidth="1"/>
    <col min="14" max="14" width="14" customWidth="1"/>
    <col min="15" max="16" width="13" customWidth="1"/>
    <col min="17" max="17" width="14" customWidth="1"/>
    <col min="18" max="18" width="16" customWidth="1"/>
    <col min="19" max="21" width="14" customWidth="1"/>
    <col min="22" max="22" width="11" customWidth="1"/>
    <col min="23" max="23" width="13" customWidth="1"/>
    <col min="24" max="25" width="10" customWidth="1"/>
    <col min="26" max="26" width="13" customWidth="1"/>
    <col min="27" max="27" width="15" customWidth="1"/>
    <col min="28" max="28" width="16" customWidth="1"/>
    <col min="29" max="29" width="17" customWidth="1"/>
    <col min="30" max="30" width="11" customWidth="1"/>
    <col min="31" max="31" width="13" customWidth="1"/>
    <col min="32" max="33" width="15" customWidth="1"/>
    <col min="34" max="34" width="11" customWidth="1"/>
    <col min="35" max="35" width="16" customWidth="1"/>
    <col min="36" max="36" width="10" customWidth="1"/>
    <col min="37" max="38" width="14" customWidth="1"/>
    <col min="39" max="39" width="17" customWidth="1"/>
    <col min="40" max="40" width="16" customWidth="1"/>
    <col min="41" max="42" width="12" customWidth="1"/>
    <col min="43" max="43" width="17" customWidth="1"/>
  </cols>
  <sheetData>
    <row r="1" spans="1:43" ht="15" customHeight="1" x14ac:dyDescent="0.3">
      <c r="A1" s="7" t="s">
        <v>549</v>
      </c>
      <c r="B1" s="7" t="s">
        <v>550</v>
      </c>
      <c r="C1" s="7" t="s">
        <v>551</v>
      </c>
      <c r="D1" s="7" t="s">
        <v>552</v>
      </c>
      <c r="E1" s="7" t="s">
        <v>553</v>
      </c>
      <c r="F1" s="7" t="s">
        <v>554</v>
      </c>
      <c r="G1" s="7" t="s">
        <v>555</v>
      </c>
      <c r="H1" s="7" t="s">
        <v>556</v>
      </c>
      <c r="I1" s="7" t="s">
        <v>557</v>
      </c>
      <c r="J1" s="7" t="s">
        <v>558</v>
      </c>
      <c r="K1" s="7" t="s">
        <v>559</v>
      </c>
      <c r="L1" s="7" t="s">
        <v>560</v>
      </c>
      <c r="M1" s="7" t="s">
        <v>561</v>
      </c>
      <c r="N1" s="7" t="s">
        <v>562</v>
      </c>
      <c r="O1" s="7" t="s">
        <v>563</v>
      </c>
      <c r="P1" s="7" t="s">
        <v>564</v>
      </c>
      <c r="Q1" s="7" t="s">
        <v>565</v>
      </c>
      <c r="R1" s="7" t="s">
        <v>566</v>
      </c>
      <c r="S1" s="7" t="s">
        <v>567</v>
      </c>
      <c r="T1" s="7" t="s">
        <v>568</v>
      </c>
      <c r="U1" s="7" t="s">
        <v>569</v>
      </c>
      <c r="V1" s="7" t="s">
        <v>570</v>
      </c>
      <c r="W1" s="7" t="s">
        <v>571</v>
      </c>
      <c r="X1" s="7" t="s">
        <v>572</v>
      </c>
      <c r="Y1" s="7" t="s">
        <v>573</v>
      </c>
      <c r="Z1" s="7" t="s">
        <v>574</v>
      </c>
      <c r="AA1" s="7" t="s">
        <v>575</v>
      </c>
      <c r="AB1" s="7" t="s">
        <v>576</v>
      </c>
      <c r="AC1" s="7" t="s">
        <v>577</v>
      </c>
      <c r="AD1" s="7" t="s">
        <v>578</v>
      </c>
      <c r="AE1" s="7" t="s">
        <v>579</v>
      </c>
      <c r="AF1" s="7" t="s">
        <v>580</v>
      </c>
      <c r="AG1" s="7" t="s">
        <v>581</v>
      </c>
      <c r="AH1" s="7" t="s">
        <v>582</v>
      </c>
      <c r="AI1" s="7" t="s">
        <v>583</v>
      </c>
      <c r="AJ1" s="7" t="s">
        <v>584</v>
      </c>
      <c r="AK1" s="7" t="s">
        <v>585</v>
      </c>
      <c r="AL1" s="7" t="s">
        <v>586</v>
      </c>
      <c r="AM1" s="7" t="s">
        <v>587</v>
      </c>
      <c r="AN1" s="7" t="s">
        <v>588</v>
      </c>
      <c r="AO1" s="7" t="s">
        <v>589</v>
      </c>
      <c r="AP1" s="7" t="s">
        <v>590</v>
      </c>
      <c r="AQ1" s="7" t="s">
        <v>591</v>
      </c>
    </row>
    <row r="2" spans="1:43" ht="15" customHeight="1" x14ac:dyDescent="0.3">
      <c r="A2" s="101" t="s">
        <v>592</v>
      </c>
      <c r="B2" s="90" t="s">
        <v>130</v>
      </c>
      <c r="C2" s="91">
        <v>45597</v>
      </c>
      <c r="D2" s="91"/>
      <c r="E2" s="92">
        <v>0</v>
      </c>
      <c r="F2" s="90"/>
      <c r="G2" s="90"/>
      <c r="H2" s="90"/>
      <c r="I2" s="90"/>
      <c r="J2" s="91">
        <v>46082</v>
      </c>
      <c r="K2" s="90" t="s">
        <v>124</v>
      </c>
      <c r="L2" s="90" t="s">
        <v>132</v>
      </c>
      <c r="M2" s="90" t="s">
        <v>593</v>
      </c>
      <c r="N2" s="90"/>
      <c r="O2" s="90" t="s">
        <v>171</v>
      </c>
      <c r="P2" s="90"/>
      <c r="Q2" s="90" t="s">
        <v>130</v>
      </c>
      <c r="R2" s="92">
        <v>1</v>
      </c>
      <c r="S2" s="30"/>
      <c r="T2" s="91">
        <v>46141</v>
      </c>
      <c r="U2" s="90" t="s">
        <v>582</v>
      </c>
      <c r="V2" s="91"/>
      <c r="W2" s="90"/>
      <c r="X2" s="92">
        <v>45</v>
      </c>
      <c r="Y2" s="30"/>
      <c r="Z2" s="30"/>
      <c r="AA2" s="30"/>
      <c r="AB2" s="91"/>
      <c r="AC2" s="91"/>
      <c r="AD2" s="91"/>
      <c r="AE2" s="90"/>
      <c r="AF2" s="90"/>
      <c r="AG2" s="30"/>
      <c r="AH2" s="90">
        <v>1</v>
      </c>
      <c r="AI2" s="90">
        <v>1</v>
      </c>
      <c r="AJ2" s="90">
        <v>0</v>
      </c>
      <c r="AK2" s="92">
        <v>2026</v>
      </c>
      <c r="AL2" s="90" t="s">
        <v>234</v>
      </c>
      <c r="AM2" s="92"/>
      <c r="AN2" s="90"/>
      <c r="AO2" s="90">
        <v>1</v>
      </c>
      <c r="AP2" s="90" t="s">
        <v>80</v>
      </c>
      <c r="AQ2" s="30">
        <v>16</v>
      </c>
    </row>
    <row r="3" spans="1:43" ht="15" customHeight="1" x14ac:dyDescent="0.3">
      <c r="A3" s="101" t="s">
        <v>594</v>
      </c>
      <c r="B3" s="90" t="s">
        <v>130</v>
      </c>
      <c r="C3" s="91">
        <v>45590</v>
      </c>
      <c r="D3" s="91"/>
      <c r="E3" s="92">
        <v>0</v>
      </c>
      <c r="F3" s="90"/>
      <c r="G3" s="90"/>
      <c r="H3" s="90"/>
      <c r="I3" s="90"/>
      <c r="J3" s="91">
        <v>46078</v>
      </c>
      <c r="K3" s="90" t="s">
        <v>124</v>
      </c>
      <c r="L3" s="90" t="s">
        <v>132</v>
      </c>
      <c r="M3" s="90" t="s">
        <v>593</v>
      </c>
      <c r="N3" s="90"/>
      <c r="O3" s="90" t="s">
        <v>171</v>
      </c>
      <c r="P3" s="90"/>
      <c r="Q3" s="90" t="s">
        <v>130</v>
      </c>
      <c r="R3" s="92">
        <v>1</v>
      </c>
      <c r="S3" s="30"/>
      <c r="T3" s="91">
        <v>46141</v>
      </c>
      <c r="U3" s="90" t="s">
        <v>582</v>
      </c>
      <c r="V3" s="91"/>
      <c r="W3" s="90"/>
      <c r="X3" s="92">
        <v>45</v>
      </c>
      <c r="Y3" s="30"/>
      <c r="Z3" s="30"/>
      <c r="AA3" s="30"/>
      <c r="AB3" s="91"/>
      <c r="AC3" s="91"/>
      <c r="AD3" s="91"/>
      <c r="AE3" s="90"/>
      <c r="AF3" s="90"/>
      <c r="AG3" s="30"/>
      <c r="AH3" s="90">
        <v>1</v>
      </c>
      <c r="AI3" s="90">
        <v>1</v>
      </c>
      <c r="AJ3" s="90">
        <v>0</v>
      </c>
      <c r="AK3" s="92">
        <v>2026</v>
      </c>
      <c r="AL3" s="90" t="s">
        <v>233</v>
      </c>
      <c r="AM3" s="92"/>
      <c r="AN3" s="90"/>
      <c r="AO3" s="90">
        <v>1</v>
      </c>
      <c r="AP3" s="90" t="s">
        <v>80</v>
      </c>
      <c r="AQ3" s="30">
        <v>16.100000000000001</v>
      </c>
    </row>
    <row r="4" spans="1:43" ht="15" customHeight="1" x14ac:dyDescent="0.3">
      <c r="A4" s="101" t="s">
        <v>595</v>
      </c>
      <c r="B4" s="90" t="s">
        <v>130</v>
      </c>
      <c r="C4" s="91">
        <v>45715</v>
      </c>
      <c r="D4" s="91"/>
      <c r="E4" s="92">
        <v>0</v>
      </c>
      <c r="F4" s="90"/>
      <c r="G4" s="90"/>
      <c r="H4" s="90"/>
      <c r="I4" s="90"/>
      <c r="J4" s="91">
        <v>46152</v>
      </c>
      <c r="K4" s="90" t="s">
        <v>131</v>
      </c>
      <c r="L4" s="90" t="s">
        <v>132</v>
      </c>
      <c r="M4" s="90" t="s">
        <v>593</v>
      </c>
      <c r="N4" s="90" t="s">
        <v>133</v>
      </c>
      <c r="O4" s="90" t="s">
        <v>154</v>
      </c>
      <c r="P4" s="90" t="s">
        <v>596</v>
      </c>
      <c r="Q4" s="90" t="s">
        <v>137</v>
      </c>
      <c r="R4" s="92">
        <v>1</v>
      </c>
      <c r="S4" s="30"/>
      <c r="T4" s="91">
        <v>46185</v>
      </c>
      <c r="U4" s="90" t="s">
        <v>582</v>
      </c>
      <c r="V4" s="91"/>
      <c r="W4" s="90"/>
      <c r="X4" s="92">
        <v>45</v>
      </c>
      <c r="Y4" s="30"/>
      <c r="Z4" s="30"/>
      <c r="AA4" s="30"/>
      <c r="AB4" s="91"/>
      <c r="AC4" s="91"/>
      <c r="AD4" s="91"/>
      <c r="AE4" s="90"/>
      <c r="AF4" s="90"/>
      <c r="AG4" s="30"/>
      <c r="AH4" s="90">
        <v>1</v>
      </c>
      <c r="AI4" s="90">
        <v>1</v>
      </c>
      <c r="AJ4" s="90">
        <v>0</v>
      </c>
      <c r="AK4" s="92">
        <v>2026</v>
      </c>
      <c r="AL4" s="90" t="s">
        <v>236</v>
      </c>
      <c r="AM4" s="92"/>
      <c r="AN4" s="90"/>
      <c r="AO4" s="90">
        <v>1</v>
      </c>
      <c r="AP4" s="90" t="s">
        <v>80</v>
      </c>
      <c r="AQ4" s="30">
        <v>14.4</v>
      </c>
    </row>
    <row r="5" spans="1:43" ht="15" customHeight="1" x14ac:dyDescent="0.3">
      <c r="A5" s="101" t="s">
        <v>597</v>
      </c>
      <c r="B5" s="90" t="s">
        <v>130</v>
      </c>
      <c r="C5" s="91">
        <v>45606</v>
      </c>
      <c r="D5" s="91"/>
      <c r="E5" s="92">
        <v>0</v>
      </c>
      <c r="F5" s="90"/>
      <c r="G5" s="90"/>
      <c r="H5" s="90"/>
      <c r="I5" s="90"/>
      <c r="J5" s="91">
        <v>46091</v>
      </c>
      <c r="K5" s="90" t="s">
        <v>124</v>
      </c>
      <c r="L5" s="90" t="s">
        <v>132</v>
      </c>
      <c r="M5" s="90" t="s">
        <v>593</v>
      </c>
      <c r="N5" s="90"/>
      <c r="O5" s="90" t="s">
        <v>171</v>
      </c>
      <c r="P5" s="90"/>
      <c r="Q5" s="90" t="s">
        <v>130</v>
      </c>
      <c r="R5" s="92">
        <v>1</v>
      </c>
      <c r="S5" s="30"/>
      <c r="T5" s="91">
        <v>46141</v>
      </c>
      <c r="U5" s="90" t="s">
        <v>582</v>
      </c>
      <c r="V5" s="91"/>
      <c r="W5" s="90"/>
      <c r="X5" s="92">
        <v>45</v>
      </c>
      <c r="Y5" s="30"/>
      <c r="Z5" s="30"/>
      <c r="AA5" s="30"/>
      <c r="AB5" s="91"/>
      <c r="AC5" s="91"/>
      <c r="AD5" s="91"/>
      <c r="AE5" s="90"/>
      <c r="AF5" s="90"/>
      <c r="AG5" s="30"/>
      <c r="AH5" s="90">
        <v>1</v>
      </c>
      <c r="AI5" s="90">
        <v>1</v>
      </c>
      <c r="AJ5" s="90">
        <v>0</v>
      </c>
      <c r="AK5" s="92">
        <v>2026</v>
      </c>
      <c r="AL5" s="90" t="s">
        <v>234</v>
      </c>
      <c r="AM5" s="92"/>
      <c r="AN5" s="90"/>
      <c r="AO5" s="90">
        <v>1</v>
      </c>
      <c r="AP5" s="90" t="s">
        <v>80</v>
      </c>
      <c r="AQ5" s="30">
        <v>16</v>
      </c>
    </row>
    <row r="6" spans="1:43" ht="15" customHeight="1" x14ac:dyDescent="0.3">
      <c r="A6" s="101" t="s">
        <v>598</v>
      </c>
      <c r="B6" s="90" t="s">
        <v>130</v>
      </c>
      <c r="C6" s="91">
        <v>45350</v>
      </c>
      <c r="D6" s="91"/>
      <c r="E6" s="92">
        <v>0</v>
      </c>
      <c r="F6" s="90"/>
      <c r="G6" s="90"/>
      <c r="H6" s="90"/>
      <c r="I6" s="90"/>
      <c r="J6" s="91">
        <v>45853</v>
      </c>
      <c r="K6" s="90" t="s">
        <v>131</v>
      </c>
      <c r="L6" s="90" t="s">
        <v>125</v>
      </c>
      <c r="M6" s="90"/>
      <c r="N6" s="90"/>
      <c r="O6" s="90" t="s">
        <v>157</v>
      </c>
      <c r="P6" s="90" t="s">
        <v>596</v>
      </c>
      <c r="Q6" s="90" t="s">
        <v>130</v>
      </c>
      <c r="R6" s="92">
        <v>1</v>
      </c>
      <c r="S6" s="30"/>
      <c r="T6" s="91">
        <v>45884</v>
      </c>
      <c r="U6" s="90" t="s">
        <v>582</v>
      </c>
      <c r="V6" s="91"/>
      <c r="W6" s="90"/>
      <c r="X6" s="92">
        <v>45</v>
      </c>
      <c r="Y6" s="30"/>
      <c r="Z6" s="30"/>
      <c r="AA6" s="30">
        <v>3960</v>
      </c>
      <c r="AB6" s="91">
        <v>46130</v>
      </c>
      <c r="AC6" s="91"/>
      <c r="AD6" s="91"/>
      <c r="AE6" s="90"/>
      <c r="AF6" s="90"/>
      <c r="AG6" s="30"/>
      <c r="AH6" s="90">
        <v>1</v>
      </c>
      <c r="AI6" s="90">
        <v>1</v>
      </c>
      <c r="AJ6" s="90">
        <v>0</v>
      </c>
      <c r="AK6" s="92">
        <v>2025</v>
      </c>
      <c r="AL6" s="90" t="s">
        <v>226</v>
      </c>
      <c r="AM6" s="92"/>
      <c r="AN6" s="90"/>
      <c r="AO6" s="90">
        <v>1</v>
      </c>
      <c r="AP6" s="90" t="s">
        <v>80</v>
      </c>
      <c r="AQ6" s="30">
        <v>16.5</v>
      </c>
    </row>
    <row r="7" spans="1:43" ht="15" customHeight="1" x14ac:dyDescent="0.3">
      <c r="A7" s="101" t="s">
        <v>599</v>
      </c>
      <c r="B7" s="90" t="s">
        <v>130</v>
      </c>
      <c r="C7" s="91">
        <v>45350</v>
      </c>
      <c r="D7" s="91"/>
      <c r="E7" s="92">
        <v>0</v>
      </c>
      <c r="F7" s="90"/>
      <c r="G7" s="90"/>
      <c r="H7" s="90"/>
      <c r="I7" s="90"/>
      <c r="J7" s="91">
        <v>45853</v>
      </c>
      <c r="K7" s="90" t="s">
        <v>131</v>
      </c>
      <c r="L7" s="90" t="s">
        <v>125</v>
      </c>
      <c r="M7" s="90"/>
      <c r="N7" s="90"/>
      <c r="O7" s="90" t="s">
        <v>157</v>
      </c>
      <c r="P7" s="90" t="s">
        <v>596</v>
      </c>
      <c r="Q7" s="90" t="s">
        <v>130</v>
      </c>
      <c r="R7" s="92">
        <v>1</v>
      </c>
      <c r="S7" s="30"/>
      <c r="T7" s="91">
        <v>45884</v>
      </c>
      <c r="U7" s="90" t="s">
        <v>582</v>
      </c>
      <c r="V7" s="91"/>
      <c r="W7" s="90"/>
      <c r="X7" s="92">
        <v>45</v>
      </c>
      <c r="Y7" s="30"/>
      <c r="Z7" s="30"/>
      <c r="AA7" s="30">
        <v>0</v>
      </c>
      <c r="AB7" s="91">
        <v>46183</v>
      </c>
      <c r="AC7" s="91"/>
      <c r="AD7" s="91"/>
      <c r="AE7" s="90"/>
      <c r="AF7" s="90"/>
      <c r="AG7" s="30"/>
      <c r="AH7" s="90">
        <v>1</v>
      </c>
      <c r="AI7" s="90">
        <v>1</v>
      </c>
      <c r="AJ7" s="90">
        <v>0</v>
      </c>
      <c r="AK7" s="92">
        <v>2025</v>
      </c>
      <c r="AL7" s="90" t="s">
        <v>226</v>
      </c>
      <c r="AM7" s="92"/>
      <c r="AN7" s="90"/>
      <c r="AO7" s="90">
        <v>1</v>
      </c>
      <c r="AP7" s="90" t="s">
        <v>80</v>
      </c>
      <c r="AQ7" s="30">
        <v>16.5</v>
      </c>
    </row>
    <row r="8" spans="1:43" ht="15" customHeight="1" x14ac:dyDescent="0.3">
      <c r="A8" s="101" t="s">
        <v>600</v>
      </c>
      <c r="B8" s="90" t="s">
        <v>130</v>
      </c>
      <c r="C8" s="91">
        <v>45350</v>
      </c>
      <c r="D8" s="91"/>
      <c r="E8" s="92">
        <v>0</v>
      </c>
      <c r="F8" s="90"/>
      <c r="G8" s="90"/>
      <c r="H8" s="90"/>
      <c r="I8" s="90"/>
      <c r="J8" s="91">
        <v>45805</v>
      </c>
      <c r="K8" s="90" t="s">
        <v>131</v>
      </c>
      <c r="L8" s="90" t="s">
        <v>132</v>
      </c>
      <c r="M8" s="90"/>
      <c r="N8" s="90"/>
      <c r="O8" s="90" t="s">
        <v>157</v>
      </c>
      <c r="P8" s="90" t="s">
        <v>596</v>
      </c>
      <c r="Q8" s="90" t="s">
        <v>130</v>
      </c>
      <c r="R8" s="92">
        <v>1</v>
      </c>
      <c r="S8" s="30"/>
      <c r="T8" s="91">
        <v>45836</v>
      </c>
      <c r="U8" s="90" t="s">
        <v>582</v>
      </c>
      <c r="V8" s="91"/>
      <c r="W8" s="90"/>
      <c r="X8" s="92">
        <v>45</v>
      </c>
      <c r="Y8" s="30"/>
      <c r="Z8" s="30"/>
      <c r="AA8" s="30">
        <v>3978</v>
      </c>
      <c r="AB8" s="91">
        <v>46075</v>
      </c>
      <c r="AC8" s="91"/>
      <c r="AD8" s="91"/>
      <c r="AE8" s="90"/>
      <c r="AF8" s="90"/>
      <c r="AG8" s="30"/>
      <c r="AH8" s="90">
        <v>1</v>
      </c>
      <c r="AI8" s="90">
        <v>1</v>
      </c>
      <c r="AJ8" s="90">
        <v>0</v>
      </c>
      <c r="AK8" s="92">
        <v>2025</v>
      </c>
      <c r="AL8" s="90" t="s">
        <v>225</v>
      </c>
      <c r="AM8" s="92"/>
      <c r="AN8" s="90"/>
      <c r="AO8" s="90">
        <v>0</v>
      </c>
      <c r="AP8" s="90" t="s">
        <v>80</v>
      </c>
      <c r="AQ8" s="30">
        <v>15</v>
      </c>
    </row>
    <row r="9" spans="1:43" ht="15" customHeight="1" outlineLevel="1" x14ac:dyDescent="0.3">
      <c r="A9" s="101" t="s">
        <v>600</v>
      </c>
      <c r="B9" s="90" t="s">
        <v>130</v>
      </c>
      <c r="C9" s="91">
        <v>45350</v>
      </c>
      <c r="D9" s="91">
        <v>46075</v>
      </c>
      <c r="E9" s="92">
        <v>1</v>
      </c>
      <c r="F9" s="90" t="s">
        <v>275</v>
      </c>
      <c r="G9" s="90" t="s">
        <v>601</v>
      </c>
      <c r="H9" s="90" t="s">
        <v>278</v>
      </c>
      <c r="I9" s="90">
        <v>0</v>
      </c>
      <c r="J9" s="91">
        <v>46152</v>
      </c>
      <c r="K9" s="90" t="s">
        <v>131</v>
      </c>
      <c r="L9" s="90" t="s">
        <v>132</v>
      </c>
      <c r="M9" s="90" t="s">
        <v>593</v>
      </c>
      <c r="N9" s="90" t="s">
        <v>133</v>
      </c>
      <c r="O9" s="90" t="s">
        <v>154</v>
      </c>
      <c r="P9" s="90" t="s">
        <v>596</v>
      </c>
      <c r="Q9" s="90" t="s">
        <v>137</v>
      </c>
      <c r="R9" s="92">
        <v>1</v>
      </c>
      <c r="S9" s="30"/>
      <c r="T9" s="91">
        <v>46185</v>
      </c>
      <c r="U9" s="90" t="s">
        <v>602</v>
      </c>
      <c r="V9" s="91"/>
      <c r="W9" s="90"/>
      <c r="X9" s="92">
        <v>45</v>
      </c>
      <c r="Y9" s="30"/>
      <c r="Z9" s="30">
        <v>3978</v>
      </c>
      <c r="AA9" s="30">
        <v>3978</v>
      </c>
      <c r="AB9" s="91">
        <v>46075</v>
      </c>
      <c r="AC9" s="91"/>
      <c r="AD9" s="91"/>
      <c r="AE9" s="90"/>
      <c r="AF9" s="90"/>
      <c r="AG9" s="30"/>
      <c r="AH9" s="90">
        <v>0</v>
      </c>
      <c r="AI9" s="90">
        <v>1</v>
      </c>
      <c r="AJ9" s="90">
        <v>0</v>
      </c>
      <c r="AK9" s="92">
        <v>2026</v>
      </c>
      <c r="AL9" s="90" t="s">
        <v>236</v>
      </c>
      <c r="AM9" s="92">
        <v>77</v>
      </c>
      <c r="AN9" s="90" t="s">
        <v>140</v>
      </c>
      <c r="AO9" s="90">
        <v>1</v>
      </c>
      <c r="AP9" s="90" t="s">
        <v>79</v>
      </c>
      <c r="AQ9" s="30">
        <v>26.4</v>
      </c>
    </row>
    <row r="10" spans="1:43" ht="15" customHeight="1" x14ac:dyDescent="0.3">
      <c r="A10" s="101" t="s">
        <v>807</v>
      </c>
      <c r="B10" s="90" t="s">
        <v>130</v>
      </c>
      <c r="C10" s="91">
        <v>45715</v>
      </c>
      <c r="D10" s="91"/>
      <c r="E10" s="92">
        <v>0</v>
      </c>
      <c r="F10" s="90"/>
      <c r="G10" s="90"/>
      <c r="H10" s="90"/>
      <c r="I10" s="90"/>
      <c r="J10" s="91">
        <v>46196</v>
      </c>
      <c r="K10" s="90" t="s">
        <v>131</v>
      </c>
      <c r="L10" s="90" t="s">
        <v>132</v>
      </c>
      <c r="M10" s="90" t="s">
        <v>593</v>
      </c>
      <c r="N10" s="90" t="s">
        <v>133</v>
      </c>
      <c r="O10" s="90" t="s">
        <v>1512</v>
      </c>
      <c r="P10" s="90" t="s">
        <v>1530</v>
      </c>
      <c r="Q10" s="90" t="s">
        <v>137</v>
      </c>
      <c r="R10" s="92">
        <v>1</v>
      </c>
      <c r="S10" s="30"/>
      <c r="T10" s="91"/>
      <c r="U10" s="90" t="s">
        <v>611</v>
      </c>
      <c r="V10" s="91"/>
      <c r="W10" s="90"/>
      <c r="X10" s="92">
        <v>45</v>
      </c>
      <c r="Y10" s="30"/>
      <c r="Z10" s="30"/>
      <c r="AA10" s="30"/>
      <c r="AB10" s="91"/>
      <c r="AC10" s="91"/>
      <c r="AD10" s="91"/>
      <c r="AE10" s="90"/>
      <c r="AF10" s="90"/>
      <c r="AG10" s="30"/>
      <c r="AH10" s="90">
        <v>0</v>
      </c>
      <c r="AI10" s="90">
        <v>0</v>
      </c>
      <c r="AJ10" s="90">
        <v>0</v>
      </c>
      <c r="AK10" s="92">
        <v>2026</v>
      </c>
      <c r="AL10" s="90" t="s">
        <v>237</v>
      </c>
      <c r="AM10" s="92"/>
      <c r="AN10" s="90"/>
      <c r="AO10" s="90">
        <v>1</v>
      </c>
      <c r="AP10" s="90" t="s">
        <v>80</v>
      </c>
      <c r="AQ10" s="30">
        <v>15.8</v>
      </c>
    </row>
    <row r="11" spans="1:43" ht="15" customHeight="1" x14ac:dyDescent="0.3">
      <c r="A11" s="101" t="s">
        <v>603</v>
      </c>
      <c r="B11" s="90" t="s">
        <v>130</v>
      </c>
      <c r="C11" s="91">
        <v>45715</v>
      </c>
      <c r="D11" s="91"/>
      <c r="E11" s="92">
        <v>0</v>
      </c>
      <c r="F11" s="90"/>
      <c r="G11" s="90"/>
      <c r="H11" s="90"/>
      <c r="I11" s="90"/>
      <c r="J11" s="91">
        <v>46152</v>
      </c>
      <c r="K11" s="90" t="s">
        <v>131</v>
      </c>
      <c r="L11" s="90" t="s">
        <v>132</v>
      </c>
      <c r="M11" s="90" t="s">
        <v>593</v>
      </c>
      <c r="N11" s="90" t="s">
        <v>133</v>
      </c>
      <c r="O11" s="90" t="s">
        <v>154</v>
      </c>
      <c r="P11" s="90" t="s">
        <v>596</v>
      </c>
      <c r="Q11" s="90" t="s">
        <v>137</v>
      </c>
      <c r="R11" s="92">
        <v>1</v>
      </c>
      <c r="S11" s="30"/>
      <c r="T11" s="91">
        <v>46179</v>
      </c>
      <c r="U11" s="90" t="s">
        <v>602</v>
      </c>
      <c r="V11" s="91"/>
      <c r="W11" s="90"/>
      <c r="X11" s="92">
        <v>45</v>
      </c>
      <c r="Y11" s="30"/>
      <c r="Z11" s="30"/>
      <c r="AA11" s="30"/>
      <c r="AB11" s="91"/>
      <c r="AC11" s="91"/>
      <c r="AD11" s="91"/>
      <c r="AE11" s="90"/>
      <c r="AF11" s="90"/>
      <c r="AG11" s="30"/>
      <c r="AH11" s="90">
        <v>0</v>
      </c>
      <c r="AI11" s="90">
        <v>1</v>
      </c>
      <c r="AJ11" s="90">
        <v>0</v>
      </c>
      <c r="AK11" s="92">
        <v>2026</v>
      </c>
      <c r="AL11" s="90" t="s">
        <v>236</v>
      </c>
      <c r="AM11" s="92"/>
      <c r="AN11" s="90"/>
      <c r="AO11" s="90">
        <v>1</v>
      </c>
      <c r="AP11" s="90" t="s">
        <v>80</v>
      </c>
      <c r="AQ11" s="30">
        <v>14.4</v>
      </c>
    </row>
    <row r="12" spans="1:43" ht="15" customHeight="1" x14ac:dyDescent="0.3">
      <c r="A12" s="101" t="s">
        <v>604</v>
      </c>
      <c r="B12" s="90" t="s">
        <v>130</v>
      </c>
      <c r="C12" s="91">
        <v>45597</v>
      </c>
      <c r="D12" s="91"/>
      <c r="E12" s="92">
        <v>0</v>
      </c>
      <c r="F12" s="90"/>
      <c r="G12" s="90"/>
      <c r="H12" s="90"/>
      <c r="I12" s="90"/>
      <c r="J12" s="91">
        <v>46082</v>
      </c>
      <c r="K12" s="90" t="s">
        <v>124</v>
      </c>
      <c r="L12" s="90" t="s">
        <v>132</v>
      </c>
      <c r="M12" s="90" t="s">
        <v>593</v>
      </c>
      <c r="N12" s="90"/>
      <c r="O12" s="90" t="s">
        <v>171</v>
      </c>
      <c r="P12" s="90"/>
      <c r="Q12" s="90" t="s">
        <v>130</v>
      </c>
      <c r="R12" s="92">
        <v>1</v>
      </c>
      <c r="S12" s="30"/>
      <c r="T12" s="91">
        <v>46141</v>
      </c>
      <c r="U12" s="90" t="s">
        <v>582</v>
      </c>
      <c r="V12" s="91"/>
      <c r="W12" s="90"/>
      <c r="X12" s="92">
        <v>45</v>
      </c>
      <c r="Y12" s="30"/>
      <c r="Z12" s="30"/>
      <c r="AA12" s="30"/>
      <c r="AB12" s="91"/>
      <c r="AC12" s="91"/>
      <c r="AD12" s="91"/>
      <c r="AE12" s="90"/>
      <c r="AF12" s="90"/>
      <c r="AG12" s="30"/>
      <c r="AH12" s="90">
        <v>1</v>
      </c>
      <c r="AI12" s="90">
        <v>1</v>
      </c>
      <c r="AJ12" s="90">
        <v>0</v>
      </c>
      <c r="AK12" s="92">
        <v>2026</v>
      </c>
      <c r="AL12" s="90" t="s">
        <v>234</v>
      </c>
      <c r="AM12" s="92"/>
      <c r="AN12" s="90"/>
      <c r="AO12" s="90">
        <v>1</v>
      </c>
      <c r="AP12" s="90" t="s">
        <v>80</v>
      </c>
      <c r="AQ12" s="30">
        <v>16</v>
      </c>
    </row>
    <row r="13" spans="1:43" ht="15" customHeight="1" x14ac:dyDescent="0.3">
      <c r="A13" s="101" t="s">
        <v>605</v>
      </c>
      <c r="B13" s="90" t="s">
        <v>130</v>
      </c>
      <c r="C13" s="91">
        <v>45565</v>
      </c>
      <c r="D13" s="91"/>
      <c r="E13" s="92">
        <v>0</v>
      </c>
      <c r="F13" s="90"/>
      <c r="G13" s="90"/>
      <c r="H13" s="90"/>
      <c r="I13" s="90"/>
      <c r="J13" s="91">
        <v>46052</v>
      </c>
      <c r="K13" s="90" t="s">
        <v>124</v>
      </c>
      <c r="L13" s="90" t="s">
        <v>132</v>
      </c>
      <c r="M13" s="90" t="s">
        <v>593</v>
      </c>
      <c r="N13" s="90"/>
      <c r="O13" s="90" t="s">
        <v>171</v>
      </c>
      <c r="P13" s="90"/>
      <c r="Q13" s="90" t="s">
        <v>130</v>
      </c>
      <c r="R13" s="92">
        <v>1</v>
      </c>
      <c r="S13" s="30"/>
      <c r="T13" s="91">
        <v>46141</v>
      </c>
      <c r="U13" s="90" t="s">
        <v>582</v>
      </c>
      <c r="V13" s="91"/>
      <c r="W13" s="90"/>
      <c r="X13" s="92">
        <v>45</v>
      </c>
      <c r="Y13" s="30"/>
      <c r="Z13" s="30"/>
      <c r="AA13" s="30"/>
      <c r="AB13" s="91"/>
      <c r="AC13" s="91"/>
      <c r="AD13" s="91"/>
      <c r="AE13" s="90"/>
      <c r="AF13" s="90"/>
      <c r="AG13" s="30"/>
      <c r="AH13" s="90">
        <v>1</v>
      </c>
      <c r="AI13" s="90">
        <v>1</v>
      </c>
      <c r="AJ13" s="90">
        <v>0</v>
      </c>
      <c r="AK13" s="92">
        <v>2026</v>
      </c>
      <c r="AL13" s="90" t="s">
        <v>232</v>
      </c>
      <c r="AM13" s="92"/>
      <c r="AN13" s="90"/>
      <c r="AO13" s="90">
        <v>1</v>
      </c>
      <c r="AP13" s="90" t="s">
        <v>80</v>
      </c>
      <c r="AQ13" s="30">
        <v>16</v>
      </c>
    </row>
    <row r="14" spans="1:43" ht="15" customHeight="1" x14ac:dyDescent="0.3">
      <c r="A14" s="101" t="s">
        <v>606</v>
      </c>
      <c r="B14" s="90" t="s">
        <v>130</v>
      </c>
      <c r="C14" s="91">
        <v>45444</v>
      </c>
      <c r="D14" s="91"/>
      <c r="E14" s="92">
        <v>0</v>
      </c>
      <c r="F14" s="90"/>
      <c r="G14" s="90"/>
      <c r="H14" s="90"/>
      <c r="I14" s="90"/>
      <c r="J14" s="91">
        <v>45983</v>
      </c>
      <c r="K14" s="90" t="s">
        <v>124</v>
      </c>
      <c r="L14" s="90" t="s">
        <v>132</v>
      </c>
      <c r="M14" s="90" t="s">
        <v>593</v>
      </c>
      <c r="N14" s="90"/>
      <c r="O14" s="90" t="s">
        <v>171</v>
      </c>
      <c r="P14" s="90"/>
      <c r="Q14" s="90" t="s">
        <v>130</v>
      </c>
      <c r="R14" s="92">
        <v>1</v>
      </c>
      <c r="S14" s="30"/>
      <c r="T14" s="91">
        <v>46141</v>
      </c>
      <c r="U14" s="90" t="s">
        <v>582</v>
      </c>
      <c r="V14" s="91">
        <v>46172</v>
      </c>
      <c r="W14" s="90" t="s">
        <v>607</v>
      </c>
      <c r="X14" s="92">
        <v>45</v>
      </c>
      <c r="Y14" s="30"/>
      <c r="Z14" s="30"/>
      <c r="AA14" s="30"/>
      <c r="AB14" s="91"/>
      <c r="AC14" s="91"/>
      <c r="AD14" s="91"/>
      <c r="AE14" s="90"/>
      <c r="AF14" s="90"/>
      <c r="AG14" s="30"/>
      <c r="AH14" s="90">
        <v>1</v>
      </c>
      <c r="AI14" s="90">
        <v>1</v>
      </c>
      <c r="AJ14" s="90">
        <v>1</v>
      </c>
      <c r="AK14" s="92">
        <v>2025</v>
      </c>
      <c r="AL14" s="90" t="s">
        <v>230</v>
      </c>
      <c r="AM14" s="92"/>
      <c r="AN14" s="90"/>
      <c r="AO14" s="90">
        <v>1</v>
      </c>
      <c r="AP14" s="90" t="s">
        <v>80</v>
      </c>
      <c r="AQ14" s="30">
        <v>17.7</v>
      </c>
    </row>
    <row r="15" spans="1:43" ht="15" customHeight="1" x14ac:dyDescent="0.3">
      <c r="A15" s="101" t="s">
        <v>608</v>
      </c>
      <c r="B15" s="90" t="s">
        <v>130</v>
      </c>
      <c r="C15" s="91">
        <v>45413</v>
      </c>
      <c r="D15" s="91"/>
      <c r="E15" s="92">
        <v>0</v>
      </c>
      <c r="F15" s="90"/>
      <c r="G15" s="90"/>
      <c r="H15" s="90"/>
      <c r="I15" s="90"/>
      <c r="J15" s="91">
        <v>46086</v>
      </c>
      <c r="K15" s="90" t="s">
        <v>124</v>
      </c>
      <c r="L15" s="90" t="s">
        <v>132</v>
      </c>
      <c r="M15" s="90" t="s">
        <v>593</v>
      </c>
      <c r="N15" s="90"/>
      <c r="O15" s="90" t="s">
        <v>171</v>
      </c>
      <c r="P15" s="90"/>
      <c r="Q15" s="90" t="s">
        <v>130</v>
      </c>
      <c r="R15" s="92">
        <v>1</v>
      </c>
      <c r="S15" s="30"/>
      <c r="T15" s="91">
        <v>46141</v>
      </c>
      <c r="U15" s="90" t="s">
        <v>582</v>
      </c>
      <c r="V15" s="91"/>
      <c r="W15" s="90"/>
      <c r="X15" s="92">
        <v>45</v>
      </c>
      <c r="Y15" s="30"/>
      <c r="Z15" s="30"/>
      <c r="AA15" s="30"/>
      <c r="AB15" s="91"/>
      <c r="AC15" s="91"/>
      <c r="AD15" s="91"/>
      <c r="AE15" s="90"/>
      <c r="AF15" s="90"/>
      <c r="AG15" s="30"/>
      <c r="AH15" s="90">
        <v>1</v>
      </c>
      <c r="AI15" s="90">
        <v>1</v>
      </c>
      <c r="AJ15" s="90">
        <v>0</v>
      </c>
      <c r="AK15" s="92">
        <v>2026</v>
      </c>
      <c r="AL15" s="90" t="s">
        <v>234</v>
      </c>
      <c r="AM15" s="92"/>
      <c r="AN15" s="90"/>
      <c r="AO15" s="90">
        <v>1</v>
      </c>
      <c r="AP15" s="90" t="s">
        <v>80</v>
      </c>
      <c r="AQ15" s="30">
        <v>22.1</v>
      </c>
    </row>
    <row r="16" spans="1:43" ht="15" customHeight="1" outlineLevel="1" x14ac:dyDescent="0.3">
      <c r="A16" s="101" t="s">
        <v>810</v>
      </c>
      <c r="B16" s="90" t="s">
        <v>137</v>
      </c>
      <c r="C16" s="91">
        <v>45349</v>
      </c>
      <c r="D16" s="91"/>
      <c r="E16" s="92">
        <v>0</v>
      </c>
      <c r="F16" s="90"/>
      <c r="G16" s="90"/>
      <c r="H16" s="90"/>
      <c r="I16" s="90"/>
      <c r="J16" s="91">
        <v>45790</v>
      </c>
      <c r="K16" s="90" t="s">
        <v>131</v>
      </c>
      <c r="L16" s="90" t="s">
        <v>125</v>
      </c>
      <c r="M16" s="90"/>
      <c r="N16" s="90"/>
      <c r="O16" s="90" t="s">
        <v>1517</v>
      </c>
      <c r="P16" s="90" t="s">
        <v>596</v>
      </c>
      <c r="Q16" s="90" t="s">
        <v>137</v>
      </c>
      <c r="R16" s="92">
        <v>1</v>
      </c>
      <c r="S16" s="30"/>
      <c r="T16" s="91">
        <v>45850</v>
      </c>
      <c r="U16" s="90" t="s">
        <v>602</v>
      </c>
      <c r="V16" s="91"/>
      <c r="W16" s="90"/>
      <c r="X16" s="92">
        <v>45</v>
      </c>
      <c r="Y16" s="30"/>
      <c r="Z16" s="30"/>
      <c r="AA16" s="30"/>
      <c r="AB16" s="91"/>
      <c r="AC16" s="91"/>
      <c r="AD16" s="91"/>
      <c r="AE16" s="90"/>
      <c r="AF16" s="90"/>
      <c r="AG16" s="30"/>
      <c r="AH16" s="90">
        <v>0</v>
      </c>
      <c r="AI16" s="90">
        <v>1</v>
      </c>
      <c r="AJ16" s="90">
        <v>0</v>
      </c>
      <c r="AK16" s="92">
        <v>2025</v>
      </c>
      <c r="AL16" s="90" t="s">
        <v>225</v>
      </c>
      <c r="AM16" s="92"/>
      <c r="AN16" s="90"/>
      <c r="AO16" s="90">
        <v>0</v>
      </c>
      <c r="AP16" s="90" t="s">
        <v>80</v>
      </c>
      <c r="AQ16" s="30">
        <v>14.5</v>
      </c>
    </row>
    <row r="17" spans="1:43" ht="15" customHeight="1" x14ac:dyDescent="0.3">
      <c r="A17" s="101" t="s">
        <v>810</v>
      </c>
      <c r="B17" s="90" t="s">
        <v>137</v>
      </c>
      <c r="C17" s="91">
        <v>45349</v>
      </c>
      <c r="D17" s="91"/>
      <c r="E17" s="92">
        <v>0</v>
      </c>
      <c r="F17" s="90"/>
      <c r="G17" s="90"/>
      <c r="H17" s="90"/>
      <c r="I17" s="90"/>
      <c r="J17" s="91">
        <v>45850</v>
      </c>
      <c r="K17" s="90" t="s">
        <v>131</v>
      </c>
      <c r="L17" s="90" t="s">
        <v>132</v>
      </c>
      <c r="M17" s="90" t="s">
        <v>593</v>
      </c>
      <c r="N17" s="90" t="s">
        <v>1531</v>
      </c>
      <c r="O17" s="90" t="s">
        <v>1517</v>
      </c>
      <c r="P17" s="90" t="s">
        <v>596</v>
      </c>
      <c r="Q17" s="90" t="s">
        <v>137</v>
      </c>
      <c r="R17" s="92">
        <v>2</v>
      </c>
      <c r="S17" s="30">
        <v>60</v>
      </c>
      <c r="T17" s="91">
        <v>45869</v>
      </c>
      <c r="U17" s="90" t="s">
        <v>602</v>
      </c>
      <c r="V17" s="91"/>
      <c r="W17" s="90"/>
      <c r="X17" s="92">
        <v>45</v>
      </c>
      <c r="Y17" s="30"/>
      <c r="Z17" s="30"/>
      <c r="AA17" s="30"/>
      <c r="AB17" s="91"/>
      <c r="AC17" s="91"/>
      <c r="AD17" s="91"/>
      <c r="AE17" s="90"/>
      <c r="AF17" s="90"/>
      <c r="AG17" s="30"/>
      <c r="AH17" s="90">
        <v>0</v>
      </c>
      <c r="AI17" s="90">
        <v>1</v>
      </c>
      <c r="AJ17" s="90">
        <v>0</v>
      </c>
      <c r="AK17" s="92">
        <v>2025</v>
      </c>
      <c r="AL17" s="90" t="s">
        <v>226</v>
      </c>
      <c r="AM17" s="92"/>
      <c r="AN17" s="90"/>
      <c r="AO17" s="90">
        <v>0</v>
      </c>
      <c r="AP17" s="90" t="s">
        <v>80</v>
      </c>
      <c r="AQ17" s="30">
        <v>16.5</v>
      </c>
    </row>
    <row r="18" spans="1:43" ht="15" customHeight="1" outlineLevel="1" x14ac:dyDescent="0.3">
      <c r="A18" s="101" t="s">
        <v>810</v>
      </c>
      <c r="B18" s="90" t="s">
        <v>137</v>
      </c>
      <c r="C18" s="91">
        <v>45349</v>
      </c>
      <c r="D18" s="91"/>
      <c r="E18" s="92">
        <v>0</v>
      </c>
      <c r="F18" s="90"/>
      <c r="G18" s="90"/>
      <c r="H18" s="90"/>
      <c r="I18" s="90"/>
      <c r="J18" s="91">
        <v>45869</v>
      </c>
      <c r="K18" s="90" t="s">
        <v>131</v>
      </c>
      <c r="L18" s="90" t="s">
        <v>125</v>
      </c>
      <c r="M18" s="90"/>
      <c r="N18" s="90"/>
      <c r="O18" s="90" t="s">
        <v>1517</v>
      </c>
      <c r="P18" s="90" t="s">
        <v>596</v>
      </c>
      <c r="Q18" s="90" t="s">
        <v>137</v>
      </c>
      <c r="R18" s="92">
        <v>3</v>
      </c>
      <c r="S18" s="30">
        <v>19</v>
      </c>
      <c r="T18" s="91">
        <v>45889</v>
      </c>
      <c r="U18" s="90" t="s">
        <v>602</v>
      </c>
      <c r="V18" s="91"/>
      <c r="W18" s="90"/>
      <c r="X18" s="92">
        <v>45</v>
      </c>
      <c r="Y18" s="30"/>
      <c r="Z18" s="30"/>
      <c r="AA18" s="30"/>
      <c r="AB18" s="91"/>
      <c r="AC18" s="91"/>
      <c r="AD18" s="91"/>
      <c r="AE18" s="90"/>
      <c r="AF18" s="90"/>
      <c r="AG18" s="30"/>
      <c r="AH18" s="90">
        <v>0</v>
      </c>
      <c r="AI18" s="90">
        <v>1</v>
      </c>
      <c r="AJ18" s="90">
        <v>0</v>
      </c>
      <c r="AK18" s="92">
        <v>2025</v>
      </c>
      <c r="AL18" s="90" t="s">
        <v>226</v>
      </c>
      <c r="AM18" s="92"/>
      <c r="AN18" s="90"/>
      <c r="AO18" s="90">
        <v>0</v>
      </c>
      <c r="AP18" s="90" t="s">
        <v>80</v>
      </c>
      <c r="AQ18" s="30">
        <v>17.100000000000001</v>
      </c>
    </row>
    <row r="19" spans="1:43" ht="15" customHeight="1" outlineLevel="1" x14ac:dyDescent="0.3">
      <c r="A19" s="101" t="s">
        <v>810</v>
      </c>
      <c r="B19" s="90" t="s">
        <v>137</v>
      </c>
      <c r="C19" s="91">
        <v>45349</v>
      </c>
      <c r="D19" s="91"/>
      <c r="E19" s="92">
        <v>0</v>
      </c>
      <c r="F19" s="90"/>
      <c r="G19" s="90"/>
      <c r="H19" s="90"/>
      <c r="I19" s="90"/>
      <c r="J19" s="91">
        <v>45889</v>
      </c>
      <c r="K19" s="90" t="s">
        <v>124</v>
      </c>
      <c r="L19" s="90" t="s">
        <v>125</v>
      </c>
      <c r="M19" s="90"/>
      <c r="N19" s="90"/>
      <c r="O19" s="90" t="s">
        <v>171</v>
      </c>
      <c r="P19" s="90"/>
      <c r="Q19" s="90" t="s">
        <v>137</v>
      </c>
      <c r="R19" s="92">
        <v>4</v>
      </c>
      <c r="S19" s="30">
        <v>20</v>
      </c>
      <c r="T19" s="91">
        <v>45950</v>
      </c>
      <c r="U19" s="90" t="s">
        <v>602</v>
      </c>
      <c r="V19" s="91"/>
      <c r="W19" s="90"/>
      <c r="X19" s="92">
        <v>45</v>
      </c>
      <c r="Y19" s="30"/>
      <c r="Z19" s="30"/>
      <c r="AA19" s="30"/>
      <c r="AB19" s="91"/>
      <c r="AC19" s="91"/>
      <c r="AD19" s="91"/>
      <c r="AE19" s="90"/>
      <c r="AF19" s="90"/>
      <c r="AG19" s="30"/>
      <c r="AH19" s="90">
        <v>0</v>
      </c>
      <c r="AI19" s="90">
        <v>1</v>
      </c>
      <c r="AJ19" s="90">
        <v>0</v>
      </c>
      <c r="AK19" s="92">
        <v>2025</v>
      </c>
      <c r="AL19" s="90" t="s">
        <v>227</v>
      </c>
      <c r="AM19" s="92"/>
      <c r="AN19" s="90"/>
      <c r="AO19" s="90">
        <v>0</v>
      </c>
      <c r="AP19" s="90" t="s">
        <v>80</v>
      </c>
      <c r="AQ19" s="30">
        <v>17.8</v>
      </c>
    </row>
    <row r="20" spans="1:43" ht="15" customHeight="1" outlineLevel="1" x14ac:dyDescent="0.3">
      <c r="A20" s="101" t="s">
        <v>810</v>
      </c>
      <c r="B20" s="90" t="s">
        <v>137</v>
      </c>
      <c r="C20" s="91">
        <v>45349</v>
      </c>
      <c r="D20" s="91"/>
      <c r="E20" s="92">
        <v>0</v>
      </c>
      <c r="F20" s="90"/>
      <c r="G20" s="90"/>
      <c r="H20" s="90"/>
      <c r="I20" s="90"/>
      <c r="J20" s="91">
        <v>45950</v>
      </c>
      <c r="K20" s="90" t="s">
        <v>131</v>
      </c>
      <c r="L20" s="90" t="s">
        <v>132</v>
      </c>
      <c r="M20" s="90" t="s">
        <v>593</v>
      </c>
      <c r="N20" s="90" t="s">
        <v>138</v>
      </c>
      <c r="O20" s="90" t="s">
        <v>157</v>
      </c>
      <c r="P20" s="90" t="s">
        <v>596</v>
      </c>
      <c r="Q20" s="90" t="s">
        <v>130</v>
      </c>
      <c r="R20" s="92">
        <v>5</v>
      </c>
      <c r="S20" s="30">
        <v>61</v>
      </c>
      <c r="T20" s="91">
        <v>46042</v>
      </c>
      <c r="U20" s="90" t="s">
        <v>602</v>
      </c>
      <c r="V20" s="91"/>
      <c r="W20" s="90"/>
      <c r="X20" s="92">
        <v>45</v>
      </c>
      <c r="Y20" s="30"/>
      <c r="Z20" s="30"/>
      <c r="AA20" s="30"/>
      <c r="AB20" s="91"/>
      <c r="AC20" s="91"/>
      <c r="AD20" s="91"/>
      <c r="AE20" s="90"/>
      <c r="AF20" s="90"/>
      <c r="AG20" s="30"/>
      <c r="AH20" s="90">
        <v>0</v>
      </c>
      <c r="AI20" s="90">
        <v>1</v>
      </c>
      <c r="AJ20" s="90">
        <v>0</v>
      </c>
      <c r="AK20" s="92">
        <v>2025</v>
      </c>
      <c r="AL20" s="90" t="s">
        <v>229</v>
      </c>
      <c r="AM20" s="92"/>
      <c r="AN20" s="90"/>
      <c r="AO20" s="90">
        <v>0</v>
      </c>
      <c r="AP20" s="90" t="s">
        <v>80</v>
      </c>
      <c r="AQ20" s="30">
        <v>19.8</v>
      </c>
    </row>
    <row r="21" spans="1:43" ht="15" customHeight="1" x14ac:dyDescent="0.3">
      <c r="A21" s="101" t="s">
        <v>810</v>
      </c>
      <c r="B21" s="90" t="s">
        <v>137</v>
      </c>
      <c r="C21" s="91">
        <v>45349</v>
      </c>
      <c r="D21" s="91"/>
      <c r="E21" s="92">
        <v>0</v>
      </c>
      <c r="F21" s="90"/>
      <c r="G21" s="90"/>
      <c r="H21" s="90"/>
      <c r="I21" s="90"/>
      <c r="J21" s="91">
        <v>46042</v>
      </c>
      <c r="K21" s="90" t="s">
        <v>131</v>
      </c>
      <c r="L21" s="90" t="s">
        <v>132</v>
      </c>
      <c r="M21" s="90" t="s">
        <v>593</v>
      </c>
      <c r="N21" s="90" t="s">
        <v>138</v>
      </c>
      <c r="O21" s="90" t="s">
        <v>1517</v>
      </c>
      <c r="P21" s="90" t="s">
        <v>596</v>
      </c>
      <c r="Q21" s="90" t="s">
        <v>137</v>
      </c>
      <c r="R21" s="92">
        <v>6</v>
      </c>
      <c r="S21" s="30">
        <v>92</v>
      </c>
      <c r="T21" s="91">
        <v>46063</v>
      </c>
      <c r="U21" s="90" t="s">
        <v>602</v>
      </c>
      <c r="V21" s="91"/>
      <c r="W21" s="90"/>
      <c r="X21" s="92">
        <v>45</v>
      </c>
      <c r="Y21" s="30"/>
      <c r="Z21" s="30"/>
      <c r="AA21" s="30"/>
      <c r="AB21" s="91"/>
      <c r="AC21" s="91"/>
      <c r="AD21" s="91"/>
      <c r="AE21" s="90"/>
      <c r="AF21" s="90"/>
      <c r="AG21" s="30"/>
      <c r="AH21" s="90">
        <v>0</v>
      </c>
      <c r="AI21" s="90">
        <v>1</v>
      </c>
      <c r="AJ21" s="90">
        <v>0</v>
      </c>
      <c r="AK21" s="92">
        <v>2026</v>
      </c>
      <c r="AL21" s="90" t="s">
        <v>232</v>
      </c>
      <c r="AM21" s="92"/>
      <c r="AN21" s="90"/>
      <c r="AO21" s="90">
        <v>0</v>
      </c>
      <c r="AP21" s="90" t="s">
        <v>80</v>
      </c>
      <c r="AQ21" s="30">
        <v>22.8</v>
      </c>
    </row>
    <row r="22" spans="1:43" ht="15" customHeight="1" outlineLevel="1" x14ac:dyDescent="0.3">
      <c r="A22" s="101" t="s">
        <v>810</v>
      </c>
      <c r="B22" s="90" t="s">
        <v>137</v>
      </c>
      <c r="C22" s="91">
        <v>45349</v>
      </c>
      <c r="D22" s="91"/>
      <c r="E22" s="92">
        <v>0</v>
      </c>
      <c r="F22" s="90"/>
      <c r="G22" s="90"/>
      <c r="H22" s="90"/>
      <c r="I22" s="90"/>
      <c r="J22" s="91">
        <v>46063</v>
      </c>
      <c r="K22" s="90" t="s">
        <v>131</v>
      </c>
      <c r="L22" s="90" t="s">
        <v>125</v>
      </c>
      <c r="M22" s="90"/>
      <c r="N22" s="90"/>
      <c r="O22" s="90" t="s">
        <v>1517</v>
      </c>
      <c r="P22" s="90" t="s">
        <v>596</v>
      </c>
      <c r="Q22" s="90" t="s">
        <v>137</v>
      </c>
      <c r="R22" s="92">
        <v>7</v>
      </c>
      <c r="S22" s="30">
        <v>21</v>
      </c>
      <c r="T22" s="91">
        <v>46103</v>
      </c>
      <c r="U22" s="90" t="s">
        <v>602</v>
      </c>
      <c r="V22" s="91"/>
      <c r="W22" s="90"/>
      <c r="X22" s="92">
        <v>45</v>
      </c>
      <c r="Y22" s="30"/>
      <c r="Z22" s="30"/>
      <c r="AA22" s="30"/>
      <c r="AB22" s="91"/>
      <c r="AC22" s="91"/>
      <c r="AD22" s="91"/>
      <c r="AE22" s="90"/>
      <c r="AF22" s="90"/>
      <c r="AG22" s="30"/>
      <c r="AH22" s="90">
        <v>0</v>
      </c>
      <c r="AI22" s="90">
        <v>1</v>
      </c>
      <c r="AJ22" s="90">
        <v>0</v>
      </c>
      <c r="AK22" s="92">
        <v>2026</v>
      </c>
      <c r="AL22" s="90" t="s">
        <v>233</v>
      </c>
      <c r="AM22" s="92"/>
      <c r="AN22" s="90"/>
      <c r="AO22" s="90">
        <v>0</v>
      </c>
      <c r="AP22" s="90" t="s">
        <v>80</v>
      </c>
      <c r="AQ22" s="30">
        <v>23.5</v>
      </c>
    </row>
    <row r="23" spans="1:43" ht="15" customHeight="1" x14ac:dyDescent="0.3">
      <c r="A23" s="101" t="s">
        <v>810</v>
      </c>
      <c r="B23" s="90" t="s">
        <v>137</v>
      </c>
      <c r="C23" s="91">
        <v>45349</v>
      </c>
      <c r="D23" s="91"/>
      <c r="E23" s="92">
        <v>0</v>
      </c>
      <c r="F23" s="90"/>
      <c r="G23" s="90"/>
      <c r="H23" s="90"/>
      <c r="I23" s="90"/>
      <c r="J23" s="91">
        <v>46103</v>
      </c>
      <c r="K23" s="90" t="s">
        <v>124</v>
      </c>
      <c r="L23" s="90" t="s">
        <v>125</v>
      </c>
      <c r="M23" s="90"/>
      <c r="N23" s="90"/>
      <c r="O23" s="90" t="s">
        <v>171</v>
      </c>
      <c r="P23" s="90"/>
      <c r="Q23" s="90" t="s">
        <v>137</v>
      </c>
      <c r="R23" s="92">
        <v>8</v>
      </c>
      <c r="S23" s="30">
        <v>40</v>
      </c>
      <c r="T23" s="91">
        <v>46147</v>
      </c>
      <c r="U23" s="90" t="s">
        <v>582</v>
      </c>
      <c r="V23" s="91"/>
      <c r="W23" s="90"/>
      <c r="X23" s="92">
        <v>45</v>
      </c>
      <c r="Y23" s="30"/>
      <c r="Z23" s="30"/>
      <c r="AA23" s="30"/>
      <c r="AB23" s="91"/>
      <c r="AC23" s="91"/>
      <c r="AD23" s="91"/>
      <c r="AE23" s="90"/>
      <c r="AF23" s="90"/>
      <c r="AG23" s="30"/>
      <c r="AH23" s="90">
        <v>1</v>
      </c>
      <c r="AI23" s="90">
        <v>1</v>
      </c>
      <c r="AJ23" s="90">
        <v>0</v>
      </c>
      <c r="AK23" s="92">
        <v>2026</v>
      </c>
      <c r="AL23" s="90" t="s">
        <v>234</v>
      </c>
      <c r="AM23" s="92"/>
      <c r="AN23" s="90"/>
      <c r="AO23" s="90">
        <v>1</v>
      </c>
      <c r="AP23" s="90" t="s">
        <v>80</v>
      </c>
      <c r="AQ23" s="30">
        <v>24.8</v>
      </c>
    </row>
    <row r="24" spans="1:43" ht="15" customHeight="1" outlineLevel="1" x14ac:dyDescent="0.3">
      <c r="A24" s="101" t="s">
        <v>812</v>
      </c>
      <c r="B24" s="90" t="s">
        <v>137</v>
      </c>
      <c r="C24" s="91">
        <v>45368</v>
      </c>
      <c r="D24" s="91"/>
      <c r="E24" s="92">
        <v>0</v>
      </c>
      <c r="F24" s="90"/>
      <c r="G24" s="90"/>
      <c r="H24" s="90"/>
      <c r="I24" s="90"/>
      <c r="J24" s="91">
        <v>45868</v>
      </c>
      <c r="K24" s="90" t="s">
        <v>131</v>
      </c>
      <c r="L24" s="90" t="s">
        <v>125</v>
      </c>
      <c r="M24" s="90"/>
      <c r="N24" s="90"/>
      <c r="O24" s="90" t="s">
        <v>1517</v>
      </c>
      <c r="P24" s="90" t="s">
        <v>596</v>
      </c>
      <c r="Q24" s="90" t="s">
        <v>137</v>
      </c>
      <c r="R24" s="92">
        <v>1</v>
      </c>
      <c r="S24" s="30"/>
      <c r="T24" s="91">
        <v>45888</v>
      </c>
      <c r="U24" s="90" t="s">
        <v>602</v>
      </c>
      <c r="V24" s="91"/>
      <c r="W24" s="90"/>
      <c r="X24" s="92">
        <v>45</v>
      </c>
      <c r="Y24" s="30"/>
      <c r="Z24" s="30"/>
      <c r="AA24" s="30"/>
      <c r="AB24" s="91"/>
      <c r="AC24" s="91"/>
      <c r="AD24" s="91"/>
      <c r="AE24" s="90"/>
      <c r="AF24" s="90"/>
      <c r="AG24" s="30"/>
      <c r="AH24" s="90">
        <v>0</v>
      </c>
      <c r="AI24" s="90">
        <v>1</v>
      </c>
      <c r="AJ24" s="90">
        <v>0</v>
      </c>
      <c r="AK24" s="92">
        <v>2025</v>
      </c>
      <c r="AL24" s="90" t="s">
        <v>226</v>
      </c>
      <c r="AM24" s="92"/>
      <c r="AN24" s="90"/>
      <c r="AO24" s="90">
        <v>0</v>
      </c>
      <c r="AP24" s="90" t="s">
        <v>80</v>
      </c>
      <c r="AQ24" s="30">
        <v>16.399999999999999</v>
      </c>
    </row>
    <row r="25" spans="1:43" ht="15" customHeight="1" x14ac:dyDescent="0.3">
      <c r="A25" s="101" t="s">
        <v>812</v>
      </c>
      <c r="B25" s="90" t="s">
        <v>137</v>
      </c>
      <c r="C25" s="91">
        <v>45368</v>
      </c>
      <c r="D25" s="91"/>
      <c r="E25" s="92">
        <v>0</v>
      </c>
      <c r="F25" s="90"/>
      <c r="G25" s="90"/>
      <c r="H25" s="90"/>
      <c r="I25" s="90"/>
      <c r="J25" s="91">
        <v>45888</v>
      </c>
      <c r="K25" s="90" t="s">
        <v>131</v>
      </c>
      <c r="L25" s="90" t="s">
        <v>125</v>
      </c>
      <c r="M25" s="90"/>
      <c r="N25" s="90"/>
      <c r="O25" s="90" t="s">
        <v>1517</v>
      </c>
      <c r="P25" s="90" t="s">
        <v>596</v>
      </c>
      <c r="Q25" s="90" t="s">
        <v>137</v>
      </c>
      <c r="R25" s="92">
        <v>2</v>
      </c>
      <c r="S25" s="30">
        <v>20</v>
      </c>
      <c r="T25" s="91">
        <v>45934</v>
      </c>
      <c r="U25" s="90" t="s">
        <v>602</v>
      </c>
      <c r="V25" s="91"/>
      <c r="W25" s="90"/>
      <c r="X25" s="92">
        <v>45</v>
      </c>
      <c r="Y25" s="30"/>
      <c r="Z25" s="30"/>
      <c r="AA25" s="30"/>
      <c r="AB25" s="91"/>
      <c r="AC25" s="91"/>
      <c r="AD25" s="91"/>
      <c r="AE25" s="90"/>
      <c r="AF25" s="90"/>
      <c r="AG25" s="30"/>
      <c r="AH25" s="90">
        <v>0</v>
      </c>
      <c r="AI25" s="90">
        <v>1</v>
      </c>
      <c r="AJ25" s="90">
        <v>0</v>
      </c>
      <c r="AK25" s="92">
        <v>2025</v>
      </c>
      <c r="AL25" s="90" t="s">
        <v>227</v>
      </c>
      <c r="AM25" s="92"/>
      <c r="AN25" s="90"/>
      <c r="AO25" s="90">
        <v>0</v>
      </c>
      <c r="AP25" s="90" t="s">
        <v>80</v>
      </c>
      <c r="AQ25" s="30">
        <v>17.100000000000001</v>
      </c>
    </row>
    <row r="26" spans="1:43" ht="15" customHeight="1" outlineLevel="1" x14ac:dyDescent="0.3">
      <c r="A26" s="101" t="s">
        <v>812</v>
      </c>
      <c r="B26" s="90" t="s">
        <v>137</v>
      </c>
      <c r="C26" s="91">
        <v>45368</v>
      </c>
      <c r="D26" s="91"/>
      <c r="E26" s="92">
        <v>0</v>
      </c>
      <c r="F26" s="90"/>
      <c r="G26" s="90"/>
      <c r="H26" s="90"/>
      <c r="I26" s="90"/>
      <c r="J26" s="91">
        <v>45934</v>
      </c>
      <c r="K26" s="90" t="s">
        <v>131</v>
      </c>
      <c r="L26" s="90" t="s">
        <v>132</v>
      </c>
      <c r="M26" s="90" t="s">
        <v>593</v>
      </c>
      <c r="N26" s="90" t="s">
        <v>1531</v>
      </c>
      <c r="O26" s="90" t="s">
        <v>157</v>
      </c>
      <c r="P26" s="90" t="s">
        <v>596</v>
      </c>
      <c r="Q26" s="90" t="s">
        <v>130</v>
      </c>
      <c r="R26" s="92">
        <v>3</v>
      </c>
      <c r="S26" s="30">
        <v>46</v>
      </c>
      <c r="T26" s="91">
        <v>45979</v>
      </c>
      <c r="U26" s="90" t="s">
        <v>602</v>
      </c>
      <c r="V26" s="91"/>
      <c r="W26" s="90"/>
      <c r="X26" s="92">
        <v>45</v>
      </c>
      <c r="Y26" s="30"/>
      <c r="Z26" s="30"/>
      <c r="AA26" s="30"/>
      <c r="AB26" s="91"/>
      <c r="AC26" s="91"/>
      <c r="AD26" s="91"/>
      <c r="AE26" s="90"/>
      <c r="AF26" s="90"/>
      <c r="AG26" s="30"/>
      <c r="AH26" s="90">
        <v>0</v>
      </c>
      <c r="AI26" s="90">
        <v>1</v>
      </c>
      <c r="AJ26" s="90">
        <v>0</v>
      </c>
      <c r="AK26" s="92">
        <v>2025</v>
      </c>
      <c r="AL26" s="90" t="s">
        <v>229</v>
      </c>
      <c r="AM26" s="92"/>
      <c r="AN26" s="90"/>
      <c r="AO26" s="90">
        <v>0</v>
      </c>
      <c r="AP26" s="90" t="s">
        <v>80</v>
      </c>
      <c r="AQ26" s="30">
        <v>18.600000000000001</v>
      </c>
    </row>
    <row r="27" spans="1:43" ht="15" customHeight="1" x14ac:dyDescent="0.3">
      <c r="A27" s="101" t="s">
        <v>812</v>
      </c>
      <c r="B27" s="90" t="s">
        <v>137</v>
      </c>
      <c r="C27" s="91">
        <v>45368</v>
      </c>
      <c r="D27" s="91"/>
      <c r="E27" s="92">
        <v>0</v>
      </c>
      <c r="F27" s="90"/>
      <c r="G27" s="90"/>
      <c r="H27" s="90"/>
      <c r="I27" s="90"/>
      <c r="J27" s="91">
        <v>45979</v>
      </c>
      <c r="K27" s="90" t="s">
        <v>131</v>
      </c>
      <c r="L27" s="90" t="s">
        <v>132</v>
      </c>
      <c r="M27" s="90" t="s">
        <v>593</v>
      </c>
      <c r="N27" s="90" t="s">
        <v>138</v>
      </c>
      <c r="O27" s="90" t="s">
        <v>1517</v>
      </c>
      <c r="P27" s="90" t="s">
        <v>596</v>
      </c>
      <c r="Q27" s="90" t="s">
        <v>137</v>
      </c>
      <c r="R27" s="92">
        <v>4</v>
      </c>
      <c r="S27" s="30">
        <v>45</v>
      </c>
      <c r="T27" s="91">
        <v>46031</v>
      </c>
      <c r="U27" s="90" t="s">
        <v>582</v>
      </c>
      <c r="V27" s="91"/>
      <c r="W27" s="90"/>
      <c r="X27" s="92">
        <v>45</v>
      </c>
      <c r="Y27" s="30"/>
      <c r="Z27" s="30"/>
      <c r="AA27" s="30"/>
      <c r="AB27" s="91"/>
      <c r="AC27" s="91"/>
      <c r="AD27" s="91"/>
      <c r="AE27" s="90"/>
      <c r="AF27" s="90"/>
      <c r="AG27" s="30"/>
      <c r="AH27" s="90">
        <v>1</v>
      </c>
      <c r="AI27" s="90">
        <v>1</v>
      </c>
      <c r="AJ27" s="90">
        <v>0</v>
      </c>
      <c r="AK27" s="92">
        <v>2025</v>
      </c>
      <c r="AL27" s="90" t="s">
        <v>230</v>
      </c>
      <c r="AM27" s="92"/>
      <c r="AN27" s="90"/>
      <c r="AO27" s="90">
        <v>1</v>
      </c>
      <c r="AP27" s="90" t="s">
        <v>80</v>
      </c>
      <c r="AQ27" s="30">
        <v>20.100000000000001</v>
      </c>
    </row>
    <row r="28" spans="1:43" ht="15" customHeight="1" x14ac:dyDescent="0.3">
      <c r="A28" s="101" t="s">
        <v>813</v>
      </c>
      <c r="B28" s="90" t="s">
        <v>137</v>
      </c>
      <c r="C28" s="91">
        <v>45370</v>
      </c>
      <c r="D28" s="91"/>
      <c r="E28" s="92">
        <v>0</v>
      </c>
      <c r="F28" s="90"/>
      <c r="G28" s="90"/>
      <c r="H28" s="90"/>
      <c r="I28" s="90"/>
      <c r="J28" s="91">
        <v>45934</v>
      </c>
      <c r="K28" s="90" t="s">
        <v>131</v>
      </c>
      <c r="L28" s="90" t="s">
        <v>132</v>
      </c>
      <c r="M28" s="90" t="s">
        <v>593</v>
      </c>
      <c r="N28" s="90" t="s">
        <v>1531</v>
      </c>
      <c r="O28" s="90" t="s">
        <v>157</v>
      </c>
      <c r="P28" s="90" t="s">
        <v>596</v>
      </c>
      <c r="Q28" s="90" t="s">
        <v>130</v>
      </c>
      <c r="R28" s="92">
        <v>1</v>
      </c>
      <c r="S28" s="30"/>
      <c r="T28" s="91">
        <v>46014</v>
      </c>
      <c r="U28" s="90" t="s">
        <v>602</v>
      </c>
      <c r="V28" s="91"/>
      <c r="W28" s="90"/>
      <c r="X28" s="92">
        <v>45</v>
      </c>
      <c r="Y28" s="30"/>
      <c r="Z28" s="30"/>
      <c r="AA28" s="30"/>
      <c r="AB28" s="91"/>
      <c r="AC28" s="91"/>
      <c r="AD28" s="91"/>
      <c r="AE28" s="90"/>
      <c r="AF28" s="90"/>
      <c r="AG28" s="30"/>
      <c r="AH28" s="90">
        <v>0</v>
      </c>
      <c r="AI28" s="90">
        <v>1</v>
      </c>
      <c r="AJ28" s="90">
        <v>0</v>
      </c>
      <c r="AK28" s="92">
        <v>2025</v>
      </c>
      <c r="AL28" s="90" t="s">
        <v>229</v>
      </c>
      <c r="AM28" s="92"/>
      <c r="AN28" s="90"/>
      <c r="AO28" s="90">
        <v>0</v>
      </c>
      <c r="AP28" s="90" t="s">
        <v>80</v>
      </c>
      <c r="AQ28" s="30">
        <v>18.600000000000001</v>
      </c>
    </row>
    <row r="29" spans="1:43" ht="15" customHeight="1" outlineLevel="1" x14ac:dyDescent="0.3">
      <c r="A29" s="101" t="s">
        <v>813</v>
      </c>
      <c r="B29" s="90" t="s">
        <v>137</v>
      </c>
      <c r="C29" s="91">
        <v>45370</v>
      </c>
      <c r="D29" s="91"/>
      <c r="E29" s="92">
        <v>0</v>
      </c>
      <c r="F29" s="90"/>
      <c r="G29" s="90"/>
      <c r="H29" s="90"/>
      <c r="I29" s="90"/>
      <c r="J29" s="91">
        <v>46014</v>
      </c>
      <c r="K29" s="90" t="s">
        <v>131</v>
      </c>
      <c r="L29" s="90" t="s">
        <v>125</v>
      </c>
      <c r="M29" s="90"/>
      <c r="N29" s="90"/>
      <c r="O29" s="90" t="s">
        <v>1517</v>
      </c>
      <c r="P29" s="90" t="s">
        <v>596</v>
      </c>
      <c r="Q29" s="90" t="s">
        <v>137</v>
      </c>
      <c r="R29" s="92">
        <v>2</v>
      </c>
      <c r="S29" s="30">
        <v>80</v>
      </c>
      <c r="T29" s="91">
        <v>46063</v>
      </c>
      <c r="U29" s="90" t="s">
        <v>602</v>
      </c>
      <c r="V29" s="91"/>
      <c r="W29" s="90"/>
      <c r="X29" s="92">
        <v>45</v>
      </c>
      <c r="Y29" s="30"/>
      <c r="Z29" s="30"/>
      <c r="AA29" s="30"/>
      <c r="AB29" s="91"/>
      <c r="AC29" s="91"/>
      <c r="AD29" s="91"/>
      <c r="AE29" s="90"/>
      <c r="AF29" s="90"/>
      <c r="AG29" s="30"/>
      <c r="AH29" s="90">
        <v>0</v>
      </c>
      <c r="AI29" s="90">
        <v>1</v>
      </c>
      <c r="AJ29" s="90">
        <v>0</v>
      </c>
      <c r="AK29" s="92">
        <v>2025</v>
      </c>
      <c r="AL29" s="90" t="s">
        <v>231</v>
      </c>
      <c r="AM29" s="92"/>
      <c r="AN29" s="90"/>
      <c r="AO29" s="90">
        <v>0</v>
      </c>
      <c r="AP29" s="90" t="s">
        <v>80</v>
      </c>
      <c r="AQ29" s="30">
        <v>21.2</v>
      </c>
    </row>
    <row r="30" spans="1:43" ht="15" customHeight="1" outlineLevel="1" x14ac:dyDescent="0.3">
      <c r="A30" s="101" t="s">
        <v>813</v>
      </c>
      <c r="B30" s="90" t="s">
        <v>137</v>
      </c>
      <c r="C30" s="91">
        <v>45370</v>
      </c>
      <c r="D30" s="91"/>
      <c r="E30" s="92">
        <v>0</v>
      </c>
      <c r="F30" s="90"/>
      <c r="G30" s="90"/>
      <c r="H30" s="90"/>
      <c r="I30" s="90"/>
      <c r="J30" s="91">
        <v>46063</v>
      </c>
      <c r="K30" s="90" t="s">
        <v>131</v>
      </c>
      <c r="L30" s="90" t="s">
        <v>132</v>
      </c>
      <c r="M30" s="90" t="s">
        <v>593</v>
      </c>
      <c r="N30" s="90" t="s">
        <v>138</v>
      </c>
      <c r="O30" s="90" t="s">
        <v>1517</v>
      </c>
      <c r="P30" s="90" t="s">
        <v>596</v>
      </c>
      <c r="Q30" s="90" t="s">
        <v>137</v>
      </c>
      <c r="R30" s="92">
        <v>3</v>
      </c>
      <c r="S30" s="30">
        <v>49</v>
      </c>
      <c r="T30" s="91">
        <v>46100</v>
      </c>
      <c r="U30" s="90" t="s">
        <v>582</v>
      </c>
      <c r="V30" s="91"/>
      <c r="W30" s="90"/>
      <c r="X30" s="92">
        <v>45</v>
      </c>
      <c r="Y30" s="30"/>
      <c r="Z30" s="30"/>
      <c r="AA30" s="30"/>
      <c r="AB30" s="91"/>
      <c r="AC30" s="91"/>
      <c r="AD30" s="91"/>
      <c r="AE30" s="90"/>
      <c r="AF30" s="90"/>
      <c r="AG30" s="30"/>
      <c r="AH30" s="90">
        <v>1</v>
      </c>
      <c r="AI30" s="90">
        <v>1</v>
      </c>
      <c r="AJ30" s="90">
        <v>0</v>
      </c>
      <c r="AK30" s="92">
        <v>2026</v>
      </c>
      <c r="AL30" s="90" t="s">
        <v>233</v>
      </c>
      <c r="AM30" s="92"/>
      <c r="AN30" s="90"/>
      <c r="AO30" s="90">
        <v>1</v>
      </c>
      <c r="AP30" s="90" t="s">
        <v>80</v>
      </c>
      <c r="AQ30" s="30">
        <v>22.8</v>
      </c>
    </row>
    <row r="31" spans="1:43" ht="15" customHeight="1" outlineLevel="1" x14ac:dyDescent="0.3">
      <c r="A31" s="101" t="s">
        <v>814</v>
      </c>
      <c r="B31" s="90" t="s">
        <v>137</v>
      </c>
      <c r="C31" s="91">
        <v>45411</v>
      </c>
      <c r="D31" s="91"/>
      <c r="E31" s="92">
        <v>0</v>
      </c>
      <c r="F31" s="90"/>
      <c r="G31" s="90"/>
      <c r="H31" s="90"/>
      <c r="I31" s="90"/>
      <c r="J31" s="91">
        <v>45926</v>
      </c>
      <c r="K31" s="90" t="s">
        <v>131</v>
      </c>
      <c r="L31" s="90" t="s">
        <v>125</v>
      </c>
      <c r="M31" s="90"/>
      <c r="N31" s="90"/>
      <c r="O31" s="90" t="s">
        <v>157</v>
      </c>
      <c r="P31" s="90" t="s">
        <v>596</v>
      </c>
      <c r="Q31" s="90" t="s">
        <v>130</v>
      </c>
      <c r="R31" s="92">
        <v>1</v>
      </c>
      <c r="S31" s="30"/>
      <c r="T31" s="91">
        <v>45979</v>
      </c>
      <c r="U31" s="90" t="s">
        <v>602</v>
      </c>
      <c r="V31" s="91"/>
      <c r="W31" s="90"/>
      <c r="X31" s="92">
        <v>45</v>
      </c>
      <c r="Y31" s="30"/>
      <c r="Z31" s="30"/>
      <c r="AA31" s="30"/>
      <c r="AB31" s="91"/>
      <c r="AC31" s="91"/>
      <c r="AD31" s="91"/>
      <c r="AE31" s="90"/>
      <c r="AF31" s="90"/>
      <c r="AG31" s="30"/>
      <c r="AH31" s="90">
        <v>0</v>
      </c>
      <c r="AI31" s="90">
        <v>1</v>
      </c>
      <c r="AJ31" s="90">
        <v>0</v>
      </c>
      <c r="AK31" s="92">
        <v>2025</v>
      </c>
      <c r="AL31" s="90" t="s">
        <v>228</v>
      </c>
      <c r="AM31" s="92"/>
      <c r="AN31" s="90"/>
      <c r="AO31" s="90">
        <v>0</v>
      </c>
      <c r="AP31" s="90" t="s">
        <v>80</v>
      </c>
      <c r="AQ31" s="30">
        <v>16.899999999999999</v>
      </c>
    </row>
    <row r="32" spans="1:43" ht="15" customHeight="1" x14ac:dyDescent="0.3">
      <c r="A32" s="101" t="s">
        <v>814</v>
      </c>
      <c r="B32" s="90" t="s">
        <v>137</v>
      </c>
      <c r="C32" s="91">
        <v>45411</v>
      </c>
      <c r="D32" s="91"/>
      <c r="E32" s="92">
        <v>0</v>
      </c>
      <c r="F32" s="90"/>
      <c r="G32" s="90"/>
      <c r="H32" s="90"/>
      <c r="I32" s="90"/>
      <c r="J32" s="91">
        <v>45979</v>
      </c>
      <c r="K32" s="90" t="s">
        <v>131</v>
      </c>
      <c r="L32" s="90" t="s">
        <v>132</v>
      </c>
      <c r="M32" s="90" t="s">
        <v>593</v>
      </c>
      <c r="N32" s="90" t="s">
        <v>138</v>
      </c>
      <c r="O32" s="90" t="s">
        <v>1517</v>
      </c>
      <c r="P32" s="90" t="s">
        <v>596</v>
      </c>
      <c r="Q32" s="90" t="s">
        <v>137</v>
      </c>
      <c r="R32" s="92">
        <v>2</v>
      </c>
      <c r="S32" s="30">
        <v>53</v>
      </c>
      <c r="T32" s="91">
        <v>46031</v>
      </c>
      <c r="U32" s="90" t="s">
        <v>582</v>
      </c>
      <c r="V32" s="91"/>
      <c r="W32" s="90"/>
      <c r="X32" s="92">
        <v>45</v>
      </c>
      <c r="Y32" s="30"/>
      <c r="Z32" s="30"/>
      <c r="AA32" s="30"/>
      <c r="AB32" s="91"/>
      <c r="AC32" s="91"/>
      <c r="AD32" s="91"/>
      <c r="AE32" s="90"/>
      <c r="AF32" s="90"/>
      <c r="AG32" s="30"/>
      <c r="AH32" s="90">
        <v>1</v>
      </c>
      <c r="AI32" s="90">
        <v>1</v>
      </c>
      <c r="AJ32" s="90">
        <v>0</v>
      </c>
      <c r="AK32" s="92">
        <v>2025</v>
      </c>
      <c r="AL32" s="90" t="s">
        <v>230</v>
      </c>
      <c r="AM32" s="92"/>
      <c r="AN32" s="90"/>
      <c r="AO32" s="90">
        <v>1</v>
      </c>
      <c r="AP32" s="90" t="s">
        <v>80</v>
      </c>
      <c r="AQ32" s="30">
        <v>18.7</v>
      </c>
    </row>
    <row r="33" spans="1:43" ht="15" customHeight="1" x14ac:dyDescent="0.3">
      <c r="A33" s="101" t="s">
        <v>609</v>
      </c>
      <c r="B33" s="90" t="s">
        <v>130</v>
      </c>
      <c r="C33" s="91">
        <v>45350</v>
      </c>
      <c r="D33" s="91"/>
      <c r="E33" s="92">
        <v>0</v>
      </c>
      <c r="F33" s="90"/>
      <c r="G33" s="90"/>
      <c r="H33" s="90"/>
      <c r="I33" s="90"/>
      <c r="J33" s="91">
        <v>45743</v>
      </c>
      <c r="K33" s="90" t="s">
        <v>131</v>
      </c>
      <c r="L33" s="90" t="s">
        <v>132</v>
      </c>
      <c r="M33" s="90"/>
      <c r="N33" s="90"/>
      <c r="O33" s="90" t="s">
        <v>157</v>
      </c>
      <c r="P33" s="90" t="s">
        <v>596</v>
      </c>
      <c r="Q33" s="90" t="s">
        <v>130</v>
      </c>
      <c r="R33" s="92">
        <v>1</v>
      </c>
      <c r="S33" s="30"/>
      <c r="T33" s="91">
        <v>45836</v>
      </c>
      <c r="U33" s="90" t="s">
        <v>582</v>
      </c>
      <c r="V33" s="91"/>
      <c r="W33" s="90"/>
      <c r="X33" s="92">
        <v>45</v>
      </c>
      <c r="Y33" s="30"/>
      <c r="Z33" s="30"/>
      <c r="AA33" s="30">
        <v>5506</v>
      </c>
      <c r="AB33" s="91">
        <v>46028</v>
      </c>
      <c r="AC33" s="91"/>
      <c r="AD33" s="91"/>
      <c r="AE33" s="90"/>
      <c r="AF33" s="90"/>
      <c r="AG33" s="30"/>
      <c r="AH33" s="90">
        <v>1</v>
      </c>
      <c r="AI33" s="90">
        <v>1</v>
      </c>
      <c r="AJ33" s="90">
        <v>0</v>
      </c>
      <c r="AK33" s="92">
        <v>2025</v>
      </c>
      <c r="AL33" s="90" t="s">
        <v>223</v>
      </c>
      <c r="AM33" s="92"/>
      <c r="AN33" s="90"/>
      <c r="AO33" s="90">
        <v>0</v>
      </c>
      <c r="AP33" s="90" t="s">
        <v>80</v>
      </c>
      <c r="AQ33" s="30">
        <v>12.9</v>
      </c>
    </row>
    <row r="34" spans="1:43" ht="15" customHeight="1" outlineLevel="1" x14ac:dyDescent="0.3">
      <c r="A34" s="101" t="s">
        <v>609</v>
      </c>
      <c r="B34" s="90" t="s">
        <v>130</v>
      </c>
      <c r="C34" s="91">
        <v>45350</v>
      </c>
      <c r="D34" s="91">
        <v>46028</v>
      </c>
      <c r="E34" s="92">
        <v>1</v>
      </c>
      <c r="F34" s="90" t="s">
        <v>276</v>
      </c>
      <c r="G34" s="90" t="s">
        <v>601</v>
      </c>
      <c r="H34" s="90" t="s">
        <v>278</v>
      </c>
      <c r="I34" s="90">
        <v>0</v>
      </c>
      <c r="J34" s="91">
        <v>46090</v>
      </c>
      <c r="K34" s="90" t="s">
        <v>131</v>
      </c>
      <c r="L34" s="90" t="s">
        <v>132</v>
      </c>
      <c r="M34" s="90" t="s">
        <v>593</v>
      </c>
      <c r="N34" s="90" t="s">
        <v>133</v>
      </c>
      <c r="O34" s="90" t="s">
        <v>144</v>
      </c>
      <c r="P34" s="90" t="s">
        <v>596</v>
      </c>
      <c r="Q34" s="90" t="s">
        <v>130</v>
      </c>
      <c r="R34" s="92">
        <v>1</v>
      </c>
      <c r="S34" s="30"/>
      <c r="T34" s="91">
        <v>46122</v>
      </c>
      <c r="U34" s="90" t="s">
        <v>582</v>
      </c>
      <c r="V34" s="91"/>
      <c r="W34" s="90"/>
      <c r="X34" s="92">
        <v>45</v>
      </c>
      <c r="Y34" s="30"/>
      <c r="Z34" s="30">
        <v>5506</v>
      </c>
      <c r="AA34" s="30">
        <v>5506</v>
      </c>
      <c r="AB34" s="91">
        <v>46028</v>
      </c>
      <c r="AC34" s="91"/>
      <c r="AD34" s="91"/>
      <c r="AE34" s="90"/>
      <c r="AF34" s="90"/>
      <c r="AG34" s="30"/>
      <c r="AH34" s="90">
        <v>1</v>
      </c>
      <c r="AI34" s="90">
        <v>1</v>
      </c>
      <c r="AJ34" s="90">
        <v>0</v>
      </c>
      <c r="AK34" s="92">
        <v>2026</v>
      </c>
      <c r="AL34" s="90" t="s">
        <v>234</v>
      </c>
      <c r="AM34" s="92">
        <v>62</v>
      </c>
      <c r="AN34" s="90" t="s">
        <v>135</v>
      </c>
      <c r="AO34" s="90">
        <v>1</v>
      </c>
      <c r="AP34" s="90" t="s">
        <v>79</v>
      </c>
      <c r="AQ34" s="30">
        <v>24.3</v>
      </c>
    </row>
    <row r="35" spans="1:43" ht="15" customHeight="1" outlineLevel="1" x14ac:dyDescent="0.3">
      <c r="A35" s="101" t="s">
        <v>817</v>
      </c>
      <c r="B35" s="90" t="s">
        <v>137</v>
      </c>
      <c r="C35" s="91">
        <v>45422</v>
      </c>
      <c r="D35" s="91"/>
      <c r="E35" s="92">
        <v>0</v>
      </c>
      <c r="F35" s="90"/>
      <c r="G35" s="90"/>
      <c r="H35" s="90"/>
      <c r="I35" s="90"/>
      <c r="J35" s="91">
        <v>45870</v>
      </c>
      <c r="K35" s="90" t="s">
        <v>131</v>
      </c>
      <c r="L35" s="90" t="s">
        <v>125</v>
      </c>
      <c r="M35" s="90"/>
      <c r="N35" s="90"/>
      <c r="O35" s="90" t="s">
        <v>1517</v>
      </c>
      <c r="P35" s="90" t="s">
        <v>596</v>
      </c>
      <c r="Q35" s="90" t="s">
        <v>137</v>
      </c>
      <c r="R35" s="92">
        <v>1</v>
      </c>
      <c r="S35" s="30"/>
      <c r="T35" s="91">
        <v>45889</v>
      </c>
      <c r="U35" s="90" t="s">
        <v>602</v>
      </c>
      <c r="V35" s="91"/>
      <c r="W35" s="90"/>
      <c r="X35" s="92">
        <v>45</v>
      </c>
      <c r="Y35" s="30"/>
      <c r="Z35" s="30"/>
      <c r="AA35" s="30"/>
      <c r="AB35" s="91"/>
      <c r="AC35" s="91"/>
      <c r="AD35" s="91"/>
      <c r="AE35" s="90"/>
      <c r="AF35" s="90"/>
      <c r="AG35" s="30"/>
      <c r="AH35" s="90">
        <v>0</v>
      </c>
      <c r="AI35" s="90">
        <v>1</v>
      </c>
      <c r="AJ35" s="90">
        <v>0</v>
      </c>
      <c r="AK35" s="92">
        <v>2025</v>
      </c>
      <c r="AL35" s="90" t="s">
        <v>227</v>
      </c>
      <c r="AM35" s="92"/>
      <c r="AN35" s="90"/>
      <c r="AO35" s="90">
        <v>0</v>
      </c>
      <c r="AP35" s="90" t="s">
        <v>80</v>
      </c>
      <c r="AQ35" s="30">
        <v>14.7</v>
      </c>
    </row>
    <row r="36" spans="1:43" ht="15" customHeight="1" x14ac:dyDescent="0.3">
      <c r="A36" s="101" t="s">
        <v>817</v>
      </c>
      <c r="B36" s="90" t="s">
        <v>137</v>
      </c>
      <c r="C36" s="91">
        <v>45422</v>
      </c>
      <c r="D36" s="91"/>
      <c r="E36" s="92">
        <v>0</v>
      </c>
      <c r="F36" s="90"/>
      <c r="G36" s="90"/>
      <c r="H36" s="90"/>
      <c r="I36" s="90"/>
      <c r="J36" s="91">
        <v>45889</v>
      </c>
      <c r="K36" s="90" t="s">
        <v>131</v>
      </c>
      <c r="L36" s="90" t="s">
        <v>125</v>
      </c>
      <c r="M36" s="90"/>
      <c r="N36" s="90"/>
      <c r="O36" s="90" t="s">
        <v>157</v>
      </c>
      <c r="P36" s="90" t="s">
        <v>596</v>
      </c>
      <c r="Q36" s="90" t="s">
        <v>130</v>
      </c>
      <c r="R36" s="92">
        <v>2</v>
      </c>
      <c r="S36" s="30">
        <v>19</v>
      </c>
      <c r="T36" s="91">
        <v>45979</v>
      </c>
      <c r="U36" s="90" t="s">
        <v>602</v>
      </c>
      <c r="V36" s="91"/>
      <c r="W36" s="90"/>
      <c r="X36" s="92">
        <v>45</v>
      </c>
      <c r="Y36" s="30"/>
      <c r="Z36" s="30"/>
      <c r="AA36" s="30"/>
      <c r="AB36" s="91"/>
      <c r="AC36" s="91"/>
      <c r="AD36" s="91"/>
      <c r="AE36" s="90"/>
      <c r="AF36" s="90"/>
      <c r="AG36" s="30"/>
      <c r="AH36" s="90">
        <v>0</v>
      </c>
      <c r="AI36" s="90">
        <v>1</v>
      </c>
      <c r="AJ36" s="90">
        <v>0</v>
      </c>
      <c r="AK36" s="92">
        <v>2025</v>
      </c>
      <c r="AL36" s="90" t="s">
        <v>227</v>
      </c>
      <c r="AM36" s="92"/>
      <c r="AN36" s="90"/>
      <c r="AO36" s="90">
        <v>0</v>
      </c>
      <c r="AP36" s="90" t="s">
        <v>80</v>
      </c>
      <c r="AQ36" s="30">
        <v>15.4</v>
      </c>
    </row>
    <row r="37" spans="1:43" ht="15" customHeight="1" outlineLevel="1" x14ac:dyDescent="0.3">
      <c r="A37" s="101" t="s">
        <v>817</v>
      </c>
      <c r="B37" s="90" t="s">
        <v>137</v>
      </c>
      <c r="C37" s="91">
        <v>45422</v>
      </c>
      <c r="D37" s="91"/>
      <c r="E37" s="92">
        <v>0</v>
      </c>
      <c r="F37" s="90"/>
      <c r="G37" s="90"/>
      <c r="H37" s="90"/>
      <c r="I37" s="90"/>
      <c r="J37" s="91">
        <v>45979</v>
      </c>
      <c r="K37" s="90" t="s">
        <v>131</v>
      </c>
      <c r="L37" s="90" t="s">
        <v>132</v>
      </c>
      <c r="M37" s="90" t="s">
        <v>593</v>
      </c>
      <c r="N37" s="90" t="s">
        <v>138</v>
      </c>
      <c r="O37" s="90" t="s">
        <v>1517</v>
      </c>
      <c r="P37" s="90" t="s">
        <v>596</v>
      </c>
      <c r="Q37" s="90" t="s">
        <v>137</v>
      </c>
      <c r="R37" s="92">
        <v>3</v>
      </c>
      <c r="S37" s="30">
        <v>90</v>
      </c>
      <c r="T37" s="91">
        <v>46042</v>
      </c>
      <c r="U37" s="90" t="s">
        <v>602</v>
      </c>
      <c r="V37" s="91"/>
      <c r="W37" s="90"/>
      <c r="X37" s="92">
        <v>45</v>
      </c>
      <c r="Y37" s="30"/>
      <c r="Z37" s="30"/>
      <c r="AA37" s="30"/>
      <c r="AB37" s="91"/>
      <c r="AC37" s="91"/>
      <c r="AD37" s="91"/>
      <c r="AE37" s="90"/>
      <c r="AF37" s="90"/>
      <c r="AG37" s="30"/>
      <c r="AH37" s="90">
        <v>0</v>
      </c>
      <c r="AI37" s="90">
        <v>1</v>
      </c>
      <c r="AJ37" s="90">
        <v>0</v>
      </c>
      <c r="AK37" s="92">
        <v>2025</v>
      </c>
      <c r="AL37" s="90" t="s">
        <v>230</v>
      </c>
      <c r="AM37" s="92"/>
      <c r="AN37" s="90"/>
      <c r="AO37" s="90">
        <v>0</v>
      </c>
      <c r="AP37" s="90" t="s">
        <v>80</v>
      </c>
      <c r="AQ37" s="30">
        <v>18.3</v>
      </c>
    </row>
    <row r="38" spans="1:43" ht="15" customHeight="1" outlineLevel="1" x14ac:dyDescent="0.3">
      <c r="A38" s="101" t="s">
        <v>817</v>
      </c>
      <c r="B38" s="90" t="s">
        <v>137</v>
      </c>
      <c r="C38" s="91">
        <v>45422</v>
      </c>
      <c r="D38" s="91"/>
      <c r="E38" s="92">
        <v>0</v>
      </c>
      <c r="F38" s="90"/>
      <c r="G38" s="90"/>
      <c r="H38" s="90"/>
      <c r="I38" s="90"/>
      <c r="J38" s="91">
        <v>46042</v>
      </c>
      <c r="K38" s="90" t="s">
        <v>131</v>
      </c>
      <c r="L38" s="90" t="s">
        <v>132</v>
      </c>
      <c r="M38" s="90" t="s">
        <v>593</v>
      </c>
      <c r="N38" s="90" t="s">
        <v>138</v>
      </c>
      <c r="O38" s="90" t="s">
        <v>1517</v>
      </c>
      <c r="P38" s="90" t="s">
        <v>596</v>
      </c>
      <c r="Q38" s="90" t="s">
        <v>137</v>
      </c>
      <c r="R38" s="92">
        <v>4</v>
      </c>
      <c r="S38" s="30">
        <v>63</v>
      </c>
      <c r="T38" s="91">
        <v>46079</v>
      </c>
      <c r="U38" s="90" t="s">
        <v>582</v>
      </c>
      <c r="V38" s="91"/>
      <c r="W38" s="90"/>
      <c r="X38" s="92">
        <v>45</v>
      </c>
      <c r="Y38" s="30"/>
      <c r="Z38" s="30"/>
      <c r="AA38" s="30"/>
      <c r="AB38" s="91"/>
      <c r="AC38" s="91"/>
      <c r="AD38" s="91"/>
      <c r="AE38" s="90"/>
      <c r="AF38" s="90"/>
      <c r="AG38" s="30"/>
      <c r="AH38" s="90">
        <v>1</v>
      </c>
      <c r="AI38" s="90">
        <v>1</v>
      </c>
      <c r="AJ38" s="90">
        <v>0</v>
      </c>
      <c r="AK38" s="92">
        <v>2026</v>
      </c>
      <c r="AL38" s="90" t="s">
        <v>232</v>
      </c>
      <c r="AM38" s="92"/>
      <c r="AN38" s="90"/>
      <c r="AO38" s="90">
        <v>1</v>
      </c>
      <c r="AP38" s="90" t="s">
        <v>80</v>
      </c>
      <c r="AQ38" s="30">
        <v>20.399999999999999</v>
      </c>
    </row>
    <row r="39" spans="1:43" ht="15" customHeight="1" x14ac:dyDescent="0.3">
      <c r="A39" s="101" t="s">
        <v>818</v>
      </c>
      <c r="B39" s="90" t="s">
        <v>137</v>
      </c>
      <c r="C39" s="91">
        <v>45433</v>
      </c>
      <c r="D39" s="91"/>
      <c r="E39" s="92">
        <v>0</v>
      </c>
      <c r="F39" s="90"/>
      <c r="G39" s="90"/>
      <c r="H39" s="90"/>
      <c r="I39" s="90"/>
      <c r="J39" s="91">
        <v>45939</v>
      </c>
      <c r="K39" s="90" t="s">
        <v>131</v>
      </c>
      <c r="L39" s="90" t="s">
        <v>125</v>
      </c>
      <c r="M39" s="90"/>
      <c r="N39" s="90"/>
      <c r="O39" s="90" t="s">
        <v>157</v>
      </c>
      <c r="P39" s="90" t="s">
        <v>596</v>
      </c>
      <c r="Q39" s="90" t="s">
        <v>130</v>
      </c>
      <c r="R39" s="92">
        <v>1</v>
      </c>
      <c r="S39" s="30"/>
      <c r="T39" s="91">
        <v>45979</v>
      </c>
      <c r="U39" s="90" t="s">
        <v>602</v>
      </c>
      <c r="V39" s="91"/>
      <c r="W39" s="90"/>
      <c r="X39" s="92">
        <v>45</v>
      </c>
      <c r="Y39" s="30"/>
      <c r="Z39" s="30"/>
      <c r="AA39" s="30"/>
      <c r="AB39" s="91"/>
      <c r="AC39" s="91"/>
      <c r="AD39" s="91"/>
      <c r="AE39" s="90"/>
      <c r="AF39" s="90"/>
      <c r="AG39" s="30"/>
      <c r="AH39" s="90">
        <v>0</v>
      </c>
      <c r="AI39" s="90">
        <v>1</v>
      </c>
      <c r="AJ39" s="90">
        <v>0</v>
      </c>
      <c r="AK39" s="92">
        <v>2025</v>
      </c>
      <c r="AL39" s="90" t="s">
        <v>229</v>
      </c>
      <c r="AM39" s="92"/>
      <c r="AN39" s="90"/>
      <c r="AO39" s="90">
        <v>0</v>
      </c>
      <c r="AP39" s="90" t="s">
        <v>80</v>
      </c>
      <c r="AQ39" s="30">
        <v>16.600000000000001</v>
      </c>
    </row>
    <row r="40" spans="1:43" ht="15" customHeight="1" x14ac:dyDescent="0.3">
      <c r="A40" s="101" t="s">
        <v>818</v>
      </c>
      <c r="B40" s="90" t="s">
        <v>137</v>
      </c>
      <c r="C40" s="91">
        <v>45433</v>
      </c>
      <c r="D40" s="91"/>
      <c r="E40" s="92">
        <v>0</v>
      </c>
      <c r="F40" s="90"/>
      <c r="G40" s="90"/>
      <c r="H40" s="90"/>
      <c r="I40" s="90"/>
      <c r="J40" s="91">
        <v>45979</v>
      </c>
      <c r="K40" s="90" t="s">
        <v>131</v>
      </c>
      <c r="L40" s="90" t="s">
        <v>132</v>
      </c>
      <c r="M40" s="90" t="s">
        <v>593</v>
      </c>
      <c r="N40" s="90" t="s">
        <v>138</v>
      </c>
      <c r="O40" s="90" t="s">
        <v>1517</v>
      </c>
      <c r="P40" s="90" t="s">
        <v>596</v>
      </c>
      <c r="Q40" s="90" t="s">
        <v>137</v>
      </c>
      <c r="R40" s="92">
        <v>2</v>
      </c>
      <c r="S40" s="30">
        <v>40</v>
      </c>
      <c r="T40" s="91">
        <v>46003</v>
      </c>
      <c r="U40" s="90" t="s">
        <v>602</v>
      </c>
      <c r="V40" s="91"/>
      <c r="W40" s="90"/>
      <c r="X40" s="92">
        <v>45</v>
      </c>
      <c r="Y40" s="30"/>
      <c r="Z40" s="30"/>
      <c r="AA40" s="30"/>
      <c r="AB40" s="91"/>
      <c r="AC40" s="91"/>
      <c r="AD40" s="91"/>
      <c r="AE40" s="90"/>
      <c r="AF40" s="90"/>
      <c r="AG40" s="30"/>
      <c r="AH40" s="90">
        <v>0</v>
      </c>
      <c r="AI40" s="90">
        <v>1</v>
      </c>
      <c r="AJ40" s="90">
        <v>0</v>
      </c>
      <c r="AK40" s="92">
        <v>2025</v>
      </c>
      <c r="AL40" s="90" t="s">
        <v>230</v>
      </c>
      <c r="AM40" s="92"/>
      <c r="AN40" s="90"/>
      <c r="AO40" s="90">
        <v>0</v>
      </c>
      <c r="AP40" s="90" t="s">
        <v>80</v>
      </c>
      <c r="AQ40" s="30">
        <v>18</v>
      </c>
    </row>
    <row r="41" spans="1:43" ht="15" customHeight="1" outlineLevel="1" x14ac:dyDescent="0.3">
      <c r="A41" s="101" t="s">
        <v>818</v>
      </c>
      <c r="B41" s="90" t="s">
        <v>137</v>
      </c>
      <c r="C41" s="91">
        <v>45433</v>
      </c>
      <c r="D41" s="91"/>
      <c r="E41" s="92">
        <v>0</v>
      </c>
      <c r="F41" s="90"/>
      <c r="G41" s="90"/>
      <c r="H41" s="90"/>
      <c r="I41" s="90"/>
      <c r="J41" s="91">
        <v>46003</v>
      </c>
      <c r="K41" s="90" t="s">
        <v>131</v>
      </c>
      <c r="L41" s="90" t="s">
        <v>125</v>
      </c>
      <c r="M41" s="90"/>
      <c r="N41" s="90"/>
      <c r="O41" s="90" t="s">
        <v>1517</v>
      </c>
      <c r="P41" s="90" t="s">
        <v>596</v>
      </c>
      <c r="Q41" s="90" t="s">
        <v>137</v>
      </c>
      <c r="R41" s="92">
        <v>3</v>
      </c>
      <c r="S41" s="30">
        <v>24</v>
      </c>
      <c r="T41" s="91">
        <v>46042</v>
      </c>
      <c r="U41" s="90" t="s">
        <v>602</v>
      </c>
      <c r="V41" s="91"/>
      <c r="W41" s="90"/>
      <c r="X41" s="92">
        <v>45</v>
      </c>
      <c r="Y41" s="30"/>
      <c r="Z41" s="30"/>
      <c r="AA41" s="30"/>
      <c r="AB41" s="91"/>
      <c r="AC41" s="91"/>
      <c r="AD41" s="91"/>
      <c r="AE41" s="90"/>
      <c r="AF41" s="90"/>
      <c r="AG41" s="30"/>
      <c r="AH41" s="90">
        <v>0</v>
      </c>
      <c r="AI41" s="90">
        <v>1</v>
      </c>
      <c r="AJ41" s="90">
        <v>0</v>
      </c>
      <c r="AK41" s="92">
        <v>2025</v>
      </c>
      <c r="AL41" s="90" t="s">
        <v>231</v>
      </c>
      <c r="AM41" s="92"/>
      <c r="AN41" s="90"/>
      <c r="AO41" s="90">
        <v>0</v>
      </c>
      <c r="AP41" s="90" t="s">
        <v>80</v>
      </c>
      <c r="AQ41" s="30">
        <v>18.8</v>
      </c>
    </row>
    <row r="42" spans="1:43" ht="15" customHeight="1" x14ac:dyDescent="0.3">
      <c r="A42" s="101" t="s">
        <v>818</v>
      </c>
      <c r="B42" s="90" t="s">
        <v>137</v>
      </c>
      <c r="C42" s="91">
        <v>45433</v>
      </c>
      <c r="D42" s="91"/>
      <c r="E42" s="92">
        <v>0</v>
      </c>
      <c r="F42" s="90"/>
      <c r="G42" s="90"/>
      <c r="H42" s="90"/>
      <c r="I42" s="90"/>
      <c r="J42" s="91">
        <v>46042</v>
      </c>
      <c r="K42" s="90" t="s">
        <v>131</v>
      </c>
      <c r="L42" s="90" t="s">
        <v>132</v>
      </c>
      <c r="M42" s="90" t="s">
        <v>593</v>
      </c>
      <c r="N42" s="90" t="s">
        <v>138</v>
      </c>
      <c r="O42" s="90" t="s">
        <v>1517</v>
      </c>
      <c r="P42" s="90" t="s">
        <v>596</v>
      </c>
      <c r="Q42" s="90" t="s">
        <v>137</v>
      </c>
      <c r="R42" s="92">
        <v>4</v>
      </c>
      <c r="S42" s="30">
        <v>39</v>
      </c>
      <c r="T42" s="91">
        <v>46065</v>
      </c>
      <c r="U42" s="90" t="s">
        <v>602</v>
      </c>
      <c r="V42" s="91"/>
      <c r="W42" s="90"/>
      <c r="X42" s="92">
        <v>45</v>
      </c>
      <c r="Y42" s="30"/>
      <c r="Z42" s="30"/>
      <c r="AA42" s="30"/>
      <c r="AB42" s="91"/>
      <c r="AC42" s="91"/>
      <c r="AD42" s="91"/>
      <c r="AE42" s="90"/>
      <c r="AF42" s="90"/>
      <c r="AG42" s="30"/>
      <c r="AH42" s="90">
        <v>0</v>
      </c>
      <c r="AI42" s="90">
        <v>1</v>
      </c>
      <c r="AJ42" s="90">
        <v>0</v>
      </c>
      <c r="AK42" s="92">
        <v>2026</v>
      </c>
      <c r="AL42" s="90" t="s">
        <v>232</v>
      </c>
      <c r="AM42" s="92"/>
      <c r="AN42" s="90"/>
      <c r="AO42" s="90">
        <v>0</v>
      </c>
      <c r="AP42" s="90" t="s">
        <v>80</v>
      </c>
      <c r="AQ42" s="30">
        <v>20</v>
      </c>
    </row>
    <row r="43" spans="1:43" ht="15" customHeight="1" outlineLevel="1" x14ac:dyDescent="0.3">
      <c r="A43" s="101" t="s">
        <v>818</v>
      </c>
      <c r="B43" s="90" t="s">
        <v>137</v>
      </c>
      <c r="C43" s="91">
        <v>45433</v>
      </c>
      <c r="D43" s="91"/>
      <c r="E43" s="92">
        <v>0</v>
      </c>
      <c r="F43" s="90"/>
      <c r="G43" s="90"/>
      <c r="H43" s="90"/>
      <c r="I43" s="90"/>
      <c r="J43" s="91">
        <v>46065</v>
      </c>
      <c r="K43" s="90" t="s">
        <v>131</v>
      </c>
      <c r="L43" s="90" t="s">
        <v>125</v>
      </c>
      <c r="M43" s="90"/>
      <c r="N43" s="90"/>
      <c r="O43" s="90" t="s">
        <v>1517</v>
      </c>
      <c r="P43" s="90" t="s">
        <v>596</v>
      </c>
      <c r="Q43" s="90" t="s">
        <v>137</v>
      </c>
      <c r="R43" s="92">
        <v>5</v>
      </c>
      <c r="S43" s="30">
        <v>23</v>
      </c>
      <c r="T43" s="91">
        <v>46100</v>
      </c>
      <c r="U43" s="90" t="s">
        <v>582</v>
      </c>
      <c r="V43" s="91"/>
      <c r="W43" s="90"/>
      <c r="X43" s="92">
        <v>45</v>
      </c>
      <c r="Y43" s="30"/>
      <c r="Z43" s="30"/>
      <c r="AA43" s="30"/>
      <c r="AB43" s="91"/>
      <c r="AC43" s="91"/>
      <c r="AD43" s="91"/>
      <c r="AE43" s="90"/>
      <c r="AF43" s="90"/>
      <c r="AG43" s="30"/>
      <c r="AH43" s="90">
        <v>1</v>
      </c>
      <c r="AI43" s="90">
        <v>1</v>
      </c>
      <c r="AJ43" s="90">
        <v>0</v>
      </c>
      <c r="AK43" s="92">
        <v>2026</v>
      </c>
      <c r="AL43" s="90" t="s">
        <v>233</v>
      </c>
      <c r="AM43" s="92"/>
      <c r="AN43" s="90"/>
      <c r="AO43" s="90">
        <v>1</v>
      </c>
      <c r="AP43" s="90" t="s">
        <v>80</v>
      </c>
      <c r="AQ43" s="30">
        <v>20.8</v>
      </c>
    </row>
    <row r="44" spans="1:43" ht="15" customHeight="1" x14ac:dyDescent="0.3">
      <c r="A44" s="101" t="s">
        <v>819</v>
      </c>
      <c r="B44" s="90" t="s">
        <v>137</v>
      </c>
      <c r="C44" s="91">
        <v>45435</v>
      </c>
      <c r="D44" s="91"/>
      <c r="E44" s="92">
        <v>0</v>
      </c>
      <c r="F44" s="90"/>
      <c r="G44" s="90"/>
      <c r="H44" s="90"/>
      <c r="I44" s="90"/>
      <c r="J44" s="91">
        <v>45979</v>
      </c>
      <c r="K44" s="90" t="s">
        <v>131</v>
      </c>
      <c r="L44" s="90" t="s">
        <v>132</v>
      </c>
      <c r="M44" s="90" t="s">
        <v>593</v>
      </c>
      <c r="N44" s="90" t="s">
        <v>138</v>
      </c>
      <c r="O44" s="90" t="s">
        <v>1517</v>
      </c>
      <c r="P44" s="90" t="s">
        <v>596</v>
      </c>
      <c r="Q44" s="90" t="s">
        <v>137</v>
      </c>
      <c r="R44" s="92">
        <v>1</v>
      </c>
      <c r="S44" s="30"/>
      <c r="T44" s="91">
        <v>46031</v>
      </c>
      <c r="U44" s="90" t="s">
        <v>582</v>
      </c>
      <c r="V44" s="91"/>
      <c r="W44" s="90"/>
      <c r="X44" s="92">
        <v>45</v>
      </c>
      <c r="Y44" s="30"/>
      <c r="Z44" s="30"/>
      <c r="AA44" s="30"/>
      <c r="AB44" s="91"/>
      <c r="AC44" s="91"/>
      <c r="AD44" s="91"/>
      <c r="AE44" s="90"/>
      <c r="AF44" s="90"/>
      <c r="AG44" s="30"/>
      <c r="AH44" s="90">
        <v>1</v>
      </c>
      <c r="AI44" s="90">
        <v>1</v>
      </c>
      <c r="AJ44" s="90">
        <v>0</v>
      </c>
      <c r="AK44" s="92">
        <v>2025</v>
      </c>
      <c r="AL44" s="90" t="s">
        <v>230</v>
      </c>
      <c r="AM44" s="92"/>
      <c r="AN44" s="90"/>
      <c r="AO44" s="90">
        <v>1</v>
      </c>
      <c r="AP44" s="90" t="s">
        <v>80</v>
      </c>
      <c r="AQ44" s="30">
        <v>17.899999999999999</v>
      </c>
    </row>
    <row r="45" spans="1:43" ht="15" customHeight="1" outlineLevel="1" x14ac:dyDescent="0.3">
      <c r="A45" s="101" t="s">
        <v>820</v>
      </c>
      <c r="B45" s="90" t="s">
        <v>137</v>
      </c>
      <c r="C45" s="91">
        <v>45438</v>
      </c>
      <c r="D45" s="91"/>
      <c r="E45" s="92">
        <v>0</v>
      </c>
      <c r="F45" s="90"/>
      <c r="G45" s="90"/>
      <c r="H45" s="90"/>
      <c r="I45" s="90"/>
      <c r="J45" s="91">
        <v>45979</v>
      </c>
      <c r="K45" s="90" t="s">
        <v>131</v>
      </c>
      <c r="L45" s="90" t="s">
        <v>132</v>
      </c>
      <c r="M45" s="90" t="s">
        <v>593</v>
      </c>
      <c r="N45" s="90" t="s">
        <v>138</v>
      </c>
      <c r="O45" s="90" t="s">
        <v>1517</v>
      </c>
      <c r="P45" s="90" t="s">
        <v>596</v>
      </c>
      <c r="Q45" s="90" t="s">
        <v>137</v>
      </c>
      <c r="R45" s="92">
        <v>1</v>
      </c>
      <c r="S45" s="30"/>
      <c r="T45" s="91">
        <v>46000</v>
      </c>
      <c r="U45" s="90" t="s">
        <v>602</v>
      </c>
      <c r="V45" s="91"/>
      <c r="W45" s="90"/>
      <c r="X45" s="92">
        <v>45</v>
      </c>
      <c r="Y45" s="30"/>
      <c r="Z45" s="30"/>
      <c r="AA45" s="30"/>
      <c r="AB45" s="91"/>
      <c r="AC45" s="91"/>
      <c r="AD45" s="91"/>
      <c r="AE45" s="90"/>
      <c r="AF45" s="90"/>
      <c r="AG45" s="30"/>
      <c r="AH45" s="90">
        <v>0</v>
      </c>
      <c r="AI45" s="90">
        <v>1</v>
      </c>
      <c r="AJ45" s="90">
        <v>0</v>
      </c>
      <c r="AK45" s="92">
        <v>2025</v>
      </c>
      <c r="AL45" s="90" t="s">
        <v>230</v>
      </c>
      <c r="AM45" s="92"/>
      <c r="AN45" s="90"/>
      <c r="AO45" s="90">
        <v>0</v>
      </c>
      <c r="AP45" s="90" t="s">
        <v>80</v>
      </c>
      <c r="AQ45" s="30">
        <v>17.8</v>
      </c>
    </row>
    <row r="46" spans="1:43" ht="15" customHeight="1" outlineLevel="1" x14ac:dyDescent="0.3">
      <c r="A46" s="101" t="s">
        <v>820</v>
      </c>
      <c r="B46" s="90" t="s">
        <v>137</v>
      </c>
      <c r="C46" s="91">
        <v>45438</v>
      </c>
      <c r="D46" s="91"/>
      <c r="E46" s="92">
        <v>0</v>
      </c>
      <c r="F46" s="90"/>
      <c r="G46" s="90"/>
      <c r="H46" s="90"/>
      <c r="I46" s="90"/>
      <c r="J46" s="91">
        <v>46000</v>
      </c>
      <c r="K46" s="90" t="s">
        <v>131</v>
      </c>
      <c r="L46" s="90" t="s">
        <v>125</v>
      </c>
      <c r="M46" s="90"/>
      <c r="N46" s="90"/>
      <c r="O46" s="90" t="s">
        <v>1517</v>
      </c>
      <c r="P46" s="90" t="s">
        <v>596</v>
      </c>
      <c r="Q46" s="90" t="s">
        <v>137</v>
      </c>
      <c r="R46" s="92">
        <v>2</v>
      </c>
      <c r="S46" s="30">
        <v>21</v>
      </c>
      <c r="T46" s="91">
        <v>46031</v>
      </c>
      <c r="U46" s="90" t="s">
        <v>582</v>
      </c>
      <c r="V46" s="91"/>
      <c r="W46" s="90"/>
      <c r="X46" s="92">
        <v>45</v>
      </c>
      <c r="Y46" s="30"/>
      <c r="Z46" s="30"/>
      <c r="AA46" s="30"/>
      <c r="AB46" s="91"/>
      <c r="AC46" s="91"/>
      <c r="AD46" s="91"/>
      <c r="AE46" s="90"/>
      <c r="AF46" s="90"/>
      <c r="AG46" s="30"/>
      <c r="AH46" s="90">
        <v>1</v>
      </c>
      <c r="AI46" s="90">
        <v>1</v>
      </c>
      <c r="AJ46" s="90">
        <v>0</v>
      </c>
      <c r="AK46" s="92">
        <v>2025</v>
      </c>
      <c r="AL46" s="90" t="s">
        <v>231</v>
      </c>
      <c r="AM46" s="92"/>
      <c r="AN46" s="90"/>
      <c r="AO46" s="90">
        <v>1</v>
      </c>
      <c r="AP46" s="90" t="s">
        <v>80</v>
      </c>
      <c r="AQ46" s="30">
        <v>18.5</v>
      </c>
    </row>
    <row r="47" spans="1:43" ht="15" customHeight="1" x14ac:dyDescent="0.3">
      <c r="A47" s="101" t="s">
        <v>821</v>
      </c>
      <c r="B47" s="90" t="s">
        <v>137</v>
      </c>
      <c r="C47" s="91">
        <v>45439</v>
      </c>
      <c r="D47" s="91"/>
      <c r="E47" s="92">
        <v>0</v>
      </c>
      <c r="F47" s="90"/>
      <c r="G47" s="90"/>
      <c r="H47" s="90"/>
      <c r="I47" s="90"/>
      <c r="J47" s="91">
        <v>45881</v>
      </c>
      <c r="K47" s="90" t="s">
        <v>131</v>
      </c>
      <c r="L47" s="90" t="s">
        <v>125</v>
      </c>
      <c r="M47" s="90"/>
      <c r="N47" s="90"/>
      <c r="O47" s="90" t="s">
        <v>1517</v>
      </c>
      <c r="P47" s="90" t="s">
        <v>596</v>
      </c>
      <c r="Q47" s="90" t="s">
        <v>137</v>
      </c>
      <c r="R47" s="92">
        <v>1</v>
      </c>
      <c r="S47" s="30"/>
      <c r="T47" s="91">
        <v>45934</v>
      </c>
      <c r="U47" s="90" t="s">
        <v>602</v>
      </c>
      <c r="V47" s="91"/>
      <c r="W47" s="90"/>
      <c r="X47" s="92">
        <v>45</v>
      </c>
      <c r="Y47" s="30"/>
      <c r="Z47" s="30"/>
      <c r="AA47" s="30"/>
      <c r="AB47" s="91"/>
      <c r="AC47" s="91"/>
      <c r="AD47" s="91"/>
      <c r="AE47" s="90"/>
      <c r="AF47" s="90"/>
      <c r="AG47" s="30"/>
      <c r="AH47" s="90">
        <v>0</v>
      </c>
      <c r="AI47" s="90">
        <v>1</v>
      </c>
      <c r="AJ47" s="90">
        <v>0</v>
      </c>
      <c r="AK47" s="92">
        <v>2025</v>
      </c>
      <c r="AL47" s="90" t="s">
        <v>227</v>
      </c>
      <c r="AM47" s="92"/>
      <c r="AN47" s="90"/>
      <c r="AO47" s="90">
        <v>0</v>
      </c>
      <c r="AP47" s="90" t="s">
        <v>80</v>
      </c>
      <c r="AQ47" s="30">
        <v>14.5</v>
      </c>
    </row>
    <row r="48" spans="1:43" ht="15" customHeight="1" outlineLevel="1" x14ac:dyDescent="0.3">
      <c r="A48" s="101" t="s">
        <v>821</v>
      </c>
      <c r="B48" s="90" t="s">
        <v>137</v>
      </c>
      <c r="C48" s="91">
        <v>45439</v>
      </c>
      <c r="D48" s="91"/>
      <c r="E48" s="92">
        <v>0</v>
      </c>
      <c r="F48" s="90"/>
      <c r="G48" s="90"/>
      <c r="H48" s="90"/>
      <c r="I48" s="90"/>
      <c r="J48" s="91">
        <v>45934</v>
      </c>
      <c r="K48" s="90" t="s">
        <v>131</v>
      </c>
      <c r="L48" s="90" t="s">
        <v>132</v>
      </c>
      <c r="M48" s="90" t="s">
        <v>593</v>
      </c>
      <c r="N48" s="90" t="s">
        <v>1531</v>
      </c>
      <c r="O48" s="90" t="s">
        <v>157</v>
      </c>
      <c r="P48" s="90" t="s">
        <v>596</v>
      </c>
      <c r="Q48" s="90" t="s">
        <v>130</v>
      </c>
      <c r="R48" s="92">
        <v>2</v>
      </c>
      <c r="S48" s="30">
        <v>53</v>
      </c>
      <c r="T48" s="91">
        <v>45979</v>
      </c>
      <c r="U48" s="90" t="s">
        <v>602</v>
      </c>
      <c r="V48" s="91"/>
      <c r="W48" s="90"/>
      <c r="X48" s="92">
        <v>45</v>
      </c>
      <c r="Y48" s="30"/>
      <c r="Z48" s="30"/>
      <c r="AA48" s="30"/>
      <c r="AB48" s="91"/>
      <c r="AC48" s="91"/>
      <c r="AD48" s="91"/>
      <c r="AE48" s="90"/>
      <c r="AF48" s="90"/>
      <c r="AG48" s="30"/>
      <c r="AH48" s="90">
        <v>0</v>
      </c>
      <c r="AI48" s="90">
        <v>1</v>
      </c>
      <c r="AJ48" s="90">
        <v>0</v>
      </c>
      <c r="AK48" s="92">
        <v>2025</v>
      </c>
      <c r="AL48" s="90" t="s">
        <v>229</v>
      </c>
      <c r="AM48" s="92"/>
      <c r="AN48" s="90"/>
      <c r="AO48" s="90">
        <v>0</v>
      </c>
      <c r="AP48" s="90" t="s">
        <v>80</v>
      </c>
      <c r="AQ48" s="30">
        <v>16.3</v>
      </c>
    </row>
    <row r="49" spans="1:43" ht="15" customHeight="1" outlineLevel="1" x14ac:dyDescent="0.3">
      <c r="A49" s="101" t="s">
        <v>821</v>
      </c>
      <c r="B49" s="90" t="s">
        <v>137</v>
      </c>
      <c r="C49" s="91">
        <v>45439</v>
      </c>
      <c r="D49" s="91"/>
      <c r="E49" s="92">
        <v>0</v>
      </c>
      <c r="F49" s="90"/>
      <c r="G49" s="90"/>
      <c r="H49" s="90"/>
      <c r="I49" s="90"/>
      <c r="J49" s="91">
        <v>45979</v>
      </c>
      <c r="K49" s="90" t="s">
        <v>131</v>
      </c>
      <c r="L49" s="90" t="s">
        <v>132</v>
      </c>
      <c r="M49" s="90" t="s">
        <v>593</v>
      </c>
      <c r="N49" s="90" t="s">
        <v>138</v>
      </c>
      <c r="O49" s="90" t="s">
        <v>1517</v>
      </c>
      <c r="P49" s="90" t="s">
        <v>596</v>
      </c>
      <c r="Q49" s="90" t="s">
        <v>137</v>
      </c>
      <c r="R49" s="92">
        <v>3</v>
      </c>
      <c r="S49" s="30">
        <v>45</v>
      </c>
      <c r="T49" s="91">
        <v>46042</v>
      </c>
      <c r="U49" s="90" t="s">
        <v>602</v>
      </c>
      <c r="V49" s="91"/>
      <c r="W49" s="90"/>
      <c r="X49" s="92">
        <v>45</v>
      </c>
      <c r="Y49" s="30"/>
      <c r="Z49" s="30"/>
      <c r="AA49" s="30"/>
      <c r="AB49" s="91"/>
      <c r="AC49" s="91"/>
      <c r="AD49" s="91"/>
      <c r="AE49" s="90"/>
      <c r="AF49" s="90"/>
      <c r="AG49" s="30"/>
      <c r="AH49" s="90">
        <v>0</v>
      </c>
      <c r="AI49" s="90">
        <v>1</v>
      </c>
      <c r="AJ49" s="90">
        <v>0</v>
      </c>
      <c r="AK49" s="92">
        <v>2025</v>
      </c>
      <c r="AL49" s="90" t="s">
        <v>230</v>
      </c>
      <c r="AM49" s="92"/>
      <c r="AN49" s="90"/>
      <c r="AO49" s="90">
        <v>0</v>
      </c>
      <c r="AP49" s="90" t="s">
        <v>80</v>
      </c>
      <c r="AQ49" s="30">
        <v>17.8</v>
      </c>
    </row>
    <row r="50" spans="1:43" ht="15" customHeight="1" x14ac:dyDescent="0.3">
      <c r="A50" s="101" t="s">
        <v>821</v>
      </c>
      <c r="B50" s="90" t="s">
        <v>137</v>
      </c>
      <c r="C50" s="91">
        <v>45439</v>
      </c>
      <c r="D50" s="91"/>
      <c r="E50" s="92">
        <v>0</v>
      </c>
      <c r="F50" s="90"/>
      <c r="G50" s="90"/>
      <c r="H50" s="90"/>
      <c r="I50" s="90"/>
      <c r="J50" s="91">
        <v>46042</v>
      </c>
      <c r="K50" s="90" t="s">
        <v>131</v>
      </c>
      <c r="L50" s="90" t="s">
        <v>132</v>
      </c>
      <c r="M50" s="90" t="s">
        <v>593</v>
      </c>
      <c r="N50" s="90" t="s">
        <v>138</v>
      </c>
      <c r="O50" s="90" t="s">
        <v>1517</v>
      </c>
      <c r="P50" s="90" t="s">
        <v>596</v>
      </c>
      <c r="Q50" s="90" t="s">
        <v>137</v>
      </c>
      <c r="R50" s="92">
        <v>4</v>
      </c>
      <c r="S50" s="30">
        <v>63</v>
      </c>
      <c r="T50" s="91">
        <v>46079</v>
      </c>
      <c r="U50" s="90" t="s">
        <v>582</v>
      </c>
      <c r="V50" s="91"/>
      <c r="W50" s="90"/>
      <c r="X50" s="92">
        <v>45</v>
      </c>
      <c r="Y50" s="30"/>
      <c r="Z50" s="30"/>
      <c r="AA50" s="30"/>
      <c r="AB50" s="91"/>
      <c r="AC50" s="91"/>
      <c r="AD50" s="91"/>
      <c r="AE50" s="90"/>
      <c r="AF50" s="90"/>
      <c r="AG50" s="30"/>
      <c r="AH50" s="90">
        <v>1</v>
      </c>
      <c r="AI50" s="90">
        <v>1</v>
      </c>
      <c r="AJ50" s="90">
        <v>0</v>
      </c>
      <c r="AK50" s="92">
        <v>2026</v>
      </c>
      <c r="AL50" s="90" t="s">
        <v>232</v>
      </c>
      <c r="AM50" s="92"/>
      <c r="AN50" s="90"/>
      <c r="AO50" s="90">
        <v>1</v>
      </c>
      <c r="AP50" s="90" t="s">
        <v>80</v>
      </c>
      <c r="AQ50" s="30">
        <v>19.8</v>
      </c>
    </row>
    <row r="51" spans="1:43" ht="15" customHeight="1" x14ac:dyDescent="0.3">
      <c r="A51" s="101" t="s">
        <v>610</v>
      </c>
      <c r="B51" s="90" t="s">
        <v>130</v>
      </c>
      <c r="C51" s="91">
        <v>45350</v>
      </c>
      <c r="D51" s="91"/>
      <c r="E51" s="92">
        <v>0</v>
      </c>
      <c r="F51" s="90"/>
      <c r="G51" s="90"/>
      <c r="H51" s="90"/>
      <c r="I51" s="90"/>
      <c r="J51" s="91">
        <v>45800</v>
      </c>
      <c r="K51" s="90" t="s">
        <v>131</v>
      </c>
      <c r="L51" s="90" t="s">
        <v>125</v>
      </c>
      <c r="M51" s="90"/>
      <c r="N51" s="90"/>
      <c r="O51" s="90" t="s">
        <v>157</v>
      </c>
      <c r="P51" s="90" t="s">
        <v>596</v>
      </c>
      <c r="Q51" s="90" t="s">
        <v>130</v>
      </c>
      <c r="R51" s="92">
        <v>1</v>
      </c>
      <c r="S51" s="30"/>
      <c r="T51" s="91">
        <v>45836</v>
      </c>
      <c r="U51" s="90" t="s">
        <v>582</v>
      </c>
      <c r="V51" s="91"/>
      <c r="W51" s="90"/>
      <c r="X51" s="92">
        <v>45</v>
      </c>
      <c r="Y51" s="30"/>
      <c r="Z51" s="30"/>
      <c r="AA51" s="30">
        <v>4423</v>
      </c>
      <c r="AB51" s="91">
        <v>46083</v>
      </c>
      <c r="AC51" s="91"/>
      <c r="AD51" s="91"/>
      <c r="AE51" s="90"/>
      <c r="AF51" s="90"/>
      <c r="AG51" s="30"/>
      <c r="AH51" s="90">
        <v>1</v>
      </c>
      <c r="AI51" s="90">
        <v>1</v>
      </c>
      <c r="AJ51" s="90">
        <v>0</v>
      </c>
      <c r="AK51" s="92">
        <v>2025</v>
      </c>
      <c r="AL51" s="90" t="s">
        <v>225</v>
      </c>
      <c r="AM51" s="92"/>
      <c r="AN51" s="90"/>
      <c r="AO51" s="90">
        <v>0</v>
      </c>
      <c r="AP51" s="90" t="s">
        <v>80</v>
      </c>
      <c r="AQ51" s="30">
        <v>14.8</v>
      </c>
    </row>
    <row r="52" spans="1:43" ht="15" customHeight="1" outlineLevel="1" x14ac:dyDescent="0.3">
      <c r="A52" s="101" t="s">
        <v>610</v>
      </c>
      <c r="B52" s="90" t="s">
        <v>130</v>
      </c>
      <c r="C52" s="91">
        <v>45350</v>
      </c>
      <c r="D52" s="91">
        <v>46083</v>
      </c>
      <c r="E52" s="92">
        <v>1</v>
      </c>
      <c r="F52" s="90" t="s">
        <v>276</v>
      </c>
      <c r="G52" s="90" t="s">
        <v>601</v>
      </c>
      <c r="H52" s="90" t="s">
        <v>279</v>
      </c>
      <c r="I52" s="90">
        <v>0</v>
      </c>
      <c r="J52" s="91">
        <v>46124</v>
      </c>
      <c r="K52" s="90" t="s">
        <v>131</v>
      </c>
      <c r="L52" s="90" t="s">
        <v>125</v>
      </c>
      <c r="M52" s="90"/>
      <c r="N52" s="90" t="s">
        <v>133</v>
      </c>
      <c r="O52" s="90" t="s">
        <v>154</v>
      </c>
      <c r="P52" s="90" t="s">
        <v>596</v>
      </c>
      <c r="Q52" s="90" t="s">
        <v>137</v>
      </c>
      <c r="R52" s="92">
        <v>1</v>
      </c>
      <c r="S52" s="30"/>
      <c r="T52" s="91">
        <v>46164</v>
      </c>
      <c r="U52" s="90" t="s">
        <v>602</v>
      </c>
      <c r="V52" s="91"/>
      <c r="W52" s="90"/>
      <c r="X52" s="92">
        <v>45</v>
      </c>
      <c r="Y52" s="30"/>
      <c r="Z52" s="30">
        <v>4423</v>
      </c>
      <c r="AA52" s="30">
        <v>4423</v>
      </c>
      <c r="AB52" s="91">
        <v>46083</v>
      </c>
      <c r="AC52" s="91"/>
      <c r="AD52" s="91"/>
      <c r="AE52" s="90"/>
      <c r="AF52" s="90"/>
      <c r="AG52" s="30"/>
      <c r="AH52" s="90">
        <v>0</v>
      </c>
      <c r="AI52" s="90">
        <v>1</v>
      </c>
      <c r="AJ52" s="90">
        <v>0</v>
      </c>
      <c r="AK52" s="92">
        <v>2026</v>
      </c>
      <c r="AL52" s="90" t="s">
        <v>235</v>
      </c>
      <c r="AM52" s="92">
        <v>41</v>
      </c>
      <c r="AN52" s="90" t="s">
        <v>128</v>
      </c>
      <c r="AO52" s="90">
        <v>0</v>
      </c>
      <c r="AP52" s="90" t="s">
        <v>79</v>
      </c>
      <c r="AQ52" s="30">
        <v>25.5</v>
      </c>
    </row>
    <row r="53" spans="1:43" ht="15" customHeight="1" x14ac:dyDescent="0.3">
      <c r="A53" s="101" t="s">
        <v>610</v>
      </c>
      <c r="B53" s="90" t="s">
        <v>130</v>
      </c>
      <c r="C53" s="91">
        <v>45350</v>
      </c>
      <c r="D53" s="91">
        <v>46083</v>
      </c>
      <c r="E53" s="92">
        <v>1</v>
      </c>
      <c r="F53" s="90" t="s">
        <v>276</v>
      </c>
      <c r="G53" s="90" t="s">
        <v>601</v>
      </c>
      <c r="H53" s="90" t="s">
        <v>279</v>
      </c>
      <c r="I53" s="90">
        <v>0</v>
      </c>
      <c r="J53" s="91">
        <v>46175</v>
      </c>
      <c r="K53" s="90" t="s">
        <v>131</v>
      </c>
      <c r="L53" s="90" t="s">
        <v>132</v>
      </c>
      <c r="M53" s="90" t="s">
        <v>593</v>
      </c>
      <c r="N53" s="90" t="s">
        <v>133</v>
      </c>
      <c r="O53" s="90" t="s">
        <v>159</v>
      </c>
      <c r="P53" s="90" t="s">
        <v>596</v>
      </c>
      <c r="Q53" s="90" t="s">
        <v>137</v>
      </c>
      <c r="R53" s="92">
        <v>2</v>
      </c>
      <c r="S53" s="30">
        <v>51</v>
      </c>
      <c r="T53" s="91">
        <v>46185</v>
      </c>
      <c r="U53" s="90" t="s">
        <v>602</v>
      </c>
      <c r="V53" s="91"/>
      <c r="W53" s="90"/>
      <c r="X53" s="92">
        <v>45</v>
      </c>
      <c r="Y53" s="30"/>
      <c r="Z53" s="30">
        <v>4423</v>
      </c>
      <c r="AA53" s="30">
        <v>4423</v>
      </c>
      <c r="AB53" s="91">
        <v>46083</v>
      </c>
      <c r="AC53" s="91"/>
      <c r="AD53" s="91"/>
      <c r="AE53" s="90"/>
      <c r="AF53" s="90"/>
      <c r="AG53" s="30"/>
      <c r="AH53" s="90">
        <v>0</v>
      </c>
      <c r="AI53" s="90">
        <v>1</v>
      </c>
      <c r="AJ53" s="90">
        <v>0</v>
      </c>
      <c r="AK53" s="92">
        <v>2026</v>
      </c>
      <c r="AL53" s="90" t="s">
        <v>237</v>
      </c>
      <c r="AM53" s="92">
        <v>92</v>
      </c>
      <c r="AN53" s="90" t="s">
        <v>145</v>
      </c>
      <c r="AO53" s="90">
        <v>0</v>
      </c>
      <c r="AP53" s="90" t="s">
        <v>79</v>
      </c>
      <c r="AQ53" s="30">
        <v>27.1</v>
      </c>
    </row>
    <row r="54" spans="1:43" ht="15" customHeight="1" x14ac:dyDescent="0.3">
      <c r="A54" s="101" t="s">
        <v>610</v>
      </c>
      <c r="B54" s="90" t="s">
        <v>130</v>
      </c>
      <c r="C54" s="91">
        <v>45350</v>
      </c>
      <c r="D54" s="91">
        <v>46083</v>
      </c>
      <c r="E54" s="92">
        <v>1</v>
      </c>
      <c r="F54" s="90" t="s">
        <v>276</v>
      </c>
      <c r="G54" s="90" t="s">
        <v>601</v>
      </c>
      <c r="H54" s="90" t="s">
        <v>279</v>
      </c>
      <c r="I54" s="90">
        <v>0</v>
      </c>
      <c r="J54" s="91">
        <v>46185</v>
      </c>
      <c r="K54" s="90" t="s">
        <v>131</v>
      </c>
      <c r="L54" s="90" t="s">
        <v>125</v>
      </c>
      <c r="M54" s="90"/>
      <c r="N54" s="90" t="s">
        <v>133</v>
      </c>
      <c r="O54" s="90" t="s">
        <v>159</v>
      </c>
      <c r="P54" s="90" t="s">
        <v>596</v>
      </c>
      <c r="Q54" s="90" t="s">
        <v>137</v>
      </c>
      <c r="R54" s="92">
        <v>3</v>
      </c>
      <c r="S54" s="30">
        <v>10</v>
      </c>
      <c r="T54" s="91">
        <v>46192</v>
      </c>
      <c r="U54" s="90" t="s">
        <v>602</v>
      </c>
      <c r="V54" s="91"/>
      <c r="W54" s="90"/>
      <c r="X54" s="92">
        <v>45</v>
      </c>
      <c r="Y54" s="30"/>
      <c r="Z54" s="30">
        <v>4423</v>
      </c>
      <c r="AA54" s="30">
        <v>4423</v>
      </c>
      <c r="AB54" s="91">
        <v>46083</v>
      </c>
      <c r="AC54" s="91"/>
      <c r="AD54" s="91"/>
      <c r="AE54" s="90"/>
      <c r="AF54" s="90"/>
      <c r="AG54" s="30"/>
      <c r="AH54" s="90">
        <v>0</v>
      </c>
      <c r="AI54" s="90">
        <v>1</v>
      </c>
      <c r="AJ54" s="90">
        <v>0</v>
      </c>
      <c r="AK54" s="92">
        <v>2026</v>
      </c>
      <c r="AL54" s="90" t="s">
        <v>237</v>
      </c>
      <c r="AM54" s="92">
        <v>102</v>
      </c>
      <c r="AN54" s="90" t="s">
        <v>145</v>
      </c>
      <c r="AO54" s="90">
        <v>0</v>
      </c>
      <c r="AP54" s="90" t="s">
        <v>79</v>
      </c>
      <c r="AQ54" s="30">
        <v>27.5</v>
      </c>
    </row>
    <row r="55" spans="1:43" ht="15" customHeight="1" outlineLevel="1" x14ac:dyDescent="0.3">
      <c r="A55" s="101" t="s">
        <v>610</v>
      </c>
      <c r="B55" s="90" t="s">
        <v>130</v>
      </c>
      <c r="C55" s="91">
        <v>45350</v>
      </c>
      <c r="D55" s="91">
        <v>46083</v>
      </c>
      <c r="E55" s="92">
        <v>1</v>
      </c>
      <c r="F55" s="90" t="s">
        <v>276</v>
      </c>
      <c r="G55" s="90" t="s">
        <v>601</v>
      </c>
      <c r="H55" s="90" t="s">
        <v>279</v>
      </c>
      <c r="I55" s="90">
        <v>0</v>
      </c>
      <c r="J55" s="91">
        <v>46192</v>
      </c>
      <c r="K55" s="90" t="s">
        <v>131</v>
      </c>
      <c r="L55" s="90" t="s">
        <v>125</v>
      </c>
      <c r="M55" s="90"/>
      <c r="N55" s="90" t="s">
        <v>133</v>
      </c>
      <c r="O55" s="90" t="s">
        <v>1513</v>
      </c>
      <c r="P55" s="90" t="s">
        <v>596</v>
      </c>
      <c r="Q55" s="90" t="s">
        <v>137</v>
      </c>
      <c r="R55" s="92">
        <v>4</v>
      </c>
      <c r="S55" s="30">
        <v>7</v>
      </c>
      <c r="T55" s="91"/>
      <c r="U55" s="90" t="s">
        <v>611</v>
      </c>
      <c r="V55" s="91"/>
      <c r="W55" s="90"/>
      <c r="X55" s="92">
        <v>45</v>
      </c>
      <c r="Y55" s="30"/>
      <c r="Z55" s="30">
        <v>4423</v>
      </c>
      <c r="AA55" s="30">
        <v>4423</v>
      </c>
      <c r="AB55" s="91">
        <v>46083</v>
      </c>
      <c r="AC55" s="91"/>
      <c r="AD55" s="91"/>
      <c r="AE55" s="90"/>
      <c r="AF55" s="90"/>
      <c r="AG55" s="30"/>
      <c r="AH55" s="90">
        <v>0</v>
      </c>
      <c r="AI55" s="90">
        <v>0</v>
      </c>
      <c r="AJ55" s="90">
        <v>0</v>
      </c>
      <c r="AK55" s="92">
        <v>2026</v>
      </c>
      <c r="AL55" s="90" t="s">
        <v>237</v>
      </c>
      <c r="AM55" s="92">
        <v>109</v>
      </c>
      <c r="AN55" s="90" t="s">
        <v>150</v>
      </c>
      <c r="AO55" s="90">
        <v>1</v>
      </c>
      <c r="AP55" s="90" t="s">
        <v>79</v>
      </c>
      <c r="AQ55" s="30">
        <v>27.7</v>
      </c>
    </row>
    <row r="56" spans="1:43" ht="15" customHeight="1" x14ac:dyDescent="0.3">
      <c r="A56" s="101" t="s">
        <v>825</v>
      </c>
      <c r="B56" s="90" t="s">
        <v>137</v>
      </c>
      <c r="C56" s="91">
        <v>45507</v>
      </c>
      <c r="D56" s="91"/>
      <c r="E56" s="92">
        <v>0</v>
      </c>
      <c r="F56" s="90"/>
      <c r="G56" s="90"/>
      <c r="H56" s="90"/>
      <c r="I56" s="90"/>
      <c r="J56" s="91">
        <v>45979</v>
      </c>
      <c r="K56" s="90" t="s">
        <v>131</v>
      </c>
      <c r="L56" s="90" t="s">
        <v>132</v>
      </c>
      <c r="M56" s="90" t="s">
        <v>593</v>
      </c>
      <c r="N56" s="90" t="s">
        <v>138</v>
      </c>
      <c r="O56" s="90" t="s">
        <v>1517</v>
      </c>
      <c r="P56" s="90" t="s">
        <v>596</v>
      </c>
      <c r="Q56" s="90" t="s">
        <v>137</v>
      </c>
      <c r="R56" s="92">
        <v>1</v>
      </c>
      <c r="S56" s="30"/>
      <c r="T56" s="91">
        <v>46006</v>
      </c>
      <c r="U56" s="90" t="s">
        <v>602</v>
      </c>
      <c r="V56" s="91"/>
      <c r="W56" s="90"/>
      <c r="X56" s="92">
        <v>45</v>
      </c>
      <c r="Y56" s="30"/>
      <c r="Z56" s="30"/>
      <c r="AA56" s="30"/>
      <c r="AB56" s="91"/>
      <c r="AC56" s="91"/>
      <c r="AD56" s="91"/>
      <c r="AE56" s="90"/>
      <c r="AF56" s="90"/>
      <c r="AG56" s="30"/>
      <c r="AH56" s="90">
        <v>0</v>
      </c>
      <c r="AI56" s="90">
        <v>1</v>
      </c>
      <c r="AJ56" s="90">
        <v>0</v>
      </c>
      <c r="AK56" s="92">
        <v>2025</v>
      </c>
      <c r="AL56" s="90" t="s">
        <v>230</v>
      </c>
      <c r="AM56" s="92"/>
      <c r="AN56" s="90"/>
      <c r="AO56" s="90">
        <v>0</v>
      </c>
      <c r="AP56" s="90" t="s">
        <v>80</v>
      </c>
      <c r="AQ56" s="30">
        <v>15.5</v>
      </c>
    </row>
    <row r="57" spans="1:43" ht="15" customHeight="1" outlineLevel="1" x14ac:dyDescent="0.3">
      <c r="A57" s="101" t="s">
        <v>825</v>
      </c>
      <c r="B57" s="90" t="s">
        <v>137</v>
      </c>
      <c r="C57" s="91">
        <v>45507</v>
      </c>
      <c r="D57" s="91"/>
      <c r="E57" s="92">
        <v>0</v>
      </c>
      <c r="F57" s="90"/>
      <c r="G57" s="90"/>
      <c r="H57" s="90"/>
      <c r="I57" s="90"/>
      <c r="J57" s="91">
        <v>46006</v>
      </c>
      <c r="K57" s="90" t="s">
        <v>131</v>
      </c>
      <c r="L57" s="90" t="s">
        <v>125</v>
      </c>
      <c r="M57" s="90"/>
      <c r="N57" s="90"/>
      <c r="O57" s="90" t="s">
        <v>1517</v>
      </c>
      <c r="P57" s="90" t="s">
        <v>596</v>
      </c>
      <c r="Q57" s="90" t="s">
        <v>137</v>
      </c>
      <c r="R57" s="92">
        <v>2</v>
      </c>
      <c r="S57" s="30">
        <v>27</v>
      </c>
      <c r="T57" s="91">
        <v>46052</v>
      </c>
      <c r="U57" s="90" t="s">
        <v>582</v>
      </c>
      <c r="V57" s="91"/>
      <c r="W57" s="90"/>
      <c r="X57" s="92">
        <v>45</v>
      </c>
      <c r="Y57" s="30"/>
      <c r="Z57" s="30"/>
      <c r="AA57" s="30"/>
      <c r="AB57" s="91"/>
      <c r="AC57" s="91"/>
      <c r="AD57" s="91"/>
      <c r="AE57" s="90"/>
      <c r="AF57" s="90"/>
      <c r="AG57" s="30"/>
      <c r="AH57" s="90">
        <v>1</v>
      </c>
      <c r="AI57" s="90">
        <v>1</v>
      </c>
      <c r="AJ57" s="90">
        <v>0</v>
      </c>
      <c r="AK57" s="92">
        <v>2025</v>
      </c>
      <c r="AL57" s="90" t="s">
        <v>231</v>
      </c>
      <c r="AM57" s="92"/>
      <c r="AN57" s="90"/>
      <c r="AO57" s="90">
        <v>1</v>
      </c>
      <c r="AP57" s="90" t="s">
        <v>80</v>
      </c>
      <c r="AQ57" s="30">
        <v>16.399999999999999</v>
      </c>
    </row>
    <row r="58" spans="1:43" ht="15" customHeight="1" outlineLevel="1" x14ac:dyDescent="0.3">
      <c r="A58" s="101" t="s">
        <v>826</v>
      </c>
      <c r="B58" s="90" t="s">
        <v>137</v>
      </c>
      <c r="C58" s="91">
        <v>45518</v>
      </c>
      <c r="D58" s="91"/>
      <c r="E58" s="92">
        <v>0</v>
      </c>
      <c r="F58" s="90"/>
      <c r="G58" s="90"/>
      <c r="H58" s="90"/>
      <c r="I58" s="90"/>
      <c r="J58" s="91">
        <v>45898</v>
      </c>
      <c r="K58" s="90" t="s">
        <v>131</v>
      </c>
      <c r="L58" s="90" t="s">
        <v>125</v>
      </c>
      <c r="M58" s="90"/>
      <c r="N58" s="90"/>
      <c r="O58" s="90" t="s">
        <v>1517</v>
      </c>
      <c r="P58" s="90" t="s">
        <v>596</v>
      </c>
      <c r="Q58" s="90" t="s">
        <v>137</v>
      </c>
      <c r="R58" s="92">
        <v>1</v>
      </c>
      <c r="S58" s="30"/>
      <c r="T58" s="91">
        <v>45950</v>
      </c>
      <c r="U58" s="90" t="s">
        <v>602</v>
      </c>
      <c r="V58" s="91"/>
      <c r="W58" s="90"/>
      <c r="X58" s="92">
        <v>45</v>
      </c>
      <c r="Y58" s="30"/>
      <c r="Z58" s="30"/>
      <c r="AA58" s="30"/>
      <c r="AB58" s="91"/>
      <c r="AC58" s="91"/>
      <c r="AD58" s="91"/>
      <c r="AE58" s="90"/>
      <c r="AF58" s="90"/>
      <c r="AG58" s="30"/>
      <c r="AH58" s="90">
        <v>0</v>
      </c>
      <c r="AI58" s="90">
        <v>1</v>
      </c>
      <c r="AJ58" s="90">
        <v>0</v>
      </c>
      <c r="AK58" s="92">
        <v>2025</v>
      </c>
      <c r="AL58" s="90" t="s">
        <v>227</v>
      </c>
      <c r="AM58" s="92"/>
      <c r="AN58" s="90"/>
      <c r="AO58" s="90">
        <v>0</v>
      </c>
      <c r="AP58" s="90" t="s">
        <v>80</v>
      </c>
      <c r="AQ58" s="30">
        <v>12.5</v>
      </c>
    </row>
    <row r="59" spans="1:43" ht="15" customHeight="1" outlineLevel="1" x14ac:dyDescent="0.3">
      <c r="A59" s="101" t="s">
        <v>826</v>
      </c>
      <c r="B59" s="90" t="s">
        <v>137</v>
      </c>
      <c r="C59" s="91">
        <v>45518</v>
      </c>
      <c r="D59" s="91"/>
      <c r="E59" s="92">
        <v>0</v>
      </c>
      <c r="F59" s="90"/>
      <c r="G59" s="90"/>
      <c r="H59" s="90"/>
      <c r="I59" s="90"/>
      <c r="J59" s="91">
        <v>45950</v>
      </c>
      <c r="K59" s="90" t="s">
        <v>131</v>
      </c>
      <c r="L59" s="90" t="s">
        <v>132</v>
      </c>
      <c r="M59" s="90" t="s">
        <v>593</v>
      </c>
      <c r="N59" s="90" t="s">
        <v>138</v>
      </c>
      <c r="O59" s="90" t="s">
        <v>157</v>
      </c>
      <c r="P59" s="90" t="s">
        <v>596</v>
      </c>
      <c r="Q59" s="90" t="s">
        <v>130</v>
      </c>
      <c r="R59" s="92">
        <v>2</v>
      </c>
      <c r="S59" s="30">
        <v>52</v>
      </c>
      <c r="T59" s="91">
        <v>45995</v>
      </c>
      <c r="U59" s="90" t="s">
        <v>582</v>
      </c>
      <c r="V59" s="91"/>
      <c r="W59" s="90"/>
      <c r="X59" s="92">
        <v>45</v>
      </c>
      <c r="Y59" s="30"/>
      <c r="Z59" s="30"/>
      <c r="AA59" s="30"/>
      <c r="AB59" s="91"/>
      <c r="AC59" s="91"/>
      <c r="AD59" s="91"/>
      <c r="AE59" s="90"/>
      <c r="AF59" s="90"/>
      <c r="AG59" s="30"/>
      <c r="AH59" s="90">
        <v>1</v>
      </c>
      <c r="AI59" s="90">
        <v>1</v>
      </c>
      <c r="AJ59" s="90">
        <v>0</v>
      </c>
      <c r="AK59" s="92">
        <v>2025</v>
      </c>
      <c r="AL59" s="90" t="s">
        <v>229</v>
      </c>
      <c r="AM59" s="92"/>
      <c r="AN59" s="90"/>
      <c r="AO59" s="90">
        <v>1</v>
      </c>
      <c r="AP59" s="90" t="s">
        <v>80</v>
      </c>
      <c r="AQ59" s="30">
        <v>14.2</v>
      </c>
    </row>
    <row r="60" spans="1:43" ht="15" customHeight="1" x14ac:dyDescent="0.3">
      <c r="A60" s="101" t="s">
        <v>827</v>
      </c>
      <c r="B60" s="90" t="s">
        <v>137</v>
      </c>
      <c r="C60" s="91">
        <v>45520</v>
      </c>
      <c r="D60" s="91"/>
      <c r="E60" s="92">
        <v>0</v>
      </c>
      <c r="F60" s="90"/>
      <c r="G60" s="90"/>
      <c r="H60" s="90"/>
      <c r="I60" s="90"/>
      <c r="J60" s="91">
        <v>45979</v>
      </c>
      <c r="K60" s="90" t="s">
        <v>131</v>
      </c>
      <c r="L60" s="90" t="s">
        <v>132</v>
      </c>
      <c r="M60" s="90" t="s">
        <v>593</v>
      </c>
      <c r="N60" s="90" t="s">
        <v>138</v>
      </c>
      <c r="O60" s="90" t="s">
        <v>1517</v>
      </c>
      <c r="P60" s="90" t="s">
        <v>596</v>
      </c>
      <c r="Q60" s="90" t="s">
        <v>137</v>
      </c>
      <c r="R60" s="92">
        <v>1</v>
      </c>
      <c r="S60" s="30"/>
      <c r="T60" s="91">
        <v>46031</v>
      </c>
      <c r="U60" s="90" t="s">
        <v>582</v>
      </c>
      <c r="V60" s="91"/>
      <c r="W60" s="90"/>
      <c r="X60" s="92">
        <v>45</v>
      </c>
      <c r="Y60" s="30"/>
      <c r="Z60" s="30"/>
      <c r="AA60" s="30"/>
      <c r="AB60" s="91"/>
      <c r="AC60" s="91"/>
      <c r="AD60" s="91"/>
      <c r="AE60" s="90"/>
      <c r="AF60" s="90"/>
      <c r="AG60" s="30"/>
      <c r="AH60" s="90">
        <v>1</v>
      </c>
      <c r="AI60" s="90">
        <v>1</v>
      </c>
      <c r="AJ60" s="90">
        <v>0</v>
      </c>
      <c r="AK60" s="92">
        <v>2025</v>
      </c>
      <c r="AL60" s="90" t="s">
        <v>230</v>
      </c>
      <c r="AM60" s="92"/>
      <c r="AN60" s="90"/>
      <c r="AO60" s="90">
        <v>1</v>
      </c>
      <c r="AP60" s="90" t="s">
        <v>80</v>
      </c>
      <c r="AQ60" s="30">
        <v>15.1</v>
      </c>
    </row>
    <row r="61" spans="1:43" ht="15" customHeight="1" x14ac:dyDescent="0.3">
      <c r="A61" s="101" t="s">
        <v>828</v>
      </c>
      <c r="B61" s="90" t="s">
        <v>137</v>
      </c>
      <c r="C61" s="91">
        <v>45526</v>
      </c>
      <c r="D61" s="91"/>
      <c r="E61" s="92">
        <v>0</v>
      </c>
      <c r="F61" s="90"/>
      <c r="G61" s="90"/>
      <c r="H61" s="90"/>
      <c r="I61" s="90"/>
      <c r="J61" s="91">
        <v>45979</v>
      </c>
      <c r="K61" s="90" t="s">
        <v>131</v>
      </c>
      <c r="L61" s="90" t="s">
        <v>132</v>
      </c>
      <c r="M61" s="90" t="s">
        <v>593</v>
      </c>
      <c r="N61" s="90" t="s">
        <v>138</v>
      </c>
      <c r="O61" s="90" t="s">
        <v>1517</v>
      </c>
      <c r="P61" s="90" t="s">
        <v>596</v>
      </c>
      <c r="Q61" s="90" t="s">
        <v>137</v>
      </c>
      <c r="R61" s="92">
        <v>1</v>
      </c>
      <c r="S61" s="30"/>
      <c r="T61" s="91">
        <v>46000</v>
      </c>
      <c r="U61" s="90" t="s">
        <v>602</v>
      </c>
      <c r="V61" s="91"/>
      <c r="W61" s="90"/>
      <c r="X61" s="92">
        <v>45</v>
      </c>
      <c r="Y61" s="30"/>
      <c r="Z61" s="30"/>
      <c r="AA61" s="30"/>
      <c r="AB61" s="91"/>
      <c r="AC61" s="91"/>
      <c r="AD61" s="91"/>
      <c r="AE61" s="90"/>
      <c r="AF61" s="90"/>
      <c r="AG61" s="30"/>
      <c r="AH61" s="90">
        <v>0</v>
      </c>
      <c r="AI61" s="90">
        <v>1</v>
      </c>
      <c r="AJ61" s="90">
        <v>0</v>
      </c>
      <c r="AK61" s="92">
        <v>2025</v>
      </c>
      <c r="AL61" s="90" t="s">
        <v>230</v>
      </c>
      <c r="AM61" s="92"/>
      <c r="AN61" s="90"/>
      <c r="AO61" s="90">
        <v>0</v>
      </c>
      <c r="AP61" s="90" t="s">
        <v>80</v>
      </c>
      <c r="AQ61" s="30">
        <v>14.9</v>
      </c>
    </row>
    <row r="62" spans="1:43" ht="15" customHeight="1" x14ac:dyDescent="0.3">
      <c r="A62" s="101" t="s">
        <v>828</v>
      </c>
      <c r="B62" s="90" t="s">
        <v>137</v>
      </c>
      <c r="C62" s="91">
        <v>45526</v>
      </c>
      <c r="D62" s="91"/>
      <c r="E62" s="92">
        <v>0</v>
      </c>
      <c r="F62" s="90"/>
      <c r="G62" s="90"/>
      <c r="H62" s="90"/>
      <c r="I62" s="90"/>
      <c r="J62" s="91">
        <v>46000</v>
      </c>
      <c r="K62" s="90" t="s">
        <v>131</v>
      </c>
      <c r="L62" s="90" t="s">
        <v>125</v>
      </c>
      <c r="M62" s="90"/>
      <c r="N62" s="90"/>
      <c r="O62" s="90" t="s">
        <v>1517</v>
      </c>
      <c r="P62" s="90" t="s">
        <v>596</v>
      </c>
      <c r="Q62" s="90" t="s">
        <v>137</v>
      </c>
      <c r="R62" s="92">
        <v>2</v>
      </c>
      <c r="S62" s="30">
        <v>21</v>
      </c>
      <c r="T62" s="91">
        <v>46031</v>
      </c>
      <c r="U62" s="90" t="s">
        <v>582</v>
      </c>
      <c r="V62" s="91"/>
      <c r="W62" s="90"/>
      <c r="X62" s="92">
        <v>45</v>
      </c>
      <c r="Y62" s="30"/>
      <c r="Z62" s="30"/>
      <c r="AA62" s="30"/>
      <c r="AB62" s="91"/>
      <c r="AC62" s="91"/>
      <c r="AD62" s="91"/>
      <c r="AE62" s="90"/>
      <c r="AF62" s="90"/>
      <c r="AG62" s="30"/>
      <c r="AH62" s="90">
        <v>1</v>
      </c>
      <c r="AI62" s="90">
        <v>1</v>
      </c>
      <c r="AJ62" s="90">
        <v>0</v>
      </c>
      <c r="AK62" s="92">
        <v>2025</v>
      </c>
      <c r="AL62" s="90" t="s">
        <v>231</v>
      </c>
      <c r="AM62" s="92"/>
      <c r="AN62" s="90"/>
      <c r="AO62" s="90">
        <v>1</v>
      </c>
      <c r="AP62" s="90" t="s">
        <v>80</v>
      </c>
      <c r="AQ62" s="30">
        <v>15.6</v>
      </c>
    </row>
    <row r="63" spans="1:43" ht="15" customHeight="1" outlineLevel="1" x14ac:dyDescent="0.3">
      <c r="A63" s="101" t="s">
        <v>829</v>
      </c>
      <c r="B63" s="90" t="s">
        <v>137</v>
      </c>
      <c r="C63" s="91">
        <v>45528</v>
      </c>
      <c r="D63" s="91"/>
      <c r="E63" s="92">
        <v>0</v>
      </c>
      <c r="F63" s="90"/>
      <c r="G63" s="90"/>
      <c r="H63" s="90"/>
      <c r="I63" s="90"/>
      <c r="J63" s="91">
        <v>45979</v>
      </c>
      <c r="K63" s="90" t="s">
        <v>131</v>
      </c>
      <c r="L63" s="90" t="s">
        <v>132</v>
      </c>
      <c r="M63" s="90" t="s">
        <v>593</v>
      </c>
      <c r="N63" s="90" t="s">
        <v>138</v>
      </c>
      <c r="O63" s="90" t="s">
        <v>1517</v>
      </c>
      <c r="P63" s="90" t="s">
        <v>596</v>
      </c>
      <c r="Q63" s="90" t="s">
        <v>137</v>
      </c>
      <c r="R63" s="92">
        <v>1</v>
      </c>
      <c r="S63" s="30"/>
      <c r="T63" s="91">
        <v>46031</v>
      </c>
      <c r="U63" s="90" t="s">
        <v>582</v>
      </c>
      <c r="V63" s="91"/>
      <c r="W63" s="90"/>
      <c r="X63" s="92">
        <v>45</v>
      </c>
      <c r="Y63" s="30"/>
      <c r="Z63" s="30"/>
      <c r="AA63" s="30"/>
      <c r="AB63" s="91"/>
      <c r="AC63" s="91"/>
      <c r="AD63" s="91"/>
      <c r="AE63" s="90"/>
      <c r="AF63" s="90"/>
      <c r="AG63" s="30"/>
      <c r="AH63" s="90">
        <v>1</v>
      </c>
      <c r="AI63" s="90">
        <v>1</v>
      </c>
      <c r="AJ63" s="90">
        <v>0</v>
      </c>
      <c r="AK63" s="92">
        <v>2025</v>
      </c>
      <c r="AL63" s="90" t="s">
        <v>230</v>
      </c>
      <c r="AM63" s="92"/>
      <c r="AN63" s="90"/>
      <c r="AO63" s="90">
        <v>1</v>
      </c>
      <c r="AP63" s="90" t="s">
        <v>80</v>
      </c>
      <c r="AQ63" s="30">
        <v>14.8</v>
      </c>
    </row>
    <row r="64" spans="1:43" ht="15" customHeight="1" outlineLevel="1" x14ac:dyDescent="0.3">
      <c r="A64" s="101" t="s">
        <v>830</v>
      </c>
      <c r="B64" s="90" t="s">
        <v>137</v>
      </c>
      <c r="C64" s="91">
        <v>45531</v>
      </c>
      <c r="D64" s="91"/>
      <c r="E64" s="92">
        <v>0</v>
      </c>
      <c r="F64" s="90"/>
      <c r="G64" s="90"/>
      <c r="H64" s="90"/>
      <c r="I64" s="90"/>
      <c r="J64" s="91">
        <v>45979</v>
      </c>
      <c r="K64" s="90" t="s">
        <v>131</v>
      </c>
      <c r="L64" s="90" t="s">
        <v>132</v>
      </c>
      <c r="M64" s="90" t="s">
        <v>593</v>
      </c>
      <c r="N64" s="90" t="s">
        <v>138</v>
      </c>
      <c r="O64" s="90" t="s">
        <v>1517</v>
      </c>
      <c r="P64" s="90" t="s">
        <v>596</v>
      </c>
      <c r="Q64" s="90" t="s">
        <v>137</v>
      </c>
      <c r="R64" s="92">
        <v>1</v>
      </c>
      <c r="S64" s="30"/>
      <c r="T64" s="91">
        <v>45987</v>
      </c>
      <c r="U64" s="90" t="s">
        <v>602</v>
      </c>
      <c r="V64" s="91"/>
      <c r="W64" s="90"/>
      <c r="X64" s="92">
        <v>45</v>
      </c>
      <c r="Y64" s="30"/>
      <c r="Z64" s="30"/>
      <c r="AA64" s="30"/>
      <c r="AB64" s="91"/>
      <c r="AC64" s="91"/>
      <c r="AD64" s="91"/>
      <c r="AE64" s="90"/>
      <c r="AF64" s="90"/>
      <c r="AG64" s="30"/>
      <c r="AH64" s="90">
        <v>0</v>
      </c>
      <c r="AI64" s="90">
        <v>1</v>
      </c>
      <c r="AJ64" s="90">
        <v>0</v>
      </c>
      <c r="AK64" s="92">
        <v>2025</v>
      </c>
      <c r="AL64" s="90" t="s">
        <v>230</v>
      </c>
      <c r="AM64" s="92"/>
      <c r="AN64" s="90"/>
      <c r="AO64" s="90">
        <v>0</v>
      </c>
      <c r="AP64" s="90" t="s">
        <v>80</v>
      </c>
      <c r="AQ64" s="30">
        <v>14.7</v>
      </c>
    </row>
    <row r="65" spans="1:43" ht="15" customHeight="1" outlineLevel="1" x14ac:dyDescent="0.3">
      <c r="A65" s="101" t="s">
        <v>830</v>
      </c>
      <c r="B65" s="90" t="s">
        <v>137</v>
      </c>
      <c r="C65" s="91">
        <v>45531</v>
      </c>
      <c r="D65" s="91"/>
      <c r="E65" s="92">
        <v>0</v>
      </c>
      <c r="F65" s="90"/>
      <c r="G65" s="90"/>
      <c r="H65" s="90"/>
      <c r="I65" s="90"/>
      <c r="J65" s="91">
        <v>45987</v>
      </c>
      <c r="K65" s="90" t="s">
        <v>131</v>
      </c>
      <c r="L65" s="90" t="s">
        <v>125</v>
      </c>
      <c r="M65" s="90"/>
      <c r="N65" s="90"/>
      <c r="O65" s="90" t="s">
        <v>1517</v>
      </c>
      <c r="P65" s="90" t="s">
        <v>596</v>
      </c>
      <c r="Q65" s="90" t="s">
        <v>137</v>
      </c>
      <c r="R65" s="92">
        <v>2</v>
      </c>
      <c r="S65" s="30">
        <v>8</v>
      </c>
      <c r="T65" s="91">
        <v>46019</v>
      </c>
      <c r="U65" s="90" t="s">
        <v>602</v>
      </c>
      <c r="V65" s="91"/>
      <c r="W65" s="90"/>
      <c r="X65" s="92">
        <v>45</v>
      </c>
      <c r="Y65" s="30"/>
      <c r="Z65" s="30"/>
      <c r="AA65" s="30"/>
      <c r="AB65" s="91"/>
      <c r="AC65" s="91"/>
      <c r="AD65" s="91"/>
      <c r="AE65" s="90"/>
      <c r="AF65" s="90"/>
      <c r="AG65" s="30"/>
      <c r="AH65" s="90">
        <v>0</v>
      </c>
      <c r="AI65" s="90">
        <v>1</v>
      </c>
      <c r="AJ65" s="90">
        <v>0</v>
      </c>
      <c r="AK65" s="92">
        <v>2025</v>
      </c>
      <c r="AL65" s="90" t="s">
        <v>230</v>
      </c>
      <c r="AM65" s="92"/>
      <c r="AN65" s="90"/>
      <c r="AO65" s="90">
        <v>0</v>
      </c>
      <c r="AP65" s="90" t="s">
        <v>80</v>
      </c>
      <c r="AQ65" s="30">
        <v>15</v>
      </c>
    </row>
    <row r="66" spans="1:43" ht="15" customHeight="1" outlineLevel="1" x14ac:dyDescent="0.3">
      <c r="A66" s="101" t="s">
        <v>830</v>
      </c>
      <c r="B66" s="90" t="s">
        <v>137</v>
      </c>
      <c r="C66" s="91">
        <v>45531</v>
      </c>
      <c r="D66" s="91"/>
      <c r="E66" s="92">
        <v>0</v>
      </c>
      <c r="F66" s="90"/>
      <c r="G66" s="90"/>
      <c r="H66" s="90"/>
      <c r="I66" s="90"/>
      <c r="J66" s="91">
        <v>46019</v>
      </c>
      <c r="K66" s="90" t="s">
        <v>131</v>
      </c>
      <c r="L66" s="90" t="s">
        <v>125</v>
      </c>
      <c r="M66" s="90"/>
      <c r="N66" s="90"/>
      <c r="O66" s="90" t="s">
        <v>1517</v>
      </c>
      <c r="P66" s="90" t="s">
        <v>596</v>
      </c>
      <c r="Q66" s="90" t="s">
        <v>137</v>
      </c>
      <c r="R66" s="92">
        <v>3</v>
      </c>
      <c r="S66" s="30">
        <v>32</v>
      </c>
      <c r="T66" s="91">
        <v>46052</v>
      </c>
      <c r="U66" s="90" t="s">
        <v>582</v>
      </c>
      <c r="V66" s="91"/>
      <c r="W66" s="90"/>
      <c r="X66" s="92">
        <v>45</v>
      </c>
      <c r="Y66" s="30"/>
      <c r="Z66" s="30"/>
      <c r="AA66" s="30"/>
      <c r="AB66" s="91"/>
      <c r="AC66" s="91"/>
      <c r="AD66" s="91"/>
      <c r="AE66" s="90"/>
      <c r="AF66" s="90"/>
      <c r="AG66" s="30"/>
      <c r="AH66" s="90">
        <v>1</v>
      </c>
      <c r="AI66" s="90">
        <v>1</v>
      </c>
      <c r="AJ66" s="90">
        <v>0</v>
      </c>
      <c r="AK66" s="92">
        <v>2025</v>
      </c>
      <c r="AL66" s="90" t="s">
        <v>231</v>
      </c>
      <c r="AM66" s="92"/>
      <c r="AN66" s="90"/>
      <c r="AO66" s="90">
        <v>1</v>
      </c>
      <c r="AP66" s="90" t="s">
        <v>80</v>
      </c>
      <c r="AQ66" s="30">
        <v>16.100000000000001</v>
      </c>
    </row>
    <row r="67" spans="1:43" ht="15" customHeight="1" x14ac:dyDescent="0.3">
      <c r="A67" s="101" t="s">
        <v>612</v>
      </c>
      <c r="B67" s="90" t="s">
        <v>130</v>
      </c>
      <c r="C67" s="91">
        <v>45350</v>
      </c>
      <c r="D67" s="91"/>
      <c r="E67" s="92">
        <v>0</v>
      </c>
      <c r="F67" s="90"/>
      <c r="G67" s="90"/>
      <c r="H67" s="90"/>
      <c r="I67" s="90"/>
      <c r="J67" s="91">
        <v>45800</v>
      </c>
      <c r="K67" s="90" t="s">
        <v>131</v>
      </c>
      <c r="L67" s="90" t="s">
        <v>125</v>
      </c>
      <c r="M67" s="90"/>
      <c r="N67" s="90"/>
      <c r="O67" s="90" t="s">
        <v>157</v>
      </c>
      <c r="P67" s="90" t="s">
        <v>596</v>
      </c>
      <c r="Q67" s="90" t="s">
        <v>130</v>
      </c>
      <c r="R67" s="92">
        <v>1</v>
      </c>
      <c r="S67" s="30"/>
      <c r="T67" s="91">
        <v>45836</v>
      </c>
      <c r="U67" s="90" t="s">
        <v>582</v>
      </c>
      <c r="V67" s="91"/>
      <c r="W67" s="90"/>
      <c r="X67" s="92">
        <v>45</v>
      </c>
      <c r="Y67" s="30"/>
      <c r="Z67" s="30"/>
      <c r="AA67" s="30">
        <v>3466</v>
      </c>
      <c r="AB67" s="91">
        <v>46083</v>
      </c>
      <c r="AC67" s="91"/>
      <c r="AD67" s="91"/>
      <c r="AE67" s="90"/>
      <c r="AF67" s="90"/>
      <c r="AG67" s="30"/>
      <c r="AH67" s="90">
        <v>1</v>
      </c>
      <c r="AI67" s="90">
        <v>1</v>
      </c>
      <c r="AJ67" s="90">
        <v>0</v>
      </c>
      <c r="AK67" s="92">
        <v>2025</v>
      </c>
      <c r="AL67" s="90" t="s">
        <v>225</v>
      </c>
      <c r="AM67" s="92"/>
      <c r="AN67" s="90"/>
      <c r="AO67" s="90">
        <v>0</v>
      </c>
      <c r="AP67" s="90" t="s">
        <v>80</v>
      </c>
      <c r="AQ67" s="30">
        <v>14.8</v>
      </c>
    </row>
    <row r="68" spans="1:43" ht="15" customHeight="1" outlineLevel="1" x14ac:dyDescent="0.3">
      <c r="A68" s="101" t="s">
        <v>612</v>
      </c>
      <c r="B68" s="90" t="s">
        <v>130</v>
      </c>
      <c r="C68" s="91">
        <v>45350</v>
      </c>
      <c r="D68" s="91">
        <v>46083</v>
      </c>
      <c r="E68" s="92">
        <v>1</v>
      </c>
      <c r="F68" s="90" t="s">
        <v>276</v>
      </c>
      <c r="G68" s="90" t="s">
        <v>601</v>
      </c>
      <c r="H68" s="90" t="s">
        <v>278</v>
      </c>
      <c r="I68" s="90">
        <v>0</v>
      </c>
      <c r="J68" s="91">
        <v>46175</v>
      </c>
      <c r="K68" s="90" t="s">
        <v>131</v>
      </c>
      <c r="L68" s="90" t="s">
        <v>132</v>
      </c>
      <c r="M68" s="90" t="s">
        <v>593</v>
      </c>
      <c r="N68" s="90" t="s">
        <v>133</v>
      </c>
      <c r="O68" s="90" t="s">
        <v>159</v>
      </c>
      <c r="P68" s="90" t="s">
        <v>596</v>
      </c>
      <c r="Q68" s="90" t="s">
        <v>137</v>
      </c>
      <c r="R68" s="92">
        <v>1</v>
      </c>
      <c r="S68" s="30"/>
      <c r="T68" s="91">
        <v>46206</v>
      </c>
      <c r="U68" s="90" t="s">
        <v>602</v>
      </c>
      <c r="V68" s="91"/>
      <c r="W68" s="90"/>
      <c r="X68" s="92">
        <v>45</v>
      </c>
      <c r="Y68" s="30"/>
      <c r="Z68" s="30">
        <v>3466</v>
      </c>
      <c r="AA68" s="30">
        <v>3466</v>
      </c>
      <c r="AB68" s="91">
        <v>46083</v>
      </c>
      <c r="AC68" s="91"/>
      <c r="AD68" s="91"/>
      <c r="AE68" s="90"/>
      <c r="AF68" s="90"/>
      <c r="AG68" s="30"/>
      <c r="AH68" s="90">
        <v>0</v>
      </c>
      <c r="AI68" s="90">
        <v>1</v>
      </c>
      <c r="AJ68" s="90">
        <v>0</v>
      </c>
      <c r="AK68" s="92">
        <v>2026</v>
      </c>
      <c r="AL68" s="90" t="s">
        <v>237</v>
      </c>
      <c r="AM68" s="92">
        <v>92</v>
      </c>
      <c r="AN68" s="90" t="s">
        <v>145</v>
      </c>
      <c r="AO68" s="90">
        <v>1</v>
      </c>
      <c r="AP68" s="90" t="s">
        <v>79</v>
      </c>
      <c r="AQ68" s="30">
        <v>27.1</v>
      </c>
    </row>
    <row r="69" spans="1:43" ht="15" customHeight="1" x14ac:dyDescent="0.3">
      <c r="A69" s="101" t="s">
        <v>831</v>
      </c>
      <c r="B69" s="90" t="s">
        <v>137</v>
      </c>
      <c r="C69" s="91">
        <v>45543</v>
      </c>
      <c r="D69" s="91"/>
      <c r="E69" s="92">
        <v>0</v>
      </c>
      <c r="F69" s="90"/>
      <c r="G69" s="90"/>
      <c r="H69" s="90"/>
      <c r="I69" s="90"/>
      <c r="J69" s="91">
        <v>45947</v>
      </c>
      <c r="K69" s="90" t="s">
        <v>131</v>
      </c>
      <c r="L69" s="90" t="s">
        <v>125</v>
      </c>
      <c r="M69" s="90"/>
      <c r="N69" s="90"/>
      <c r="O69" s="90" t="s">
        <v>157</v>
      </c>
      <c r="P69" s="90" t="s">
        <v>596</v>
      </c>
      <c r="Q69" s="90" t="s">
        <v>130</v>
      </c>
      <c r="R69" s="92">
        <v>1</v>
      </c>
      <c r="S69" s="30"/>
      <c r="T69" s="91">
        <v>45987</v>
      </c>
      <c r="U69" s="90" t="s">
        <v>602</v>
      </c>
      <c r="V69" s="91"/>
      <c r="W69" s="90"/>
      <c r="X69" s="92">
        <v>45</v>
      </c>
      <c r="Y69" s="30"/>
      <c r="Z69" s="30"/>
      <c r="AA69" s="30"/>
      <c r="AB69" s="91"/>
      <c r="AC69" s="91"/>
      <c r="AD69" s="91"/>
      <c r="AE69" s="90"/>
      <c r="AF69" s="90"/>
      <c r="AG69" s="30"/>
      <c r="AH69" s="90">
        <v>0</v>
      </c>
      <c r="AI69" s="90">
        <v>1</v>
      </c>
      <c r="AJ69" s="90">
        <v>0</v>
      </c>
      <c r="AK69" s="92">
        <v>2025</v>
      </c>
      <c r="AL69" s="90" t="s">
        <v>229</v>
      </c>
      <c r="AM69" s="92"/>
      <c r="AN69" s="90"/>
      <c r="AO69" s="90">
        <v>0</v>
      </c>
      <c r="AP69" s="90" t="s">
        <v>80</v>
      </c>
      <c r="AQ69" s="30">
        <v>13.3</v>
      </c>
    </row>
    <row r="70" spans="1:43" ht="15" customHeight="1" x14ac:dyDescent="0.3">
      <c r="A70" s="101" t="s">
        <v>831</v>
      </c>
      <c r="B70" s="90" t="s">
        <v>137</v>
      </c>
      <c r="C70" s="91">
        <v>45543</v>
      </c>
      <c r="D70" s="91"/>
      <c r="E70" s="92">
        <v>0</v>
      </c>
      <c r="F70" s="90"/>
      <c r="G70" s="90"/>
      <c r="H70" s="90"/>
      <c r="I70" s="90"/>
      <c r="J70" s="91">
        <v>45987</v>
      </c>
      <c r="K70" s="90" t="s">
        <v>131</v>
      </c>
      <c r="L70" s="90" t="s">
        <v>125</v>
      </c>
      <c r="M70" s="90"/>
      <c r="N70" s="90"/>
      <c r="O70" s="90" t="s">
        <v>1517</v>
      </c>
      <c r="P70" s="90" t="s">
        <v>596</v>
      </c>
      <c r="Q70" s="90" t="s">
        <v>137</v>
      </c>
      <c r="R70" s="92">
        <v>2</v>
      </c>
      <c r="S70" s="30">
        <v>40</v>
      </c>
      <c r="T70" s="91">
        <v>46042</v>
      </c>
      <c r="U70" s="90" t="s">
        <v>602</v>
      </c>
      <c r="V70" s="91"/>
      <c r="W70" s="90"/>
      <c r="X70" s="92">
        <v>45</v>
      </c>
      <c r="Y70" s="30"/>
      <c r="Z70" s="30"/>
      <c r="AA70" s="30"/>
      <c r="AB70" s="91"/>
      <c r="AC70" s="91"/>
      <c r="AD70" s="91"/>
      <c r="AE70" s="90"/>
      <c r="AF70" s="90"/>
      <c r="AG70" s="30"/>
      <c r="AH70" s="90">
        <v>0</v>
      </c>
      <c r="AI70" s="90">
        <v>1</v>
      </c>
      <c r="AJ70" s="90">
        <v>0</v>
      </c>
      <c r="AK70" s="92">
        <v>2025</v>
      </c>
      <c r="AL70" s="90" t="s">
        <v>230</v>
      </c>
      <c r="AM70" s="92"/>
      <c r="AN70" s="90"/>
      <c r="AO70" s="90">
        <v>0</v>
      </c>
      <c r="AP70" s="90" t="s">
        <v>80</v>
      </c>
      <c r="AQ70" s="30">
        <v>14.6</v>
      </c>
    </row>
    <row r="71" spans="1:43" ht="15" customHeight="1" x14ac:dyDescent="0.3">
      <c r="A71" s="101" t="s">
        <v>831</v>
      </c>
      <c r="B71" s="90" t="s">
        <v>137</v>
      </c>
      <c r="C71" s="91">
        <v>45543</v>
      </c>
      <c r="D71" s="91"/>
      <c r="E71" s="92">
        <v>0</v>
      </c>
      <c r="F71" s="90"/>
      <c r="G71" s="90"/>
      <c r="H71" s="90"/>
      <c r="I71" s="90"/>
      <c r="J71" s="91">
        <v>46042</v>
      </c>
      <c r="K71" s="90" t="s">
        <v>131</v>
      </c>
      <c r="L71" s="90" t="s">
        <v>132</v>
      </c>
      <c r="M71" s="90" t="s">
        <v>593</v>
      </c>
      <c r="N71" s="90" t="s">
        <v>138</v>
      </c>
      <c r="O71" s="90" t="s">
        <v>1517</v>
      </c>
      <c r="P71" s="90" t="s">
        <v>596</v>
      </c>
      <c r="Q71" s="90" t="s">
        <v>137</v>
      </c>
      <c r="R71" s="92">
        <v>3</v>
      </c>
      <c r="S71" s="30">
        <v>55</v>
      </c>
      <c r="T71" s="91">
        <v>46079</v>
      </c>
      <c r="U71" s="90" t="s">
        <v>582</v>
      </c>
      <c r="V71" s="91"/>
      <c r="W71" s="90"/>
      <c r="X71" s="92">
        <v>45</v>
      </c>
      <c r="Y71" s="30"/>
      <c r="Z71" s="30"/>
      <c r="AA71" s="30"/>
      <c r="AB71" s="91"/>
      <c r="AC71" s="91"/>
      <c r="AD71" s="91"/>
      <c r="AE71" s="90"/>
      <c r="AF71" s="90"/>
      <c r="AG71" s="30"/>
      <c r="AH71" s="90">
        <v>1</v>
      </c>
      <c r="AI71" s="90">
        <v>1</v>
      </c>
      <c r="AJ71" s="90">
        <v>0</v>
      </c>
      <c r="AK71" s="92">
        <v>2026</v>
      </c>
      <c r="AL71" s="90" t="s">
        <v>232</v>
      </c>
      <c r="AM71" s="92"/>
      <c r="AN71" s="90"/>
      <c r="AO71" s="90">
        <v>1</v>
      </c>
      <c r="AP71" s="90" t="s">
        <v>80</v>
      </c>
      <c r="AQ71" s="30">
        <v>16.399999999999999</v>
      </c>
    </row>
    <row r="72" spans="1:43" ht="15" customHeight="1" x14ac:dyDescent="0.3">
      <c r="A72" s="101" t="s">
        <v>832</v>
      </c>
      <c r="B72" s="90" t="s">
        <v>137</v>
      </c>
      <c r="C72" s="91">
        <v>45580</v>
      </c>
      <c r="D72" s="91"/>
      <c r="E72" s="92">
        <v>0</v>
      </c>
      <c r="F72" s="90"/>
      <c r="G72" s="90"/>
      <c r="H72" s="90"/>
      <c r="I72" s="90"/>
      <c r="J72" s="91">
        <v>46042</v>
      </c>
      <c r="K72" s="90" t="s">
        <v>131</v>
      </c>
      <c r="L72" s="90" t="s">
        <v>132</v>
      </c>
      <c r="M72" s="90" t="s">
        <v>593</v>
      </c>
      <c r="N72" s="90" t="s">
        <v>138</v>
      </c>
      <c r="O72" s="90" t="s">
        <v>1517</v>
      </c>
      <c r="P72" s="90" t="s">
        <v>596</v>
      </c>
      <c r="Q72" s="90" t="s">
        <v>137</v>
      </c>
      <c r="R72" s="92">
        <v>1</v>
      </c>
      <c r="S72" s="30"/>
      <c r="T72" s="91">
        <v>46079</v>
      </c>
      <c r="U72" s="90" t="s">
        <v>582</v>
      </c>
      <c r="V72" s="91"/>
      <c r="W72" s="90"/>
      <c r="X72" s="92">
        <v>45</v>
      </c>
      <c r="Y72" s="30"/>
      <c r="Z72" s="30"/>
      <c r="AA72" s="30"/>
      <c r="AB72" s="91"/>
      <c r="AC72" s="91"/>
      <c r="AD72" s="91"/>
      <c r="AE72" s="90"/>
      <c r="AF72" s="90"/>
      <c r="AG72" s="30"/>
      <c r="AH72" s="90">
        <v>1</v>
      </c>
      <c r="AI72" s="90">
        <v>1</v>
      </c>
      <c r="AJ72" s="90">
        <v>0</v>
      </c>
      <c r="AK72" s="92">
        <v>2026</v>
      </c>
      <c r="AL72" s="90" t="s">
        <v>232</v>
      </c>
      <c r="AM72" s="92"/>
      <c r="AN72" s="90"/>
      <c r="AO72" s="90">
        <v>1</v>
      </c>
      <c r="AP72" s="90" t="s">
        <v>80</v>
      </c>
      <c r="AQ72" s="30">
        <v>15.2</v>
      </c>
    </row>
    <row r="73" spans="1:43" ht="15" customHeight="1" x14ac:dyDescent="0.3">
      <c r="A73" s="101" t="s">
        <v>833</v>
      </c>
      <c r="B73" s="90" t="s">
        <v>137</v>
      </c>
      <c r="C73" s="91">
        <v>45585</v>
      </c>
      <c r="D73" s="91"/>
      <c r="E73" s="92">
        <v>0</v>
      </c>
      <c r="F73" s="90"/>
      <c r="G73" s="90"/>
      <c r="H73" s="90"/>
      <c r="I73" s="90"/>
      <c r="J73" s="91">
        <v>46042</v>
      </c>
      <c r="K73" s="90" t="s">
        <v>131</v>
      </c>
      <c r="L73" s="90" t="s">
        <v>132</v>
      </c>
      <c r="M73" s="90" t="s">
        <v>593</v>
      </c>
      <c r="N73" s="90" t="s">
        <v>138</v>
      </c>
      <c r="O73" s="90" t="s">
        <v>1517</v>
      </c>
      <c r="P73" s="90" t="s">
        <v>596</v>
      </c>
      <c r="Q73" s="90" t="s">
        <v>137</v>
      </c>
      <c r="R73" s="92">
        <v>1</v>
      </c>
      <c r="S73" s="30"/>
      <c r="T73" s="91">
        <v>46079</v>
      </c>
      <c r="U73" s="90" t="s">
        <v>582</v>
      </c>
      <c r="V73" s="91"/>
      <c r="W73" s="90"/>
      <c r="X73" s="92">
        <v>45</v>
      </c>
      <c r="Y73" s="30"/>
      <c r="Z73" s="30"/>
      <c r="AA73" s="30"/>
      <c r="AB73" s="91"/>
      <c r="AC73" s="91"/>
      <c r="AD73" s="91"/>
      <c r="AE73" s="90"/>
      <c r="AF73" s="90"/>
      <c r="AG73" s="30"/>
      <c r="AH73" s="90">
        <v>1</v>
      </c>
      <c r="AI73" s="90">
        <v>1</v>
      </c>
      <c r="AJ73" s="90">
        <v>0</v>
      </c>
      <c r="AK73" s="92">
        <v>2026</v>
      </c>
      <c r="AL73" s="90" t="s">
        <v>232</v>
      </c>
      <c r="AM73" s="92"/>
      <c r="AN73" s="90"/>
      <c r="AO73" s="90">
        <v>1</v>
      </c>
      <c r="AP73" s="90" t="s">
        <v>80</v>
      </c>
      <c r="AQ73" s="30">
        <v>15</v>
      </c>
    </row>
    <row r="74" spans="1:43" ht="15" customHeight="1" x14ac:dyDescent="0.3">
      <c r="A74" s="101" t="s">
        <v>834</v>
      </c>
      <c r="B74" s="90" t="s">
        <v>137</v>
      </c>
      <c r="C74" s="91">
        <v>45590</v>
      </c>
      <c r="D74" s="91"/>
      <c r="E74" s="92">
        <v>0</v>
      </c>
      <c r="F74" s="90"/>
      <c r="G74" s="90"/>
      <c r="H74" s="90"/>
      <c r="I74" s="90"/>
      <c r="J74" s="91">
        <v>46091</v>
      </c>
      <c r="K74" s="90" t="s">
        <v>131</v>
      </c>
      <c r="L74" s="90" t="s">
        <v>132</v>
      </c>
      <c r="M74" s="90" t="s">
        <v>593</v>
      </c>
      <c r="N74" s="90"/>
      <c r="O74" s="90" t="s">
        <v>1517</v>
      </c>
      <c r="P74" s="90" t="s">
        <v>596</v>
      </c>
      <c r="Q74" s="90" t="s">
        <v>137</v>
      </c>
      <c r="R74" s="92">
        <v>1</v>
      </c>
      <c r="S74" s="30"/>
      <c r="T74" s="91">
        <v>46121</v>
      </c>
      <c r="U74" s="90" t="s">
        <v>582</v>
      </c>
      <c r="V74" s="91"/>
      <c r="W74" s="90"/>
      <c r="X74" s="92">
        <v>45</v>
      </c>
      <c r="Y74" s="30"/>
      <c r="Z74" s="30"/>
      <c r="AA74" s="30"/>
      <c r="AB74" s="91"/>
      <c r="AC74" s="91"/>
      <c r="AD74" s="91"/>
      <c r="AE74" s="90"/>
      <c r="AF74" s="90"/>
      <c r="AG74" s="30"/>
      <c r="AH74" s="90">
        <v>1</v>
      </c>
      <c r="AI74" s="90">
        <v>1</v>
      </c>
      <c r="AJ74" s="90">
        <v>0</v>
      </c>
      <c r="AK74" s="92">
        <v>2026</v>
      </c>
      <c r="AL74" s="90" t="s">
        <v>234</v>
      </c>
      <c r="AM74" s="92"/>
      <c r="AN74" s="90"/>
      <c r="AO74" s="90">
        <v>1</v>
      </c>
      <c r="AP74" s="90" t="s">
        <v>80</v>
      </c>
      <c r="AQ74" s="30">
        <v>16.5</v>
      </c>
    </row>
    <row r="75" spans="1:43" ht="15" customHeight="1" x14ac:dyDescent="0.3">
      <c r="A75" s="101" t="s">
        <v>613</v>
      </c>
      <c r="B75" s="90" t="s">
        <v>130</v>
      </c>
      <c r="C75" s="91">
        <v>45350</v>
      </c>
      <c r="D75" s="91"/>
      <c r="E75" s="92">
        <v>0</v>
      </c>
      <c r="F75" s="90"/>
      <c r="G75" s="90"/>
      <c r="H75" s="90"/>
      <c r="I75" s="90"/>
      <c r="J75" s="91">
        <v>45805</v>
      </c>
      <c r="K75" s="90" t="s">
        <v>131</v>
      </c>
      <c r="L75" s="90" t="s">
        <v>132</v>
      </c>
      <c r="M75" s="90"/>
      <c r="N75" s="90"/>
      <c r="O75" s="90" t="s">
        <v>157</v>
      </c>
      <c r="P75" s="90" t="s">
        <v>596</v>
      </c>
      <c r="Q75" s="90" t="s">
        <v>130</v>
      </c>
      <c r="R75" s="92">
        <v>1</v>
      </c>
      <c r="S75" s="30"/>
      <c r="T75" s="91">
        <v>45836</v>
      </c>
      <c r="U75" s="90" t="s">
        <v>582</v>
      </c>
      <c r="V75" s="91"/>
      <c r="W75" s="90"/>
      <c r="X75" s="92">
        <v>45</v>
      </c>
      <c r="Y75" s="30"/>
      <c r="Z75" s="30"/>
      <c r="AA75" s="30">
        <v>4602</v>
      </c>
      <c r="AB75" s="91">
        <v>46108</v>
      </c>
      <c r="AC75" s="91"/>
      <c r="AD75" s="91"/>
      <c r="AE75" s="90"/>
      <c r="AF75" s="90"/>
      <c r="AG75" s="30"/>
      <c r="AH75" s="90">
        <v>1</v>
      </c>
      <c r="AI75" s="90">
        <v>1</v>
      </c>
      <c r="AJ75" s="90">
        <v>0</v>
      </c>
      <c r="AK75" s="92">
        <v>2025</v>
      </c>
      <c r="AL75" s="90" t="s">
        <v>225</v>
      </c>
      <c r="AM75" s="92"/>
      <c r="AN75" s="90"/>
      <c r="AO75" s="90">
        <v>0</v>
      </c>
      <c r="AP75" s="90" t="s">
        <v>80</v>
      </c>
      <c r="AQ75" s="30">
        <v>15</v>
      </c>
    </row>
    <row r="76" spans="1:43" ht="15" customHeight="1" x14ac:dyDescent="0.3">
      <c r="A76" s="101" t="s">
        <v>613</v>
      </c>
      <c r="B76" s="90" t="s">
        <v>130</v>
      </c>
      <c r="C76" s="91">
        <v>45350</v>
      </c>
      <c r="D76" s="91">
        <v>46108</v>
      </c>
      <c r="E76" s="92">
        <v>1</v>
      </c>
      <c r="F76" s="90" t="s">
        <v>276</v>
      </c>
      <c r="G76" s="90" t="s">
        <v>601</v>
      </c>
      <c r="H76" s="90" t="s">
        <v>279</v>
      </c>
      <c r="I76" s="90">
        <v>0</v>
      </c>
      <c r="J76" s="91">
        <v>46175</v>
      </c>
      <c r="K76" s="90" t="s">
        <v>131</v>
      </c>
      <c r="L76" s="90" t="s">
        <v>132</v>
      </c>
      <c r="M76" s="90" t="s">
        <v>593</v>
      </c>
      <c r="N76" s="90" t="s">
        <v>133</v>
      </c>
      <c r="O76" s="90" t="s">
        <v>159</v>
      </c>
      <c r="P76" s="90" t="s">
        <v>596</v>
      </c>
      <c r="Q76" s="90" t="s">
        <v>137</v>
      </c>
      <c r="R76" s="92">
        <v>1</v>
      </c>
      <c r="S76" s="30"/>
      <c r="T76" s="91">
        <v>46196</v>
      </c>
      <c r="U76" s="90" t="s">
        <v>602</v>
      </c>
      <c r="V76" s="91"/>
      <c r="W76" s="90"/>
      <c r="X76" s="92">
        <v>45</v>
      </c>
      <c r="Y76" s="30"/>
      <c r="Z76" s="30">
        <v>4602</v>
      </c>
      <c r="AA76" s="30">
        <v>4602</v>
      </c>
      <c r="AB76" s="91">
        <v>46108</v>
      </c>
      <c r="AC76" s="91"/>
      <c r="AD76" s="91"/>
      <c r="AE76" s="90"/>
      <c r="AF76" s="90"/>
      <c r="AG76" s="30"/>
      <c r="AH76" s="90">
        <v>0</v>
      </c>
      <c r="AI76" s="90">
        <v>1</v>
      </c>
      <c r="AJ76" s="90">
        <v>0</v>
      </c>
      <c r="AK76" s="92">
        <v>2026</v>
      </c>
      <c r="AL76" s="90" t="s">
        <v>237</v>
      </c>
      <c r="AM76" s="92">
        <v>67</v>
      </c>
      <c r="AN76" s="90" t="s">
        <v>140</v>
      </c>
      <c r="AO76" s="90">
        <v>0</v>
      </c>
      <c r="AP76" s="90" t="s">
        <v>79</v>
      </c>
      <c r="AQ76" s="30">
        <v>27.1</v>
      </c>
    </row>
    <row r="77" spans="1:43" ht="15" customHeight="1" x14ac:dyDescent="0.3">
      <c r="A77" s="101" t="s">
        <v>613</v>
      </c>
      <c r="B77" s="90" t="s">
        <v>130</v>
      </c>
      <c r="C77" s="91">
        <v>45350</v>
      </c>
      <c r="D77" s="91">
        <v>46108</v>
      </c>
      <c r="E77" s="92">
        <v>1</v>
      </c>
      <c r="F77" s="90" t="s">
        <v>276</v>
      </c>
      <c r="G77" s="90" t="s">
        <v>601</v>
      </c>
      <c r="H77" s="90" t="s">
        <v>279</v>
      </c>
      <c r="I77" s="90">
        <v>0</v>
      </c>
      <c r="J77" s="91">
        <v>46196</v>
      </c>
      <c r="K77" s="90" t="s">
        <v>131</v>
      </c>
      <c r="L77" s="90" t="s">
        <v>125</v>
      </c>
      <c r="M77" s="90"/>
      <c r="N77" s="90" t="s">
        <v>133</v>
      </c>
      <c r="O77" s="90" t="s">
        <v>159</v>
      </c>
      <c r="P77" s="90" t="s">
        <v>596</v>
      </c>
      <c r="Q77" s="90" t="s">
        <v>137</v>
      </c>
      <c r="R77" s="92">
        <v>2</v>
      </c>
      <c r="S77" s="30">
        <v>21</v>
      </c>
      <c r="T77" s="91"/>
      <c r="U77" s="90" t="s">
        <v>611</v>
      </c>
      <c r="V77" s="91"/>
      <c r="W77" s="90"/>
      <c r="X77" s="92">
        <v>45</v>
      </c>
      <c r="Y77" s="30"/>
      <c r="Z77" s="30">
        <v>4602</v>
      </c>
      <c r="AA77" s="30">
        <v>4602</v>
      </c>
      <c r="AB77" s="91">
        <v>46108</v>
      </c>
      <c r="AC77" s="91"/>
      <c r="AD77" s="91"/>
      <c r="AE77" s="90"/>
      <c r="AF77" s="90"/>
      <c r="AG77" s="30"/>
      <c r="AH77" s="90">
        <v>0</v>
      </c>
      <c r="AI77" s="90">
        <v>0</v>
      </c>
      <c r="AJ77" s="90">
        <v>0</v>
      </c>
      <c r="AK77" s="92">
        <v>2026</v>
      </c>
      <c r="AL77" s="90" t="s">
        <v>237</v>
      </c>
      <c r="AM77" s="92">
        <v>88</v>
      </c>
      <c r="AN77" s="90" t="s">
        <v>145</v>
      </c>
      <c r="AO77" s="90">
        <v>1</v>
      </c>
      <c r="AP77" s="90" t="s">
        <v>79</v>
      </c>
      <c r="AQ77" s="30">
        <v>27.8</v>
      </c>
    </row>
    <row r="78" spans="1:43" ht="15" customHeight="1" x14ac:dyDescent="0.3">
      <c r="A78" s="101" t="s">
        <v>835</v>
      </c>
      <c r="B78" s="90" t="s">
        <v>137</v>
      </c>
      <c r="C78" s="91">
        <v>45612</v>
      </c>
      <c r="D78" s="91"/>
      <c r="E78" s="92">
        <v>0</v>
      </c>
      <c r="F78" s="90"/>
      <c r="G78" s="90"/>
      <c r="H78" s="90"/>
      <c r="I78" s="90"/>
      <c r="J78" s="91">
        <v>46091</v>
      </c>
      <c r="K78" s="90" t="s">
        <v>131</v>
      </c>
      <c r="L78" s="90" t="s">
        <v>132</v>
      </c>
      <c r="M78" s="90" t="s">
        <v>593</v>
      </c>
      <c r="N78" s="90"/>
      <c r="O78" s="90" t="s">
        <v>1517</v>
      </c>
      <c r="P78" s="90" t="s">
        <v>596</v>
      </c>
      <c r="Q78" s="90" t="s">
        <v>137</v>
      </c>
      <c r="R78" s="92">
        <v>1</v>
      </c>
      <c r="S78" s="30"/>
      <c r="T78" s="91">
        <v>46121</v>
      </c>
      <c r="U78" s="90" t="s">
        <v>582</v>
      </c>
      <c r="V78" s="91"/>
      <c r="W78" s="90"/>
      <c r="X78" s="92">
        <v>45</v>
      </c>
      <c r="Y78" s="30"/>
      <c r="Z78" s="30"/>
      <c r="AA78" s="30"/>
      <c r="AB78" s="91"/>
      <c r="AC78" s="91"/>
      <c r="AD78" s="91"/>
      <c r="AE78" s="90"/>
      <c r="AF78" s="90"/>
      <c r="AG78" s="30"/>
      <c r="AH78" s="90">
        <v>1</v>
      </c>
      <c r="AI78" s="90">
        <v>1</v>
      </c>
      <c r="AJ78" s="90">
        <v>0</v>
      </c>
      <c r="AK78" s="92">
        <v>2026</v>
      </c>
      <c r="AL78" s="90" t="s">
        <v>234</v>
      </c>
      <c r="AM78" s="92"/>
      <c r="AN78" s="90"/>
      <c r="AO78" s="90">
        <v>1</v>
      </c>
      <c r="AP78" s="90" t="s">
        <v>80</v>
      </c>
      <c r="AQ78" s="30">
        <v>15.8</v>
      </c>
    </row>
    <row r="79" spans="1:43" ht="15" customHeight="1" x14ac:dyDescent="0.3">
      <c r="A79" s="101" t="s">
        <v>614</v>
      </c>
      <c r="B79" s="90" t="s">
        <v>130</v>
      </c>
      <c r="C79" s="91">
        <v>45350</v>
      </c>
      <c r="D79" s="91"/>
      <c r="E79" s="92">
        <v>0</v>
      </c>
      <c r="F79" s="90"/>
      <c r="G79" s="90"/>
      <c r="H79" s="90"/>
      <c r="I79" s="90"/>
      <c r="J79" s="91">
        <v>45765</v>
      </c>
      <c r="K79" s="90" t="s">
        <v>131</v>
      </c>
      <c r="L79" s="90" t="s">
        <v>132</v>
      </c>
      <c r="M79" s="90"/>
      <c r="N79" s="90"/>
      <c r="O79" s="90" t="s">
        <v>157</v>
      </c>
      <c r="P79" s="90" t="s">
        <v>596</v>
      </c>
      <c r="Q79" s="90" t="s">
        <v>130</v>
      </c>
      <c r="R79" s="92">
        <v>1</v>
      </c>
      <c r="S79" s="30"/>
      <c r="T79" s="91">
        <v>45836</v>
      </c>
      <c r="U79" s="90" t="s">
        <v>582</v>
      </c>
      <c r="V79" s="91"/>
      <c r="W79" s="90"/>
      <c r="X79" s="92">
        <v>45</v>
      </c>
      <c r="Y79" s="30"/>
      <c r="Z79" s="30"/>
      <c r="AA79" s="30">
        <v>2658.46</v>
      </c>
      <c r="AB79" s="91">
        <v>46040</v>
      </c>
      <c r="AC79" s="91">
        <v>46162</v>
      </c>
      <c r="AD79" s="91">
        <v>46162</v>
      </c>
      <c r="AE79" s="90" t="s">
        <v>295</v>
      </c>
      <c r="AF79" s="90" t="s">
        <v>293</v>
      </c>
      <c r="AG79" s="30"/>
      <c r="AH79" s="90">
        <v>1</v>
      </c>
      <c r="AI79" s="90">
        <v>1</v>
      </c>
      <c r="AJ79" s="90">
        <v>0</v>
      </c>
      <c r="AK79" s="92">
        <v>2025</v>
      </c>
      <c r="AL79" s="90" t="s">
        <v>224</v>
      </c>
      <c r="AM79" s="92"/>
      <c r="AN79" s="90"/>
      <c r="AO79" s="90">
        <v>0</v>
      </c>
      <c r="AP79" s="90" t="s">
        <v>80</v>
      </c>
      <c r="AQ79" s="30">
        <v>13.7</v>
      </c>
    </row>
    <row r="80" spans="1:43" ht="15" customHeight="1" outlineLevel="1" x14ac:dyDescent="0.3">
      <c r="A80" s="101" t="s">
        <v>614</v>
      </c>
      <c r="B80" s="90" t="s">
        <v>130</v>
      </c>
      <c r="C80" s="91">
        <v>45350</v>
      </c>
      <c r="D80" s="91">
        <v>46040</v>
      </c>
      <c r="E80" s="92">
        <v>1</v>
      </c>
      <c r="F80" s="90" t="s">
        <v>276</v>
      </c>
      <c r="G80" s="90" t="s">
        <v>601</v>
      </c>
      <c r="H80" s="90" t="s">
        <v>278</v>
      </c>
      <c r="I80" s="90">
        <v>0</v>
      </c>
      <c r="J80" s="91">
        <v>46079</v>
      </c>
      <c r="K80" s="90" t="s">
        <v>131</v>
      </c>
      <c r="L80" s="90" t="s">
        <v>125</v>
      </c>
      <c r="M80" s="90"/>
      <c r="N80" s="90" t="s">
        <v>133</v>
      </c>
      <c r="O80" s="90" t="s">
        <v>144</v>
      </c>
      <c r="P80" s="90" t="s">
        <v>596</v>
      </c>
      <c r="Q80" s="90" t="s">
        <v>130</v>
      </c>
      <c r="R80" s="92">
        <v>1</v>
      </c>
      <c r="S80" s="30"/>
      <c r="T80" s="91">
        <v>46122</v>
      </c>
      <c r="U80" s="90" t="s">
        <v>582</v>
      </c>
      <c r="V80" s="91"/>
      <c r="W80" s="90"/>
      <c r="X80" s="92">
        <v>45</v>
      </c>
      <c r="Y80" s="30"/>
      <c r="Z80" s="30">
        <v>2658.46</v>
      </c>
      <c r="AA80" s="30">
        <v>2658.46</v>
      </c>
      <c r="AB80" s="91">
        <v>46040</v>
      </c>
      <c r="AC80" s="91">
        <v>46162</v>
      </c>
      <c r="AD80" s="91">
        <v>46162</v>
      </c>
      <c r="AE80" s="90" t="s">
        <v>295</v>
      </c>
      <c r="AF80" s="90" t="s">
        <v>293</v>
      </c>
      <c r="AG80" s="30"/>
      <c r="AH80" s="90">
        <v>1</v>
      </c>
      <c r="AI80" s="90">
        <v>1</v>
      </c>
      <c r="AJ80" s="90">
        <v>0</v>
      </c>
      <c r="AK80" s="92">
        <v>2026</v>
      </c>
      <c r="AL80" s="90" t="s">
        <v>233</v>
      </c>
      <c r="AM80" s="92">
        <v>39</v>
      </c>
      <c r="AN80" s="90" t="s">
        <v>128</v>
      </c>
      <c r="AO80" s="90">
        <v>1</v>
      </c>
      <c r="AP80" s="90" t="s">
        <v>79</v>
      </c>
      <c r="AQ80" s="30">
        <v>24</v>
      </c>
    </row>
    <row r="81" spans="1:43" ht="15" customHeight="1" x14ac:dyDescent="0.3">
      <c r="A81" s="101" t="s">
        <v>615</v>
      </c>
      <c r="B81" s="90" t="s">
        <v>130</v>
      </c>
      <c r="C81" s="91">
        <v>45350</v>
      </c>
      <c r="D81" s="91"/>
      <c r="E81" s="92">
        <v>0</v>
      </c>
      <c r="F81" s="90"/>
      <c r="G81" s="90"/>
      <c r="H81" s="90"/>
      <c r="I81" s="90"/>
      <c r="J81" s="91">
        <v>45909</v>
      </c>
      <c r="K81" s="90" t="s">
        <v>131</v>
      </c>
      <c r="L81" s="90" t="s">
        <v>132</v>
      </c>
      <c r="M81" s="90" t="s">
        <v>593</v>
      </c>
      <c r="N81" s="90"/>
      <c r="O81" s="90" t="s">
        <v>157</v>
      </c>
      <c r="P81" s="90" t="s">
        <v>596</v>
      </c>
      <c r="Q81" s="90" t="s">
        <v>130</v>
      </c>
      <c r="R81" s="92">
        <v>1</v>
      </c>
      <c r="S81" s="30"/>
      <c r="T81" s="91">
        <v>45939</v>
      </c>
      <c r="U81" s="90" t="s">
        <v>582</v>
      </c>
      <c r="V81" s="91"/>
      <c r="W81" s="90"/>
      <c r="X81" s="92">
        <v>45</v>
      </c>
      <c r="Y81" s="30"/>
      <c r="Z81" s="30"/>
      <c r="AA81" s="30">
        <v>0</v>
      </c>
      <c r="AB81" s="91">
        <v>46192</v>
      </c>
      <c r="AC81" s="91"/>
      <c r="AD81" s="91"/>
      <c r="AE81" s="90"/>
      <c r="AF81" s="90"/>
      <c r="AG81" s="30"/>
      <c r="AH81" s="90">
        <v>1</v>
      </c>
      <c r="AI81" s="90">
        <v>1</v>
      </c>
      <c r="AJ81" s="90">
        <v>0</v>
      </c>
      <c r="AK81" s="92">
        <v>2025</v>
      </c>
      <c r="AL81" s="90" t="s">
        <v>228</v>
      </c>
      <c r="AM81" s="92"/>
      <c r="AN81" s="90"/>
      <c r="AO81" s="90">
        <v>1</v>
      </c>
      <c r="AP81" s="90" t="s">
        <v>80</v>
      </c>
      <c r="AQ81" s="30">
        <v>18.399999999999999</v>
      </c>
    </row>
    <row r="82" spans="1:43" ht="15" customHeight="1" outlineLevel="1" x14ac:dyDescent="0.3">
      <c r="A82" s="101" t="s">
        <v>616</v>
      </c>
      <c r="B82" s="90" t="s">
        <v>130</v>
      </c>
      <c r="C82" s="91">
        <v>45350</v>
      </c>
      <c r="D82" s="91"/>
      <c r="E82" s="92">
        <v>0</v>
      </c>
      <c r="F82" s="90"/>
      <c r="G82" s="90"/>
      <c r="H82" s="90"/>
      <c r="I82" s="90"/>
      <c r="J82" s="91">
        <v>45762</v>
      </c>
      <c r="K82" s="90" t="s">
        <v>131</v>
      </c>
      <c r="L82" s="90" t="s">
        <v>132</v>
      </c>
      <c r="M82" s="90" t="s">
        <v>593</v>
      </c>
      <c r="N82" s="90"/>
      <c r="O82" s="90" t="s">
        <v>157</v>
      </c>
      <c r="P82" s="90" t="s">
        <v>596</v>
      </c>
      <c r="Q82" s="90" t="s">
        <v>130</v>
      </c>
      <c r="R82" s="92">
        <v>1</v>
      </c>
      <c r="S82" s="30"/>
      <c r="T82" s="91">
        <v>45836</v>
      </c>
      <c r="U82" s="90" t="s">
        <v>582</v>
      </c>
      <c r="V82" s="91"/>
      <c r="W82" s="90"/>
      <c r="X82" s="92">
        <v>45</v>
      </c>
      <c r="Y82" s="30"/>
      <c r="Z82" s="30"/>
      <c r="AA82" s="30">
        <v>4218</v>
      </c>
      <c r="AB82" s="91">
        <v>46052</v>
      </c>
      <c r="AC82" s="91"/>
      <c r="AD82" s="91"/>
      <c r="AE82" s="90"/>
      <c r="AF82" s="90"/>
      <c r="AG82" s="30"/>
      <c r="AH82" s="90">
        <v>1</v>
      </c>
      <c r="AI82" s="90">
        <v>1</v>
      </c>
      <c r="AJ82" s="90">
        <v>0</v>
      </c>
      <c r="AK82" s="92">
        <v>2025</v>
      </c>
      <c r="AL82" s="90" t="s">
        <v>224</v>
      </c>
      <c r="AM82" s="92"/>
      <c r="AN82" s="90"/>
      <c r="AO82" s="90">
        <v>0</v>
      </c>
      <c r="AP82" s="90" t="s">
        <v>80</v>
      </c>
      <c r="AQ82" s="30">
        <v>13.6</v>
      </c>
    </row>
    <row r="83" spans="1:43" ht="15" customHeight="1" outlineLevel="1" x14ac:dyDescent="0.3">
      <c r="A83" s="101" t="s">
        <v>616</v>
      </c>
      <c r="B83" s="90" t="s">
        <v>130</v>
      </c>
      <c r="C83" s="91">
        <v>45350</v>
      </c>
      <c r="D83" s="91">
        <v>46052</v>
      </c>
      <c r="E83" s="92">
        <v>1</v>
      </c>
      <c r="F83" s="90" t="s">
        <v>276</v>
      </c>
      <c r="G83" s="90" t="s">
        <v>601</v>
      </c>
      <c r="H83" s="90" t="s">
        <v>278</v>
      </c>
      <c r="I83" s="90">
        <v>0</v>
      </c>
      <c r="J83" s="91">
        <v>46112</v>
      </c>
      <c r="K83" s="90" t="s">
        <v>131</v>
      </c>
      <c r="L83" s="90" t="s">
        <v>132</v>
      </c>
      <c r="M83" s="90" t="s">
        <v>593</v>
      </c>
      <c r="N83" s="90" t="s">
        <v>133</v>
      </c>
      <c r="O83" s="90" t="s">
        <v>144</v>
      </c>
      <c r="P83" s="90" t="s">
        <v>596</v>
      </c>
      <c r="Q83" s="90" t="s">
        <v>130</v>
      </c>
      <c r="R83" s="92">
        <v>1</v>
      </c>
      <c r="S83" s="30"/>
      <c r="T83" s="91">
        <v>46134</v>
      </c>
      <c r="U83" s="90" t="s">
        <v>602</v>
      </c>
      <c r="V83" s="91"/>
      <c r="W83" s="90"/>
      <c r="X83" s="92">
        <v>45</v>
      </c>
      <c r="Y83" s="30"/>
      <c r="Z83" s="30">
        <v>4218</v>
      </c>
      <c r="AA83" s="30">
        <v>4218</v>
      </c>
      <c r="AB83" s="91">
        <v>46052</v>
      </c>
      <c r="AC83" s="91"/>
      <c r="AD83" s="91"/>
      <c r="AE83" s="90"/>
      <c r="AF83" s="90"/>
      <c r="AG83" s="30"/>
      <c r="AH83" s="90">
        <v>0</v>
      </c>
      <c r="AI83" s="90">
        <v>1</v>
      </c>
      <c r="AJ83" s="90">
        <v>0</v>
      </c>
      <c r="AK83" s="92">
        <v>2026</v>
      </c>
      <c r="AL83" s="90" t="s">
        <v>234</v>
      </c>
      <c r="AM83" s="92">
        <v>60</v>
      </c>
      <c r="AN83" s="90" t="s">
        <v>135</v>
      </c>
      <c r="AO83" s="90">
        <v>0</v>
      </c>
      <c r="AP83" s="90" t="s">
        <v>79</v>
      </c>
      <c r="AQ83" s="30">
        <v>25.1</v>
      </c>
    </row>
    <row r="84" spans="1:43" ht="15" customHeight="1" x14ac:dyDescent="0.3">
      <c r="A84" s="101" t="s">
        <v>616</v>
      </c>
      <c r="B84" s="90" t="s">
        <v>130</v>
      </c>
      <c r="C84" s="91">
        <v>45350</v>
      </c>
      <c r="D84" s="91">
        <v>46052</v>
      </c>
      <c r="E84" s="92">
        <v>1</v>
      </c>
      <c r="F84" s="90" t="s">
        <v>276</v>
      </c>
      <c r="G84" s="90" t="s">
        <v>601</v>
      </c>
      <c r="H84" s="90" t="s">
        <v>278</v>
      </c>
      <c r="I84" s="90">
        <v>0</v>
      </c>
      <c r="J84" s="91">
        <v>46134</v>
      </c>
      <c r="K84" s="90" t="s">
        <v>131</v>
      </c>
      <c r="L84" s="90" t="s">
        <v>125</v>
      </c>
      <c r="M84" s="90"/>
      <c r="N84" s="90" t="s">
        <v>133</v>
      </c>
      <c r="O84" s="90" t="s">
        <v>154</v>
      </c>
      <c r="P84" s="90" t="s">
        <v>596</v>
      </c>
      <c r="Q84" s="90" t="s">
        <v>137</v>
      </c>
      <c r="R84" s="92">
        <v>2</v>
      </c>
      <c r="S84" s="30">
        <v>22</v>
      </c>
      <c r="T84" s="91">
        <v>46163</v>
      </c>
      <c r="U84" s="90" t="s">
        <v>602</v>
      </c>
      <c r="V84" s="91"/>
      <c r="W84" s="90"/>
      <c r="X84" s="92">
        <v>45</v>
      </c>
      <c r="Y84" s="30"/>
      <c r="Z84" s="30">
        <v>4218</v>
      </c>
      <c r="AA84" s="30">
        <v>4218</v>
      </c>
      <c r="AB84" s="91">
        <v>46052</v>
      </c>
      <c r="AC84" s="91"/>
      <c r="AD84" s="91"/>
      <c r="AE84" s="90"/>
      <c r="AF84" s="90"/>
      <c r="AG84" s="30"/>
      <c r="AH84" s="90">
        <v>0</v>
      </c>
      <c r="AI84" s="90">
        <v>1</v>
      </c>
      <c r="AJ84" s="90">
        <v>0</v>
      </c>
      <c r="AK84" s="92">
        <v>2026</v>
      </c>
      <c r="AL84" s="90" t="s">
        <v>235</v>
      </c>
      <c r="AM84" s="92">
        <v>82</v>
      </c>
      <c r="AN84" s="90" t="s">
        <v>140</v>
      </c>
      <c r="AO84" s="90">
        <v>0</v>
      </c>
      <c r="AP84" s="90" t="s">
        <v>79</v>
      </c>
      <c r="AQ84" s="30">
        <v>25.8</v>
      </c>
    </row>
    <row r="85" spans="1:43" ht="15" customHeight="1" outlineLevel="1" x14ac:dyDescent="0.3">
      <c r="A85" s="101" t="s">
        <v>616</v>
      </c>
      <c r="B85" s="90" t="s">
        <v>130</v>
      </c>
      <c r="C85" s="91">
        <v>45350</v>
      </c>
      <c r="D85" s="91">
        <v>46052</v>
      </c>
      <c r="E85" s="92">
        <v>1</v>
      </c>
      <c r="F85" s="90" t="s">
        <v>276</v>
      </c>
      <c r="G85" s="90" t="s">
        <v>601</v>
      </c>
      <c r="H85" s="90" t="s">
        <v>278</v>
      </c>
      <c r="I85" s="90">
        <v>0</v>
      </c>
      <c r="J85" s="91">
        <v>46188</v>
      </c>
      <c r="K85" s="90" t="s">
        <v>124</v>
      </c>
      <c r="L85" s="90" t="s">
        <v>125</v>
      </c>
      <c r="M85" s="90"/>
      <c r="N85" s="90"/>
      <c r="O85" s="90" t="s">
        <v>177</v>
      </c>
      <c r="P85" s="90"/>
      <c r="Q85" s="90" t="s">
        <v>137</v>
      </c>
      <c r="R85" s="92">
        <v>3</v>
      </c>
      <c r="S85" s="30">
        <v>54</v>
      </c>
      <c r="T85" s="91"/>
      <c r="U85" s="90" t="s">
        <v>611</v>
      </c>
      <c r="V85" s="91"/>
      <c r="W85" s="90"/>
      <c r="X85" s="92">
        <v>45</v>
      </c>
      <c r="Y85" s="30"/>
      <c r="Z85" s="30">
        <v>4218</v>
      </c>
      <c r="AA85" s="30">
        <v>4218</v>
      </c>
      <c r="AB85" s="91">
        <v>46052</v>
      </c>
      <c r="AC85" s="91"/>
      <c r="AD85" s="91"/>
      <c r="AE85" s="90"/>
      <c r="AF85" s="90"/>
      <c r="AG85" s="30"/>
      <c r="AH85" s="90">
        <v>0</v>
      </c>
      <c r="AI85" s="90">
        <v>0</v>
      </c>
      <c r="AJ85" s="90">
        <v>0</v>
      </c>
      <c r="AK85" s="92">
        <v>2026</v>
      </c>
      <c r="AL85" s="90" t="s">
        <v>237</v>
      </c>
      <c r="AM85" s="92">
        <v>136</v>
      </c>
      <c r="AN85" s="90" t="s">
        <v>155</v>
      </c>
      <c r="AO85" s="90">
        <v>1</v>
      </c>
      <c r="AP85" s="90" t="s">
        <v>79</v>
      </c>
      <c r="AQ85" s="30">
        <v>27.6</v>
      </c>
    </row>
    <row r="86" spans="1:43" ht="15" customHeight="1" outlineLevel="1" x14ac:dyDescent="0.3">
      <c r="A86" s="101" t="s">
        <v>617</v>
      </c>
      <c r="B86" s="90" t="s">
        <v>130</v>
      </c>
      <c r="C86" s="91">
        <v>45536</v>
      </c>
      <c r="D86" s="91"/>
      <c r="E86" s="92">
        <v>0</v>
      </c>
      <c r="F86" s="90"/>
      <c r="G86" s="90"/>
      <c r="H86" s="90"/>
      <c r="I86" s="90"/>
      <c r="J86" s="91">
        <v>46023</v>
      </c>
      <c r="K86" s="90" t="s">
        <v>124</v>
      </c>
      <c r="L86" s="90" t="s">
        <v>132</v>
      </c>
      <c r="M86" s="90" t="s">
        <v>593</v>
      </c>
      <c r="N86" s="90"/>
      <c r="O86" s="90" t="s">
        <v>171</v>
      </c>
      <c r="P86" s="90"/>
      <c r="Q86" s="90" t="s">
        <v>130</v>
      </c>
      <c r="R86" s="92">
        <v>1</v>
      </c>
      <c r="S86" s="30"/>
      <c r="T86" s="91">
        <v>46141</v>
      </c>
      <c r="U86" s="90" t="s">
        <v>582</v>
      </c>
      <c r="V86" s="91"/>
      <c r="W86" s="90"/>
      <c r="X86" s="92">
        <v>45</v>
      </c>
      <c r="Y86" s="30"/>
      <c r="Z86" s="30"/>
      <c r="AA86" s="30"/>
      <c r="AB86" s="91"/>
      <c r="AC86" s="91"/>
      <c r="AD86" s="91"/>
      <c r="AE86" s="90"/>
      <c r="AF86" s="90"/>
      <c r="AG86" s="30"/>
      <c r="AH86" s="90">
        <v>1</v>
      </c>
      <c r="AI86" s="90">
        <v>1</v>
      </c>
      <c r="AJ86" s="90">
        <v>0</v>
      </c>
      <c r="AK86" s="92">
        <v>2026</v>
      </c>
      <c r="AL86" s="90" t="s">
        <v>232</v>
      </c>
      <c r="AM86" s="92"/>
      <c r="AN86" s="90"/>
      <c r="AO86" s="90">
        <v>1</v>
      </c>
      <c r="AP86" s="90" t="s">
        <v>80</v>
      </c>
      <c r="AQ86" s="30">
        <v>16</v>
      </c>
    </row>
    <row r="87" spans="1:43" ht="15" customHeight="1" outlineLevel="1" x14ac:dyDescent="0.3">
      <c r="A87" s="101" t="s">
        <v>618</v>
      </c>
      <c r="B87" s="90" t="s">
        <v>137</v>
      </c>
      <c r="C87" s="91">
        <v>44542</v>
      </c>
      <c r="D87" s="91"/>
      <c r="E87" s="92">
        <v>0</v>
      </c>
      <c r="F87" s="90"/>
      <c r="G87" s="90"/>
      <c r="H87" s="90"/>
      <c r="I87" s="90"/>
      <c r="J87" s="91">
        <v>45619</v>
      </c>
      <c r="K87" s="90" t="s">
        <v>124</v>
      </c>
      <c r="L87" s="90" t="s">
        <v>125</v>
      </c>
      <c r="M87" s="90"/>
      <c r="N87" s="90"/>
      <c r="O87" s="90" t="s">
        <v>171</v>
      </c>
      <c r="P87" s="90"/>
      <c r="Q87" s="90" t="s">
        <v>137</v>
      </c>
      <c r="R87" s="92">
        <v>1</v>
      </c>
      <c r="S87" s="30"/>
      <c r="T87" s="91">
        <v>45647</v>
      </c>
      <c r="U87" s="90" t="s">
        <v>582</v>
      </c>
      <c r="V87" s="91"/>
      <c r="W87" s="90"/>
      <c r="X87" s="92">
        <v>45</v>
      </c>
      <c r="Y87" s="30"/>
      <c r="Z87" s="30"/>
      <c r="AA87" s="30">
        <v>7076</v>
      </c>
      <c r="AB87" s="91">
        <v>45902</v>
      </c>
      <c r="AC87" s="91"/>
      <c r="AD87" s="91"/>
      <c r="AE87" s="90"/>
      <c r="AF87" s="90"/>
      <c r="AG87" s="30"/>
      <c r="AH87" s="90">
        <v>1</v>
      </c>
      <c r="AI87" s="90">
        <v>1</v>
      </c>
      <c r="AJ87" s="90">
        <v>0</v>
      </c>
      <c r="AK87" s="92">
        <v>2024</v>
      </c>
      <c r="AL87" s="90" t="s">
        <v>219</v>
      </c>
      <c r="AM87" s="92"/>
      <c r="AN87" s="90"/>
      <c r="AO87" s="90">
        <v>0</v>
      </c>
      <c r="AP87" s="90" t="s">
        <v>80</v>
      </c>
      <c r="AQ87" s="30">
        <v>35.4</v>
      </c>
    </row>
    <row r="88" spans="1:43" ht="15" customHeight="1" x14ac:dyDescent="0.3">
      <c r="A88" s="101" t="s">
        <v>618</v>
      </c>
      <c r="B88" s="90" t="s">
        <v>137</v>
      </c>
      <c r="C88" s="91">
        <v>44542</v>
      </c>
      <c r="D88" s="91">
        <v>45902</v>
      </c>
      <c r="E88" s="92">
        <v>1</v>
      </c>
      <c r="F88" s="90" t="s">
        <v>276</v>
      </c>
      <c r="G88" s="90" t="s">
        <v>601</v>
      </c>
      <c r="H88" s="90" t="s">
        <v>279</v>
      </c>
      <c r="I88" s="90">
        <v>0</v>
      </c>
      <c r="J88" s="91">
        <v>45947</v>
      </c>
      <c r="K88" s="90" t="s">
        <v>131</v>
      </c>
      <c r="L88" s="90" t="s">
        <v>125</v>
      </c>
      <c r="M88" s="90"/>
      <c r="N88" s="90"/>
      <c r="O88" s="90" t="s">
        <v>186</v>
      </c>
      <c r="P88" s="90" t="s">
        <v>596</v>
      </c>
      <c r="Q88" s="90" t="s">
        <v>130</v>
      </c>
      <c r="R88" s="92">
        <v>1</v>
      </c>
      <c r="S88" s="30"/>
      <c r="T88" s="91">
        <v>46007</v>
      </c>
      <c r="U88" s="90" t="s">
        <v>602</v>
      </c>
      <c r="V88" s="91"/>
      <c r="W88" s="90"/>
      <c r="X88" s="92">
        <v>45</v>
      </c>
      <c r="Y88" s="30"/>
      <c r="Z88" s="30">
        <v>7076</v>
      </c>
      <c r="AA88" s="30">
        <v>7076</v>
      </c>
      <c r="AB88" s="91">
        <v>45902</v>
      </c>
      <c r="AC88" s="91"/>
      <c r="AD88" s="91"/>
      <c r="AE88" s="90"/>
      <c r="AF88" s="90"/>
      <c r="AG88" s="30"/>
      <c r="AH88" s="90">
        <v>0</v>
      </c>
      <c r="AI88" s="90">
        <v>1</v>
      </c>
      <c r="AJ88" s="90">
        <v>0</v>
      </c>
      <c r="AK88" s="92">
        <v>2025</v>
      </c>
      <c r="AL88" s="90" t="s">
        <v>229</v>
      </c>
      <c r="AM88" s="92">
        <v>45</v>
      </c>
      <c r="AN88" s="90" t="s">
        <v>135</v>
      </c>
      <c r="AO88" s="90">
        <v>0</v>
      </c>
      <c r="AP88" s="90" t="s">
        <v>79</v>
      </c>
      <c r="AQ88" s="30">
        <v>46.2</v>
      </c>
    </row>
    <row r="89" spans="1:43" ht="15" customHeight="1" outlineLevel="1" x14ac:dyDescent="0.3">
      <c r="A89" s="101" t="s">
        <v>618</v>
      </c>
      <c r="B89" s="90" t="s">
        <v>137</v>
      </c>
      <c r="C89" s="91">
        <v>44542</v>
      </c>
      <c r="D89" s="91">
        <v>45902</v>
      </c>
      <c r="E89" s="92">
        <v>1</v>
      </c>
      <c r="F89" s="90" t="s">
        <v>276</v>
      </c>
      <c r="G89" s="90" t="s">
        <v>601</v>
      </c>
      <c r="H89" s="90" t="s">
        <v>279</v>
      </c>
      <c r="I89" s="90">
        <v>0</v>
      </c>
      <c r="J89" s="91">
        <v>46007</v>
      </c>
      <c r="K89" s="90" t="s">
        <v>131</v>
      </c>
      <c r="L89" s="90" t="s">
        <v>125</v>
      </c>
      <c r="M89" s="90"/>
      <c r="N89" s="90" t="s">
        <v>133</v>
      </c>
      <c r="O89" s="90" t="s">
        <v>144</v>
      </c>
      <c r="P89" s="90" t="s">
        <v>596</v>
      </c>
      <c r="Q89" s="90" t="s">
        <v>130</v>
      </c>
      <c r="R89" s="92">
        <v>2</v>
      </c>
      <c r="S89" s="30">
        <v>60</v>
      </c>
      <c r="T89" s="91">
        <v>46037</v>
      </c>
      <c r="U89" s="90" t="s">
        <v>582</v>
      </c>
      <c r="V89" s="91"/>
      <c r="W89" s="90"/>
      <c r="X89" s="92">
        <v>45</v>
      </c>
      <c r="Y89" s="30">
        <v>352</v>
      </c>
      <c r="Z89" s="30">
        <v>7076</v>
      </c>
      <c r="AA89" s="30">
        <v>7076</v>
      </c>
      <c r="AB89" s="91">
        <v>45902</v>
      </c>
      <c r="AC89" s="91"/>
      <c r="AD89" s="91"/>
      <c r="AE89" s="90"/>
      <c r="AF89" s="90"/>
      <c r="AG89" s="30"/>
      <c r="AH89" s="90">
        <v>1</v>
      </c>
      <c r="AI89" s="90">
        <v>1</v>
      </c>
      <c r="AJ89" s="90">
        <v>0</v>
      </c>
      <c r="AK89" s="92">
        <v>2025</v>
      </c>
      <c r="AL89" s="90" t="s">
        <v>231</v>
      </c>
      <c r="AM89" s="92">
        <v>105</v>
      </c>
      <c r="AN89" s="90" t="s">
        <v>145</v>
      </c>
      <c r="AO89" s="90">
        <v>1</v>
      </c>
      <c r="AP89" s="90" t="s">
        <v>79</v>
      </c>
      <c r="AQ89" s="30">
        <v>48.2</v>
      </c>
    </row>
    <row r="90" spans="1:43" ht="15" customHeight="1" outlineLevel="1" x14ac:dyDescent="0.3">
      <c r="A90" s="101" t="s">
        <v>619</v>
      </c>
      <c r="B90" s="90" t="s">
        <v>130</v>
      </c>
      <c r="C90" s="91">
        <v>45350</v>
      </c>
      <c r="D90" s="91"/>
      <c r="E90" s="92">
        <v>0</v>
      </c>
      <c r="F90" s="90"/>
      <c r="G90" s="90"/>
      <c r="H90" s="90"/>
      <c r="I90" s="90"/>
      <c r="J90" s="91">
        <v>45805</v>
      </c>
      <c r="K90" s="90" t="s">
        <v>131</v>
      </c>
      <c r="L90" s="90" t="s">
        <v>132</v>
      </c>
      <c r="M90" s="90"/>
      <c r="N90" s="90"/>
      <c r="O90" s="90" t="s">
        <v>157</v>
      </c>
      <c r="P90" s="90" t="s">
        <v>596</v>
      </c>
      <c r="Q90" s="90" t="s">
        <v>130</v>
      </c>
      <c r="R90" s="92">
        <v>1</v>
      </c>
      <c r="S90" s="30"/>
      <c r="T90" s="91">
        <v>45836</v>
      </c>
      <c r="U90" s="90" t="s">
        <v>582</v>
      </c>
      <c r="V90" s="91"/>
      <c r="W90" s="90"/>
      <c r="X90" s="92">
        <v>45</v>
      </c>
      <c r="Y90" s="30"/>
      <c r="Z90" s="30"/>
      <c r="AA90" s="30">
        <v>3944</v>
      </c>
      <c r="AB90" s="91">
        <v>46105</v>
      </c>
      <c r="AC90" s="91"/>
      <c r="AD90" s="91"/>
      <c r="AE90" s="90"/>
      <c r="AF90" s="90"/>
      <c r="AG90" s="30"/>
      <c r="AH90" s="90">
        <v>1</v>
      </c>
      <c r="AI90" s="90">
        <v>1</v>
      </c>
      <c r="AJ90" s="90">
        <v>0</v>
      </c>
      <c r="AK90" s="92">
        <v>2025</v>
      </c>
      <c r="AL90" s="90" t="s">
        <v>225</v>
      </c>
      <c r="AM90" s="92"/>
      <c r="AN90" s="90"/>
      <c r="AO90" s="90">
        <v>0</v>
      </c>
      <c r="AP90" s="90" t="s">
        <v>80</v>
      </c>
      <c r="AQ90" s="30">
        <v>15</v>
      </c>
    </row>
    <row r="91" spans="1:43" ht="15" customHeight="1" outlineLevel="1" x14ac:dyDescent="0.3">
      <c r="A91" s="101" t="s">
        <v>619</v>
      </c>
      <c r="B91" s="90" t="s">
        <v>130</v>
      </c>
      <c r="C91" s="91">
        <v>45350</v>
      </c>
      <c r="D91" s="91">
        <v>46105</v>
      </c>
      <c r="E91" s="92">
        <v>1</v>
      </c>
      <c r="F91" s="90" t="s">
        <v>276</v>
      </c>
      <c r="G91" s="90" t="s">
        <v>601</v>
      </c>
      <c r="H91" s="90" t="s">
        <v>278</v>
      </c>
      <c r="I91" s="90">
        <v>0</v>
      </c>
      <c r="J91" s="91">
        <v>46140</v>
      </c>
      <c r="K91" s="90" t="s">
        <v>131</v>
      </c>
      <c r="L91" s="90" t="s">
        <v>125</v>
      </c>
      <c r="M91" s="90"/>
      <c r="N91" s="90" t="s">
        <v>133</v>
      </c>
      <c r="O91" s="90" t="s">
        <v>154</v>
      </c>
      <c r="P91" s="90" t="s">
        <v>596</v>
      </c>
      <c r="Q91" s="90" t="s">
        <v>137</v>
      </c>
      <c r="R91" s="92">
        <v>1</v>
      </c>
      <c r="S91" s="30"/>
      <c r="T91" s="91">
        <v>46161</v>
      </c>
      <c r="U91" s="90" t="s">
        <v>602</v>
      </c>
      <c r="V91" s="91"/>
      <c r="W91" s="90"/>
      <c r="X91" s="92">
        <v>45</v>
      </c>
      <c r="Y91" s="30"/>
      <c r="Z91" s="30">
        <v>3944</v>
      </c>
      <c r="AA91" s="30">
        <v>3944</v>
      </c>
      <c r="AB91" s="91">
        <v>46105</v>
      </c>
      <c r="AC91" s="91"/>
      <c r="AD91" s="91"/>
      <c r="AE91" s="90"/>
      <c r="AF91" s="90"/>
      <c r="AG91" s="30"/>
      <c r="AH91" s="90">
        <v>0</v>
      </c>
      <c r="AI91" s="90">
        <v>1</v>
      </c>
      <c r="AJ91" s="90">
        <v>0</v>
      </c>
      <c r="AK91" s="92">
        <v>2026</v>
      </c>
      <c r="AL91" s="90" t="s">
        <v>235</v>
      </c>
      <c r="AM91" s="92">
        <v>35</v>
      </c>
      <c r="AN91" s="90" t="s">
        <v>128</v>
      </c>
      <c r="AO91" s="90">
        <v>0</v>
      </c>
      <c r="AP91" s="90" t="s">
        <v>79</v>
      </c>
      <c r="AQ91" s="30">
        <v>26</v>
      </c>
    </row>
    <row r="92" spans="1:43" ht="15" customHeight="1" outlineLevel="1" x14ac:dyDescent="0.3">
      <c r="A92" s="101" t="s">
        <v>619</v>
      </c>
      <c r="B92" s="90" t="s">
        <v>130</v>
      </c>
      <c r="C92" s="91">
        <v>45350</v>
      </c>
      <c r="D92" s="91">
        <v>46105</v>
      </c>
      <c r="E92" s="92">
        <v>1</v>
      </c>
      <c r="F92" s="90" t="s">
        <v>276</v>
      </c>
      <c r="G92" s="90" t="s">
        <v>601</v>
      </c>
      <c r="H92" s="90" t="s">
        <v>278</v>
      </c>
      <c r="I92" s="90">
        <v>0</v>
      </c>
      <c r="J92" s="91">
        <v>46161</v>
      </c>
      <c r="K92" s="90" t="s">
        <v>131</v>
      </c>
      <c r="L92" s="90" t="s">
        <v>125</v>
      </c>
      <c r="M92" s="90"/>
      <c r="N92" s="90" t="s">
        <v>133</v>
      </c>
      <c r="O92" s="90" t="s">
        <v>154</v>
      </c>
      <c r="P92" s="90" t="s">
        <v>596</v>
      </c>
      <c r="Q92" s="90" t="s">
        <v>137</v>
      </c>
      <c r="R92" s="92">
        <v>2</v>
      </c>
      <c r="S92" s="30">
        <v>21</v>
      </c>
      <c r="T92" s="91">
        <v>46204</v>
      </c>
      <c r="U92" s="90" t="s">
        <v>602</v>
      </c>
      <c r="V92" s="91"/>
      <c r="W92" s="90"/>
      <c r="X92" s="92">
        <v>45</v>
      </c>
      <c r="Y92" s="30"/>
      <c r="Z92" s="30">
        <v>3944</v>
      </c>
      <c r="AA92" s="30">
        <v>3944</v>
      </c>
      <c r="AB92" s="91">
        <v>46105</v>
      </c>
      <c r="AC92" s="91"/>
      <c r="AD92" s="91"/>
      <c r="AE92" s="90"/>
      <c r="AF92" s="90"/>
      <c r="AG92" s="30"/>
      <c r="AH92" s="90">
        <v>0</v>
      </c>
      <c r="AI92" s="90">
        <v>1</v>
      </c>
      <c r="AJ92" s="90">
        <v>0</v>
      </c>
      <c r="AK92" s="92">
        <v>2026</v>
      </c>
      <c r="AL92" s="90" t="s">
        <v>236</v>
      </c>
      <c r="AM92" s="92">
        <v>56</v>
      </c>
      <c r="AN92" s="90" t="s">
        <v>135</v>
      </c>
      <c r="AO92" s="90">
        <v>0</v>
      </c>
      <c r="AP92" s="90" t="s">
        <v>79</v>
      </c>
      <c r="AQ92" s="30">
        <v>26.7</v>
      </c>
    </row>
    <row r="93" spans="1:43" ht="15" customHeight="1" outlineLevel="1" x14ac:dyDescent="0.3">
      <c r="A93" s="101" t="s">
        <v>619</v>
      </c>
      <c r="B93" s="90" t="s">
        <v>130</v>
      </c>
      <c r="C93" s="91">
        <v>45350</v>
      </c>
      <c r="D93" s="91">
        <v>46105</v>
      </c>
      <c r="E93" s="92">
        <v>1</v>
      </c>
      <c r="F93" s="90" t="s">
        <v>276</v>
      </c>
      <c r="G93" s="90" t="s">
        <v>601</v>
      </c>
      <c r="H93" s="90" t="s">
        <v>278</v>
      </c>
      <c r="I93" s="90">
        <v>0</v>
      </c>
      <c r="J93" s="91">
        <v>46204</v>
      </c>
      <c r="K93" s="90" t="s">
        <v>131</v>
      </c>
      <c r="L93" s="90" t="s">
        <v>125</v>
      </c>
      <c r="M93" s="90"/>
      <c r="N93" s="90" t="s">
        <v>133</v>
      </c>
      <c r="O93" s="90" t="s">
        <v>159</v>
      </c>
      <c r="P93" s="90" t="s">
        <v>596</v>
      </c>
      <c r="Q93" s="90" t="s">
        <v>137</v>
      </c>
      <c r="R93" s="92">
        <v>3</v>
      </c>
      <c r="S93" s="30">
        <v>43</v>
      </c>
      <c r="T93" s="91"/>
      <c r="U93" s="90" t="s">
        <v>611</v>
      </c>
      <c r="V93" s="91"/>
      <c r="W93" s="90"/>
      <c r="X93" s="92">
        <v>45</v>
      </c>
      <c r="Y93" s="30"/>
      <c r="Z93" s="30">
        <v>3944</v>
      </c>
      <c r="AA93" s="30">
        <v>3944</v>
      </c>
      <c r="AB93" s="91">
        <v>46105</v>
      </c>
      <c r="AC93" s="91"/>
      <c r="AD93" s="91"/>
      <c r="AE93" s="90"/>
      <c r="AF93" s="90"/>
      <c r="AG93" s="30"/>
      <c r="AH93" s="90">
        <v>0</v>
      </c>
      <c r="AI93" s="90">
        <v>0</v>
      </c>
      <c r="AJ93" s="90">
        <v>0</v>
      </c>
      <c r="AK93" s="92">
        <v>2026</v>
      </c>
      <c r="AL93" s="90" t="s">
        <v>377</v>
      </c>
      <c r="AM93" s="92">
        <v>99</v>
      </c>
      <c r="AN93" s="90" t="s">
        <v>145</v>
      </c>
      <c r="AO93" s="90">
        <v>1</v>
      </c>
      <c r="AP93" s="90" t="s">
        <v>79</v>
      </c>
      <c r="AQ93" s="30">
        <v>28.1</v>
      </c>
    </row>
    <row r="94" spans="1:43" ht="15" customHeight="1" outlineLevel="1" x14ac:dyDescent="0.3">
      <c r="A94" s="101" t="s">
        <v>620</v>
      </c>
      <c r="B94" s="90" t="s">
        <v>130</v>
      </c>
      <c r="C94" s="91">
        <v>45350</v>
      </c>
      <c r="D94" s="91"/>
      <c r="E94" s="92">
        <v>0</v>
      </c>
      <c r="F94" s="90"/>
      <c r="G94" s="90"/>
      <c r="H94" s="90"/>
      <c r="I94" s="90"/>
      <c r="J94" s="91">
        <v>45854</v>
      </c>
      <c r="K94" s="90" t="s">
        <v>131</v>
      </c>
      <c r="L94" s="90" t="s">
        <v>125</v>
      </c>
      <c r="M94" s="90"/>
      <c r="N94" s="90"/>
      <c r="O94" s="90" t="s">
        <v>157</v>
      </c>
      <c r="P94" s="90" t="s">
        <v>596</v>
      </c>
      <c r="Q94" s="90" t="s">
        <v>130</v>
      </c>
      <c r="R94" s="92">
        <v>1</v>
      </c>
      <c r="S94" s="30"/>
      <c r="T94" s="91">
        <v>45885</v>
      </c>
      <c r="U94" s="90" t="s">
        <v>582</v>
      </c>
      <c r="V94" s="91"/>
      <c r="W94" s="90"/>
      <c r="X94" s="92">
        <v>45</v>
      </c>
      <c r="Y94" s="30"/>
      <c r="Z94" s="30"/>
      <c r="AA94" s="30">
        <v>792.66399999999999</v>
      </c>
      <c r="AB94" s="91">
        <v>46137</v>
      </c>
      <c r="AC94" s="91">
        <v>46179</v>
      </c>
      <c r="AD94" s="91">
        <v>46179</v>
      </c>
      <c r="AE94" s="90" t="s">
        <v>296</v>
      </c>
      <c r="AF94" s="90" t="s">
        <v>289</v>
      </c>
      <c r="AG94" s="30"/>
      <c r="AH94" s="90">
        <v>1</v>
      </c>
      <c r="AI94" s="90">
        <v>1</v>
      </c>
      <c r="AJ94" s="90">
        <v>0</v>
      </c>
      <c r="AK94" s="92">
        <v>2025</v>
      </c>
      <c r="AL94" s="90" t="s">
        <v>226</v>
      </c>
      <c r="AM94" s="92"/>
      <c r="AN94" s="90"/>
      <c r="AO94" s="90">
        <v>1</v>
      </c>
      <c r="AP94" s="90" t="s">
        <v>80</v>
      </c>
      <c r="AQ94" s="30">
        <v>16.600000000000001</v>
      </c>
    </row>
    <row r="95" spans="1:43" ht="15" customHeight="1" outlineLevel="1" x14ac:dyDescent="0.3">
      <c r="A95" s="101" t="s">
        <v>621</v>
      </c>
      <c r="B95" s="90" t="s">
        <v>130</v>
      </c>
      <c r="C95" s="91">
        <v>45350</v>
      </c>
      <c r="D95" s="91"/>
      <c r="E95" s="92">
        <v>0</v>
      </c>
      <c r="F95" s="90"/>
      <c r="G95" s="90"/>
      <c r="H95" s="90"/>
      <c r="I95" s="90"/>
      <c r="J95" s="91">
        <v>45762</v>
      </c>
      <c r="K95" s="90" t="s">
        <v>131</v>
      </c>
      <c r="L95" s="90" t="s">
        <v>132</v>
      </c>
      <c r="M95" s="90" t="s">
        <v>593</v>
      </c>
      <c r="N95" s="90"/>
      <c r="O95" s="90" t="s">
        <v>157</v>
      </c>
      <c r="P95" s="90" t="s">
        <v>596</v>
      </c>
      <c r="Q95" s="90" t="s">
        <v>130</v>
      </c>
      <c r="R95" s="92">
        <v>1</v>
      </c>
      <c r="S95" s="30"/>
      <c r="T95" s="91">
        <v>45836</v>
      </c>
      <c r="U95" s="90" t="s">
        <v>582</v>
      </c>
      <c r="V95" s="91"/>
      <c r="W95" s="90"/>
      <c r="X95" s="92">
        <v>45</v>
      </c>
      <c r="Y95" s="30"/>
      <c r="Z95" s="30"/>
      <c r="AA95" s="30">
        <v>6487</v>
      </c>
      <c r="AB95" s="91">
        <v>46047</v>
      </c>
      <c r="AC95" s="91"/>
      <c r="AD95" s="91"/>
      <c r="AE95" s="90"/>
      <c r="AF95" s="90"/>
      <c r="AG95" s="30"/>
      <c r="AH95" s="90">
        <v>1</v>
      </c>
      <c r="AI95" s="90">
        <v>1</v>
      </c>
      <c r="AJ95" s="90">
        <v>0</v>
      </c>
      <c r="AK95" s="92">
        <v>2025</v>
      </c>
      <c r="AL95" s="90" t="s">
        <v>224</v>
      </c>
      <c r="AM95" s="92"/>
      <c r="AN95" s="90"/>
      <c r="AO95" s="90">
        <v>0</v>
      </c>
      <c r="AP95" s="90" t="s">
        <v>80</v>
      </c>
      <c r="AQ95" s="30">
        <v>13.6</v>
      </c>
    </row>
    <row r="96" spans="1:43" ht="15" customHeight="1" outlineLevel="1" x14ac:dyDescent="0.3">
      <c r="A96" s="101" t="s">
        <v>621</v>
      </c>
      <c r="B96" s="90" t="s">
        <v>130</v>
      </c>
      <c r="C96" s="91">
        <v>45350</v>
      </c>
      <c r="D96" s="91">
        <v>46047</v>
      </c>
      <c r="E96" s="92">
        <v>1</v>
      </c>
      <c r="F96" s="90" t="s">
        <v>276</v>
      </c>
      <c r="G96" s="90" t="s">
        <v>601</v>
      </c>
      <c r="H96" s="90" t="s">
        <v>279</v>
      </c>
      <c r="I96" s="90">
        <v>0</v>
      </c>
      <c r="J96" s="91">
        <v>46112</v>
      </c>
      <c r="K96" s="90" t="s">
        <v>131</v>
      </c>
      <c r="L96" s="90" t="s">
        <v>132</v>
      </c>
      <c r="M96" s="90" t="s">
        <v>593</v>
      </c>
      <c r="N96" s="90" t="s">
        <v>133</v>
      </c>
      <c r="O96" s="90" t="s">
        <v>144</v>
      </c>
      <c r="P96" s="90" t="s">
        <v>596</v>
      </c>
      <c r="Q96" s="90" t="s">
        <v>130</v>
      </c>
      <c r="R96" s="92">
        <v>1</v>
      </c>
      <c r="S96" s="30"/>
      <c r="T96" s="91">
        <v>46141</v>
      </c>
      <c r="U96" s="90" t="s">
        <v>582</v>
      </c>
      <c r="V96" s="91"/>
      <c r="W96" s="90"/>
      <c r="X96" s="92">
        <v>45</v>
      </c>
      <c r="Y96" s="30"/>
      <c r="Z96" s="30">
        <v>6487</v>
      </c>
      <c r="AA96" s="30">
        <v>6487</v>
      </c>
      <c r="AB96" s="91">
        <v>46047</v>
      </c>
      <c r="AC96" s="91"/>
      <c r="AD96" s="91"/>
      <c r="AE96" s="90"/>
      <c r="AF96" s="90"/>
      <c r="AG96" s="30"/>
      <c r="AH96" s="90">
        <v>1</v>
      </c>
      <c r="AI96" s="90">
        <v>1</v>
      </c>
      <c r="AJ96" s="90">
        <v>0</v>
      </c>
      <c r="AK96" s="92">
        <v>2026</v>
      </c>
      <c r="AL96" s="90" t="s">
        <v>234</v>
      </c>
      <c r="AM96" s="92">
        <v>65</v>
      </c>
      <c r="AN96" s="90" t="s">
        <v>140</v>
      </c>
      <c r="AO96" s="90">
        <v>1</v>
      </c>
      <c r="AP96" s="90" t="s">
        <v>79</v>
      </c>
      <c r="AQ96" s="30">
        <v>25.1</v>
      </c>
    </row>
    <row r="97" spans="1:43" ht="15" customHeight="1" outlineLevel="1" x14ac:dyDescent="0.3">
      <c r="A97" s="101" t="s">
        <v>622</v>
      </c>
      <c r="B97" s="90" t="s">
        <v>130</v>
      </c>
      <c r="C97" s="91">
        <v>45350</v>
      </c>
      <c r="D97" s="91"/>
      <c r="E97" s="92">
        <v>0</v>
      </c>
      <c r="F97" s="90"/>
      <c r="G97" s="90"/>
      <c r="H97" s="90"/>
      <c r="I97" s="90"/>
      <c r="J97" s="91">
        <v>45750</v>
      </c>
      <c r="K97" s="90" t="s">
        <v>131</v>
      </c>
      <c r="L97" s="90" t="s">
        <v>132</v>
      </c>
      <c r="M97" s="90"/>
      <c r="N97" s="90"/>
      <c r="O97" s="90" t="s">
        <v>157</v>
      </c>
      <c r="P97" s="90" t="s">
        <v>596</v>
      </c>
      <c r="Q97" s="90" t="s">
        <v>130</v>
      </c>
      <c r="R97" s="92">
        <v>1</v>
      </c>
      <c r="S97" s="30"/>
      <c r="T97" s="91">
        <v>45836</v>
      </c>
      <c r="U97" s="90" t="s">
        <v>582</v>
      </c>
      <c r="V97" s="91"/>
      <c r="W97" s="90"/>
      <c r="X97" s="92">
        <v>45</v>
      </c>
      <c r="Y97" s="30"/>
      <c r="Z97" s="30"/>
      <c r="AA97" s="30">
        <v>5501</v>
      </c>
      <c r="AB97" s="91">
        <v>46033</v>
      </c>
      <c r="AC97" s="91"/>
      <c r="AD97" s="91"/>
      <c r="AE97" s="90"/>
      <c r="AF97" s="90"/>
      <c r="AG97" s="30"/>
      <c r="AH97" s="90">
        <v>1</v>
      </c>
      <c r="AI97" s="90">
        <v>1</v>
      </c>
      <c r="AJ97" s="90">
        <v>0</v>
      </c>
      <c r="AK97" s="92">
        <v>2025</v>
      </c>
      <c r="AL97" s="90" t="s">
        <v>224</v>
      </c>
      <c r="AM97" s="92"/>
      <c r="AN97" s="90"/>
      <c r="AO97" s="90">
        <v>0</v>
      </c>
      <c r="AP97" s="90" t="s">
        <v>80</v>
      </c>
      <c r="AQ97" s="30">
        <v>13.2</v>
      </c>
    </row>
    <row r="98" spans="1:43" ht="15" customHeight="1" x14ac:dyDescent="0.3">
      <c r="A98" s="101" t="s">
        <v>622</v>
      </c>
      <c r="B98" s="90" t="s">
        <v>130</v>
      </c>
      <c r="C98" s="91">
        <v>45350</v>
      </c>
      <c r="D98" s="91">
        <v>46033</v>
      </c>
      <c r="E98" s="92">
        <v>1</v>
      </c>
      <c r="F98" s="90" t="s">
        <v>276</v>
      </c>
      <c r="G98" s="90" t="s">
        <v>601</v>
      </c>
      <c r="H98" s="90" t="s">
        <v>279</v>
      </c>
      <c r="I98" s="90">
        <v>0</v>
      </c>
      <c r="J98" s="91">
        <v>46090</v>
      </c>
      <c r="K98" s="90" t="s">
        <v>131</v>
      </c>
      <c r="L98" s="90" t="s">
        <v>132</v>
      </c>
      <c r="M98" s="90" t="s">
        <v>593</v>
      </c>
      <c r="N98" s="90" t="s">
        <v>133</v>
      </c>
      <c r="O98" s="90" t="s">
        <v>144</v>
      </c>
      <c r="P98" s="90" t="s">
        <v>596</v>
      </c>
      <c r="Q98" s="90" t="s">
        <v>130</v>
      </c>
      <c r="R98" s="92">
        <v>1</v>
      </c>
      <c r="S98" s="30"/>
      <c r="T98" s="91">
        <v>46122</v>
      </c>
      <c r="U98" s="90" t="s">
        <v>582</v>
      </c>
      <c r="V98" s="91"/>
      <c r="W98" s="90"/>
      <c r="X98" s="92">
        <v>45</v>
      </c>
      <c r="Y98" s="30"/>
      <c r="Z98" s="30">
        <v>5501</v>
      </c>
      <c r="AA98" s="30">
        <v>5501</v>
      </c>
      <c r="AB98" s="91">
        <v>46033</v>
      </c>
      <c r="AC98" s="91"/>
      <c r="AD98" s="91"/>
      <c r="AE98" s="90"/>
      <c r="AF98" s="90"/>
      <c r="AG98" s="30"/>
      <c r="AH98" s="90">
        <v>1</v>
      </c>
      <c r="AI98" s="90">
        <v>1</v>
      </c>
      <c r="AJ98" s="90">
        <v>0</v>
      </c>
      <c r="AK98" s="92">
        <v>2026</v>
      </c>
      <c r="AL98" s="90" t="s">
        <v>234</v>
      </c>
      <c r="AM98" s="92">
        <v>57</v>
      </c>
      <c r="AN98" s="90" t="s">
        <v>135</v>
      </c>
      <c r="AO98" s="90">
        <v>1</v>
      </c>
      <c r="AP98" s="90" t="s">
        <v>79</v>
      </c>
      <c r="AQ98" s="30">
        <v>24.3</v>
      </c>
    </row>
    <row r="99" spans="1:43" ht="15" customHeight="1" x14ac:dyDescent="0.3">
      <c r="A99" s="101" t="s">
        <v>623</v>
      </c>
      <c r="B99" s="90" t="s">
        <v>130</v>
      </c>
      <c r="C99" s="91">
        <v>45350</v>
      </c>
      <c r="D99" s="91"/>
      <c r="E99" s="92">
        <v>0</v>
      </c>
      <c r="F99" s="90"/>
      <c r="G99" s="90"/>
      <c r="H99" s="90"/>
      <c r="I99" s="90"/>
      <c r="J99" s="91">
        <v>45805</v>
      </c>
      <c r="K99" s="90" t="s">
        <v>131</v>
      </c>
      <c r="L99" s="90" t="s">
        <v>132</v>
      </c>
      <c r="M99" s="90"/>
      <c r="N99" s="90"/>
      <c r="O99" s="90" t="s">
        <v>157</v>
      </c>
      <c r="P99" s="90" t="s">
        <v>596</v>
      </c>
      <c r="Q99" s="90" t="s">
        <v>130</v>
      </c>
      <c r="R99" s="92">
        <v>1</v>
      </c>
      <c r="S99" s="30"/>
      <c r="T99" s="91">
        <v>45836</v>
      </c>
      <c r="U99" s="90" t="s">
        <v>582</v>
      </c>
      <c r="V99" s="91"/>
      <c r="W99" s="90"/>
      <c r="X99" s="92">
        <v>45</v>
      </c>
      <c r="Y99" s="30"/>
      <c r="Z99" s="30"/>
      <c r="AA99" s="30">
        <v>5828</v>
      </c>
      <c r="AB99" s="91">
        <v>46092</v>
      </c>
      <c r="AC99" s="91"/>
      <c r="AD99" s="91"/>
      <c r="AE99" s="90"/>
      <c r="AF99" s="90"/>
      <c r="AG99" s="30"/>
      <c r="AH99" s="90">
        <v>1</v>
      </c>
      <c r="AI99" s="90">
        <v>1</v>
      </c>
      <c r="AJ99" s="90">
        <v>0</v>
      </c>
      <c r="AK99" s="92">
        <v>2025</v>
      </c>
      <c r="AL99" s="90" t="s">
        <v>225</v>
      </c>
      <c r="AM99" s="92"/>
      <c r="AN99" s="90"/>
      <c r="AO99" s="90">
        <v>0</v>
      </c>
      <c r="AP99" s="90" t="s">
        <v>80</v>
      </c>
      <c r="AQ99" s="30">
        <v>15</v>
      </c>
    </row>
    <row r="100" spans="1:43" ht="15" customHeight="1" outlineLevel="1" x14ac:dyDescent="0.3">
      <c r="A100" s="101" t="s">
        <v>623</v>
      </c>
      <c r="B100" s="90" t="s">
        <v>130</v>
      </c>
      <c r="C100" s="91">
        <v>45350</v>
      </c>
      <c r="D100" s="91">
        <v>46092</v>
      </c>
      <c r="E100" s="92">
        <v>1</v>
      </c>
      <c r="F100" s="90" t="s">
        <v>276</v>
      </c>
      <c r="G100" s="90" t="s">
        <v>601</v>
      </c>
      <c r="H100" s="90" t="s">
        <v>278</v>
      </c>
      <c r="I100" s="90">
        <v>0</v>
      </c>
      <c r="J100" s="91">
        <v>46127</v>
      </c>
      <c r="K100" s="90" t="s">
        <v>131</v>
      </c>
      <c r="L100" s="90" t="s">
        <v>125</v>
      </c>
      <c r="M100" s="90"/>
      <c r="N100" s="90" t="s">
        <v>133</v>
      </c>
      <c r="O100" s="90" t="s">
        <v>154</v>
      </c>
      <c r="P100" s="90" t="s">
        <v>596</v>
      </c>
      <c r="Q100" s="90" t="s">
        <v>137</v>
      </c>
      <c r="R100" s="92">
        <v>1</v>
      </c>
      <c r="S100" s="30"/>
      <c r="T100" s="91">
        <v>46164</v>
      </c>
      <c r="U100" s="90" t="s">
        <v>602</v>
      </c>
      <c r="V100" s="91"/>
      <c r="W100" s="90"/>
      <c r="X100" s="92">
        <v>45</v>
      </c>
      <c r="Y100" s="30"/>
      <c r="Z100" s="30">
        <v>5828</v>
      </c>
      <c r="AA100" s="30">
        <v>5828</v>
      </c>
      <c r="AB100" s="91">
        <v>46092</v>
      </c>
      <c r="AC100" s="91"/>
      <c r="AD100" s="91"/>
      <c r="AE100" s="90"/>
      <c r="AF100" s="90"/>
      <c r="AG100" s="30"/>
      <c r="AH100" s="90">
        <v>0</v>
      </c>
      <c r="AI100" s="90">
        <v>1</v>
      </c>
      <c r="AJ100" s="90">
        <v>0</v>
      </c>
      <c r="AK100" s="92">
        <v>2026</v>
      </c>
      <c r="AL100" s="90" t="s">
        <v>235</v>
      </c>
      <c r="AM100" s="92">
        <v>35</v>
      </c>
      <c r="AN100" s="90" t="s">
        <v>128</v>
      </c>
      <c r="AO100" s="90">
        <v>0</v>
      </c>
      <c r="AP100" s="90" t="s">
        <v>79</v>
      </c>
      <c r="AQ100" s="30">
        <v>25.6</v>
      </c>
    </row>
    <row r="101" spans="1:43" ht="15" customHeight="1" outlineLevel="1" x14ac:dyDescent="0.3">
      <c r="A101" s="101" t="s">
        <v>623</v>
      </c>
      <c r="B101" s="90" t="s">
        <v>130</v>
      </c>
      <c r="C101" s="91">
        <v>45350</v>
      </c>
      <c r="D101" s="91">
        <v>46092</v>
      </c>
      <c r="E101" s="92">
        <v>1</v>
      </c>
      <c r="F101" s="90" t="s">
        <v>276</v>
      </c>
      <c r="G101" s="90" t="s">
        <v>601</v>
      </c>
      <c r="H101" s="90" t="s">
        <v>278</v>
      </c>
      <c r="I101" s="90">
        <v>0</v>
      </c>
      <c r="J101" s="91">
        <v>46175</v>
      </c>
      <c r="K101" s="90" t="s">
        <v>131</v>
      </c>
      <c r="L101" s="90" t="s">
        <v>132</v>
      </c>
      <c r="M101" s="90" t="s">
        <v>593</v>
      </c>
      <c r="N101" s="90" t="s">
        <v>133</v>
      </c>
      <c r="O101" s="90" t="s">
        <v>159</v>
      </c>
      <c r="P101" s="90" t="s">
        <v>596</v>
      </c>
      <c r="Q101" s="90" t="s">
        <v>137</v>
      </c>
      <c r="R101" s="92">
        <v>2</v>
      </c>
      <c r="S101" s="30">
        <v>48</v>
      </c>
      <c r="T101" s="91">
        <v>46200</v>
      </c>
      <c r="U101" s="90" t="s">
        <v>602</v>
      </c>
      <c r="V101" s="91"/>
      <c r="W101" s="90"/>
      <c r="X101" s="92">
        <v>45</v>
      </c>
      <c r="Y101" s="30"/>
      <c r="Z101" s="30">
        <v>5828</v>
      </c>
      <c r="AA101" s="30">
        <v>5828</v>
      </c>
      <c r="AB101" s="91">
        <v>46092</v>
      </c>
      <c r="AC101" s="91"/>
      <c r="AD101" s="91"/>
      <c r="AE101" s="90"/>
      <c r="AF101" s="90"/>
      <c r="AG101" s="30"/>
      <c r="AH101" s="90">
        <v>0</v>
      </c>
      <c r="AI101" s="90">
        <v>1</v>
      </c>
      <c r="AJ101" s="90">
        <v>0</v>
      </c>
      <c r="AK101" s="92">
        <v>2026</v>
      </c>
      <c r="AL101" s="90" t="s">
        <v>237</v>
      </c>
      <c r="AM101" s="92">
        <v>83</v>
      </c>
      <c r="AN101" s="90" t="s">
        <v>140</v>
      </c>
      <c r="AO101" s="90">
        <v>0</v>
      </c>
      <c r="AP101" s="90" t="s">
        <v>79</v>
      </c>
      <c r="AQ101" s="30">
        <v>27.1</v>
      </c>
    </row>
    <row r="102" spans="1:43" ht="15" customHeight="1" outlineLevel="1" x14ac:dyDescent="0.3">
      <c r="A102" s="101" t="s">
        <v>623</v>
      </c>
      <c r="B102" s="90" t="s">
        <v>130</v>
      </c>
      <c r="C102" s="91">
        <v>45350</v>
      </c>
      <c r="D102" s="91">
        <v>46092</v>
      </c>
      <c r="E102" s="92">
        <v>1</v>
      </c>
      <c r="F102" s="90" t="s">
        <v>276</v>
      </c>
      <c r="G102" s="90" t="s">
        <v>601</v>
      </c>
      <c r="H102" s="90" t="s">
        <v>278</v>
      </c>
      <c r="I102" s="90">
        <v>0</v>
      </c>
      <c r="J102" s="91">
        <v>46200</v>
      </c>
      <c r="K102" s="90" t="s">
        <v>131</v>
      </c>
      <c r="L102" s="90" t="s">
        <v>125</v>
      </c>
      <c r="M102" s="90"/>
      <c r="N102" s="90" t="s">
        <v>133</v>
      </c>
      <c r="O102" s="90" t="s">
        <v>159</v>
      </c>
      <c r="P102" s="90" t="s">
        <v>596</v>
      </c>
      <c r="Q102" s="90" t="s">
        <v>137</v>
      </c>
      <c r="R102" s="92">
        <v>3</v>
      </c>
      <c r="S102" s="30">
        <v>25</v>
      </c>
      <c r="T102" s="91"/>
      <c r="U102" s="90" t="s">
        <v>611</v>
      </c>
      <c r="V102" s="91"/>
      <c r="W102" s="90"/>
      <c r="X102" s="92">
        <v>45</v>
      </c>
      <c r="Y102" s="30"/>
      <c r="Z102" s="30">
        <v>5828</v>
      </c>
      <c r="AA102" s="30">
        <v>5828</v>
      </c>
      <c r="AB102" s="91">
        <v>46092</v>
      </c>
      <c r="AC102" s="91"/>
      <c r="AD102" s="91"/>
      <c r="AE102" s="90"/>
      <c r="AF102" s="90"/>
      <c r="AG102" s="30"/>
      <c r="AH102" s="90">
        <v>0</v>
      </c>
      <c r="AI102" s="90">
        <v>0</v>
      </c>
      <c r="AJ102" s="90">
        <v>0</v>
      </c>
      <c r="AK102" s="92">
        <v>2026</v>
      </c>
      <c r="AL102" s="90" t="s">
        <v>237</v>
      </c>
      <c r="AM102" s="92">
        <v>108</v>
      </c>
      <c r="AN102" s="90" t="s">
        <v>150</v>
      </c>
      <c r="AO102" s="90">
        <v>1</v>
      </c>
      <c r="AP102" s="90" t="s">
        <v>79</v>
      </c>
      <c r="AQ102" s="30">
        <v>28</v>
      </c>
    </row>
    <row r="103" spans="1:43" ht="15" customHeight="1" outlineLevel="1" x14ac:dyDescent="0.3">
      <c r="A103" s="101" t="s">
        <v>624</v>
      </c>
      <c r="B103" s="90" t="s">
        <v>137</v>
      </c>
      <c r="C103" s="91">
        <v>44582</v>
      </c>
      <c r="D103" s="91"/>
      <c r="E103" s="92">
        <v>0</v>
      </c>
      <c r="F103" s="90"/>
      <c r="G103" s="90"/>
      <c r="H103" s="90"/>
      <c r="I103" s="90"/>
      <c r="J103" s="91">
        <v>45610</v>
      </c>
      <c r="K103" s="90" t="s">
        <v>124</v>
      </c>
      <c r="L103" s="90" t="s">
        <v>125</v>
      </c>
      <c r="M103" s="90"/>
      <c r="N103" s="90"/>
      <c r="O103" s="90" t="s">
        <v>171</v>
      </c>
      <c r="P103" s="90"/>
      <c r="Q103" s="90" t="s">
        <v>137</v>
      </c>
      <c r="R103" s="92">
        <v>1</v>
      </c>
      <c r="S103" s="30"/>
      <c r="T103" s="91">
        <v>45638</v>
      </c>
      <c r="U103" s="90" t="s">
        <v>582</v>
      </c>
      <c r="V103" s="91"/>
      <c r="W103" s="90"/>
      <c r="X103" s="92">
        <v>45</v>
      </c>
      <c r="Y103" s="30"/>
      <c r="Z103" s="30"/>
      <c r="AA103" s="30">
        <v>8052</v>
      </c>
      <c r="AB103" s="91">
        <v>45893</v>
      </c>
      <c r="AC103" s="91"/>
      <c r="AD103" s="91"/>
      <c r="AE103" s="90"/>
      <c r="AF103" s="90"/>
      <c r="AG103" s="30"/>
      <c r="AH103" s="90">
        <v>1</v>
      </c>
      <c r="AI103" s="90">
        <v>1</v>
      </c>
      <c r="AJ103" s="90">
        <v>0</v>
      </c>
      <c r="AK103" s="92">
        <v>2024</v>
      </c>
      <c r="AL103" s="90" t="s">
        <v>219</v>
      </c>
      <c r="AM103" s="92"/>
      <c r="AN103" s="90"/>
      <c r="AO103" s="90">
        <v>0</v>
      </c>
      <c r="AP103" s="90" t="s">
        <v>80</v>
      </c>
      <c r="AQ103" s="30">
        <v>33.799999999999997</v>
      </c>
    </row>
    <row r="104" spans="1:43" ht="15" customHeight="1" x14ac:dyDescent="0.3">
      <c r="A104" s="101" t="s">
        <v>624</v>
      </c>
      <c r="B104" s="90" t="s">
        <v>137</v>
      </c>
      <c r="C104" s="91">
        <v>44582</v>
      </c>
      <c r="D104" s="91">
        <v>45893</v>
      </c>
      <c r="E104" s="92">
        <v>1</v>
      </c>
      <c r="F104" s="90" t="s">
        <v>276</v>
      </c>
      <c r="G104" s="90" t="s">
        <v>601</v>
      </c>
      <c r="H104" s="90" t="s">
        <v>279</v>
      </c>
      <c r="I104" s="90">
        <v>0</v>
      </c>
      <c r="J104" s="91">
        <v>45967</v>
      </c>
      <c r="K104" s="90" t="s">
        <v>131</v>
      </c>
      <c r="L104" s="90" t="s">
        <v>125</v>
      </c>
      <c r="M104" s="90"/>
      <c r="N104" s="90" t="s">
        <v>138</v>
      </c>
      <c r="O104" s="90" t="s">
        <v>186</v>
      </c>
      <c r="P104" s="90" t="s">
        <v>596</v>
      </c>
      <c r="Q104" s="90" t="s">
        <v>130</v>
      </c>
      <c r="R104" s="92">
        <v>1</v>
      </c>
      <c r="S104" s="30"/>
      <c r="T104" s="91">
        <v>46009</v>
      </c>
      <c r="U104" s="90" t="s">
        <v>602</v>
      </c>
      <c r="V104" s="91"/>
      <c r="W104" s="90"/>
      <c r="X104" s="92">
        <v>45</v>
      </c>
      <c r="Y104" s="30"/>
      <c r="Z104" s="30">
        <v>8052</v>
      </c>
      <c r="AA104" s="30">
        <v>8052</v>
      </c>
      <c r="AB104" s="91">
        <v>45893</v>
      </c>
      <c r="AC104" s="91"/>
      <c r="AD104" s="91"/>
      <c r="AE104" s="90"/>
      <c r="AF104" s="90"/>
      <c r="AG104" s="30"/>
      <c r="AH104" s="90">
        <v>0</v>
      </c>
      <c r="AI104" s="90">
        <v>1</v>
      </c>
      <c r="AJ104" s="90">
        <v>0</v>
      </c>
      <c r="AK104" s="92">
        <v>2025</v>
      </c>
      <c r="AL104" s="90" t="s">
        <v>230</v>
      </c>
      <c r="AM104" s="92">
        <v>74</v>
      </c>
      <c r="AN104" s="90" t="s">
        <v>140</v>
      </c>
      <c r="AO104" s="90">
        <v>0</v>
      </c>
      <c r="AP104" s="90" t="s">
        <v>79</v>
      </c>
      <c r="AQ104" s="30">
        <v>45.6</v>
      </c>
    </row>
    <row r="105" spans="1:43" ht="15" customHeight="1" x14ac:dyDescent="0.3">
      <c r="A105" s="101" t="s">
        <v>624</v>
      </c>
      <c r="B105" s="90" t="s">
        <v>137</v>
      </c>
      <c r="C105" s="91">
        <v>44582</v>
      </c>
      <c r="D105" s="91">
        <v>45893</v>
      </c>
      <c r="E105" s="92">
        <v>1</v>
      </c>
      <c r="F105" s="90" t="s">
        <v>276</v>
      </c>
      <c r="G105" s="90" t="s">
        <v>601</v>
      </c>
      <c r="H105" s="90" t="s">
        <v>279</v>
      </c>
      <c r="I105" s="90">
        <v>0</v>
      </c>
      <c r="J105" s="91">
        <v>46020</v>
      </c>
      <c r="K105" s="90" t="s">
        <v>131</v>
      </c>
      <c r="L105" s="90" t="s">
        <v>132</v>
      </c>
      <c r="M105" s="90" t="s">
        <v>593</v>
      </c>
      <c r="N105" s="90" t="s">
        <v>133</v>
      </c>
      <c r="O105" s="90" t="s">
        <v>144</v>
      </c>
      <c r="P105" s="90" t="s">
        <v>596</v>
      </c>
      <c r="Q105" s="90" t="s">
        <v>130</v>
      </c>
      <c r="R105" s="92">
        <v>2</v>
      </c>
      <c r="S105" s="30">
        <v>53</v>
      </c>
      <c r="T105" s="91">
        <v>46058</v>
      </c>
      <c r="U105" s="90" t="s">
        <v>582</v>
      </c>
      <c r="V105" s="91"/>
      <c r="W105" s="90"/>
      <c r="X105" s="92">
        <v>45</v>
      </c>
      <c r="Y105" s="30">
        <v>352</v>
      </c>
      <c r="Z105" s="30">
        <v>8052</v>
      </c>
      <c r="AA105" s="30">
        <v>8052</v>
      </c>
      <c r="AB105" s="91">
        <v>45893</v>
      </c>
      <c r="AC105" s="91"/>
      <c r="AD105" s="91"/>
      <c r="AE105" s="90"/>
      <c r="AF105" s="90"/>
      <c r="AG105" s="30"/>
      <c r="AH105" s="90">
        <v>1</v>
      </c>
      <c r="AI105" s="90">
        <v>1</v>
      </c>
      <c r="AJ105" s="90">
        <v>0</v>
      </c>
      <c r="AK105" s="92">
        <v>2025</v>
      </c>
      <c r="AL105" s="90" t="s">
        <v>231</v>
      </c>
      <c r="AM105" s="92">
        <v>127</v>
      </c>
      <c r="AN105" s="90" t="s">
        <v>155</v>
      </c>
      <c r="AO105" s="90">
        <v>1</v>
      </c>
      <c r="AP105" s="90" t="s">
        <v>79</v>
      </c>
      <c r="AQ105" s="30">
        <v>47.3</v>
      </c>
    </row>
    <row r="106" spans="1:43" ht="15" customHeight="1" outlineLevel="1" x14ac:dyDescent="0.3">
      <c r="A106" s="101" t="s">
        <v>625</v>
      </c>
      <c r="B106" s="90" t="s">
        <v>130</v>
      </c>
      <c r="C106" s="91">
        <v>45715</v>
      </c>
      <c r="D106" s="91"/>
      <c r="E106" s="92">
        <v>0</v>
      </c>
      <c r="F106" s="90"/>
      <c r="G106" s="90"/>
      <c r="H106" s="90"/>
      <c r="I106" s="90"/>
      <c r="J106" s="91">
        <v>46152</v>
      </c>
      <c r="K106" s="90" t="s">
        <v>131</v>
      </c>
      <c r="L106" s="90" t="s">
        <v>132</v>
      </c>
      <c r="M106" s="90" t="s">
        <v>593</v>
      </c>
      <c r="N106" s="90" t="s">
        <v>133</v>
      </c>
      <c r="O106" s="90" t="s">
        <v>154</v>
      </c>
      <c r="P106" s="90" t="s">
        <v>596</v>
      </c>
      <c r="Q106" s="90" t="s">
        <v>137</v>
      </c>
      <c r="R106" s="92">
        <v>1</v>
      </c>
      <c r="S106" s="30"/>
      <c r="T106" s="91">
        <v>46185</v>
      </c>
      <c r="U106" s="90" t="s">
        <v>582</v>
      </c>
      <c r="V106" s="91"/>
      <c r="W106" s="90"/>
      <c r="X106" s="92">
        <v>45</v>
      </c>
      <c r="Y106" s="30"/>
      <c r="Z106" s="30"/>
      <c r="AA106" s="30"/>
      <c r="AB106" s="91"/>
      <c r="AC106" s="91"/>
      <c r="AD106" s="91"/>
      <c r="AE106" s="90"/>
      <c r="AF106" s="90"/>
      <c r="AG106" s="30"/>
      <c r="AH106" s="90">
        <v>1</v>
      </c>
      <c r="AI106" s="90">
        <v>1</v>
      </c>
      <c r="AJ106" s="90">
        <v>0</v>
      </c>
      <c r="AK106" s="92">
        <v>2026</v>
      </c>
      <c r="AL106" s="90" t="s">
        <v>236</v>
      </c>
      <c r="AM106" s="92"/>
      <c r="AN106" s="90"/>
      <c r="AO106" s="90">
        <v>1</v>
      </c>
      <c r="AP106" s="90" t="s">
        <v>80</v>
      </c>
      <c r="AQ106" s="30">
        <v>14.4</v>
      </c>
    </row>
    <row r="107" spans="1:43" ht="15" customHeight="1" outlineLevel="1" x14ac:dyDescent="0.3">
      <c r="A107" s="101" t="s">
        <v>626</v>
      </c>
      <c r="B107" s="90" t="s">
        <v>130</v>
      </c>
      <c r="C107" s="91">
        <v>45601</v>
      </c>
      <c r="D107" s="91"/>
      <c r="E107" s="92">
        <v>0</v>
      </c>
      <c r="F107" s="90"/>
      <c r="G107" s="90"/>
      <c r="H107" s="90"/>
      <c r="I107" s="90"/>
      <c r="J107" s="91">
        <v>46086</v>
      </c>
      <c r="K107" s="90" t="s">
        <v>124</v>
      </c>
      <c r="L107" s="90" t="s">
        <v>132</v>
      </c>
      <c r="M107" s="90" t="s">
        <v>593</v>
      </c>
      <c r="N107" s="90"/>
      <c r="O107" s="90" t="s">
        <v>171</v>
      </c>
      <c r="P107" s="90"/>
      <c r="Q107" s="90" t="s">
        <v>130</v>
      </c>
      <c r="R107" s="92">
        <v>1</v>
      </c>
      <c r="S107" s="30"/>
      <c r="T107" s="91">
        <v>46141</v>
      </c>
      <c r="U107" s="90" t="s">
        <v>582</v>
      </c>
      <c r="V107" s="91">
        <v>46164</v>
      </c>
      <c r="W107" s="90" t="s">
        <v>569</v>
      </c>
      <c r="X107" s="92">
        <v>45</v>
      </c>
      <c r="Y107" s="30"/>
      <c r="Z107" s="30"/>
      <c r="AA107" s="30"/>
      <c r="AB107" s="91"/>
      <c r="AC107" s="91"/>
      <c r="AD107" s="91"/>
      <c r="AE107" s="90"/>
      <c r="AF107" s="90"/>
      <c r="AG107" s="30"/>
      <c r="AH107" s="90">
        <v>1</v>
      </c>
      <c r="AI107" s="90">
        <v>1</v>
      </c>
      <c r="AJ107" s="90">
        <v>1</v>
      </c>
      <c r="AK107" s="92">
        <v>2026</v>
      </c>
      <c r="AL107" s="90" t="s">
        <v>234</v>
      </c>
      <c r="AM107" s="92"/>
      <c r="AN107" s="90"/>
      <c r="AO107" s="90">
        <v>0</v>
      </c>
      <c r="AP107" s="90" t="s">
        <v>80</v>
      </c>
      <c r="AQ107" s="30">
        <v>16</v>
      </c>
    </row>
    <row r="108" spans="1:43" ht="15" customHeight="1" outlineLevel="1" x14ac:dyDescent="0.3">
      <c r="A108" s="101" t="s">
        <v>626</v>
      </c>
      <c r="B108" s="90" t="s">
        <v>130</v>
      </c>
      <c r="C108" s="91">
        <v>45601</v>
      </c>
      <c r="D108" s="91"/>
      <c r="E108" s="92">
        <v>0</v>
      </c>
      <c r="F108" s="90"/>
      <c r="G108" s="90"/>
      <c r="H108" s="90"/>
      <c r="I108" s="90"/>
      <c r="J108" s="91">
        <v>46175</v>
      </c>
      <c r="K108" s="90" t="s">
        <v>131</v>
      </c>
      <c r="L108" s="90" t="s">
        <v>132</v>
      </c>
      <c r="M108" s="90" t="s">
        <v>593</v>
      </c>
      <c r="N108" s="90" t="s">
        <v>133</v>
      </c>
      <c r="O108" s="90" t="s">
        <v>159</v>
      </c>
      <c r="P108" s="90" t="s">
        <v>596</v>
      </c>
      <c r="Q108" s="90" t="s">
        <v>137</v>
      </c>
      <c r="R108" s="92">
        <v>2</v>
      </c>
      <c r="S108" s="30">
        <v>89</v>
      </c>
      <c r="T108" s="91">
        <v>46196</v>
      </c>
      <c r="U108" s="90" t="s">
        <v>602</v>
      </c>
      <c r="V108" s="91"/>
      <c r="W108" s="90"/>
      <c r="X108" s="92">
        <v>45</v>
      </c>
      <c r="Y108" s="30"/>
      <c r="Z108" s="30"/>
      <c r="AA108" s="30"/>
      <c r="AB108" s="91"/>
      <c r="AC108" s="91"/>
      <c r="AD108" s="91"/>
      <c r="AE108" s="90"/>
      <c r="AF108" s="90"/>
      <c r="AG108" s="30"/>
      <c r="AH108" s="90">
        <v>0</v>
      </c>
      <c r="AI108" s="90">
        <v>1</v>
      </c>
      <c r="AJ108" s="90">
        <v>0</v>
      </c>
      <c r="AK108" s="92">
        <v>2026</v>
      </c>
      <c r="AL108" s="90" t="s">
        <v>237</v>
      </c>
      <c r="AM108" s="92"/>
      <c r="AN108" s="90"/>
      <c r="AO108" s="90">
        <v>0</v>
      </c>
      <c r="AP108" s="90" t="s">
        <v>80</v>
      </c>
      <c r="AQ108" s="30">
        <v>18.899999999999999</v>
      </c>
    </row>
    <row r="109" spans="1:43" ht="15" customHeight="1" outlineLevel="1" x14ac:dyDescent="0.3">
      <c r="A109" s="101" t="s">
        <v>626</v>
      </c>
      <c r="B109" s="90" t="s">
        <v>130</v>
      </c>
      <c r="C109" s="91">
        <v>45601</v>
      </c>
      <c r="D109" s="91"/>
      <c r="E109" s="92">
        <v>0</v>
      </c>
      <c r="F109" s="90"/>
      <c r="G109" s="90"/>
      <c r="H109" s="90"/>
      <c r="I109" s="90"/>
      <c r="J109" s="91">
        <v>46196</v>
      </c>
      <c r="K109" s="90" t="s">
        <v>131</v>
      </c>
      <c r="L109" s="90" t="s">
        <v>125</v>
      </c>
      <c r="M109" s="90"/>
      <c r="N109" s="90" t="s">
        <v>133</v>
      </c>
      <c r="O109" s="90" t="s">
        <v>1512</v>
      </c>
      <c r="P109" s="90" t="s">
        <v>1530</v>
      </c>
      <c r="Q109" s="90" t="s">
        <v>137</v>
      </c>
      <c r="R109" s="92">
        <v>3</v>
      </c>
      <c r="S109" s="30">
        <v>21</v>
      </c>
      <c r="T109" s="91"/>
      <c r="U109" s="90" t="s">
        <v>611</v>
      </c>
      <c r="V109" s="91"/>
      <c r="W109" s="90"/>
      <c r="X109" s="92">
        <v>45</v>
      </c>
      <c r="Y109" s="30"/>
      <c r="Z109" s="30"/>
      <c r="AA109" s="30"/>
      <c r="AB109" s="91"/>
      <c r="AC109" s="91"/>
      <c r="AD109" s="91"/>
      <c r="AE109" s="90"/>
      <c r="AF109" s="90"/>
      <c r="AG109" s="30"/>
      <c r="AH109" s="90">
        <v>0</v>
      </c>
      <c r="AI109" s="90">
        <v>0</v>
      </c>
      <c r="AJ109" s="90">
        <v>0</v>
      </c>
      <c r="AK109" s="92">
        <v>2026</v>
      </c>
      <c r="AL109" s="90" t="s">
        <v>237</v>
      </c>
      <c r="AM109" s="92"/>
      <c r="AN109" s="90"/>
      <c r="AO109" s="90">
        <v>1</v>
      </c>
      <c r="AP109" s="90" t="s">
        <v>80</v>
      </c>
      <c r="AQ109" s="30">
        <v>19.600000000000001</v>
      </c>
    </row>
    <row r="110" spans="1:43" ht="15" customHeight="1" outlineLevel="1" x14ac:dyDescent="0.3">
      <c r="A110" s="101" t="s">
        <v>627</v>
      </c>
      <c r="B110" s="90" t="s">
        <v>130</v>
      </c>
      <c r="C110" s="91">
        <v>45461</v>
      </c>
      <c r="D110" s="91"/>
      <c r="E110" s="92">
        <v>0</v>
      </c>
      <c r="F110" s="90"/>
      <c r="G110" s="90"/>
      <c r="H110" s="90"/>
      <c r="I110" s="90"/>
      <c r="J110" s="91">
        <v>45948</v>
      </c>
      <c r="K110" s="90" t="s">
        <v>124</v>
      </c>
      <c r="L110" s="90" t="s">
        <v>125</v>
      </c>
      <c r="M110" s="90"/>
      <c r="N110" s="90"/>
      <c r="O110" s="90" t="s">
        <v>171</v>
      </c>
      <c r="P110" s="90"/>
      <c r="Q110" s="90" t="s">
        <v>130</v>
      </c>
      <c r="R110" s="92">
        <v>1</v>
      </c>
      <c r="S110" s="30"/>
      <c r="T110" s="91">
        <v>46141</v>
      </c>
      <c r="U110" s="90" t="s">
        <v>582</v>
      </c>
      <c r="V110" s="91"/>
      <c r="W110" s="90"/>
      <c r="X110" s="92">
        <v>45</v>
      </c>
      <c r="Y110" s="30"/>
      <c r="Z110" s="30"/>
      <c r="AA110" s="30"/>
      <c r="AB110" s="91"/>
      <c r="AC110" s="91"/>
      <c r="AD110" s="91"/>
      <c r="AE110" s="90"/>
      <c r="AF110" s="90"/>
      <c r="AG110" s="30"/>
      <c r="AH110" s="90">
        <v>1</v>
      </c>
      <c r="AI110" s="90">
        <v>1</v>
      </c>
      <c r="AJ110" s="90">
        <v>0</v>
      </c>
      <c r="AK110" s="92">
        <v>2025</v>
      </c>
      <c r="AL110" s="90" t="s">
        <v>229</v>
      </c>
      <c r="AM110" s="92"/>
      <c r="AN110" s="90"/>
      <c r="AO110" s="90">
        <v>1</v>
      </c>
      <c r="AP110" s="90" t="s">
        <v>80</v>
      </c>
      <c r="AQ110" s="30">
        <v>16</v>
      </c>
    </row>
    <row r="111" spans="1:43" ht="15" customHeight="1" outlineLevel="1" x14ac:dyDescent="0.3">
      <c r="A111" s="101" t="s">
        <v>628</v>
      </c>
      <c r="B111" s="90" t="s">
        <v>130</v>
      </c>
      <c r="C111" s="91">
        <v>45628</v>
      </c>
      <c r="D111" s="91"/>
      <c r="E111" s="92">
        <v>0</v>
      </c>
      <c r="F111" s="90"/>
      <c r="G111" s="90"/>
      <c r="H111" s="90"/>
      <c r="I111" s="90"/>
      <c r="J111" s="91">
        <v>46114</v>
      </c>
      <c r="K111" s="90" t="s">
        <v>124</v>
      </c>
      <c r="L111" s="90" t="s">
        <v>132</v>
      </c>
      <c r="M111" s="90" t="s">
        <v>593</v>
      </c>
      <c r="N111" s="90"/>
      <c r="O111" s="90" t="s">
        <v>171</v>
      </c>
      <c r="P111" s="90"/>
      <c r="Q111" s="90" t="s">
        <v>130</v>
      </c>
      <c r="R111" s="92">
        <v>1</v>
      </c>
      <c r="S111" s="30"/>
      <c r="T111" s="91">
        <v>46141</v>
      </c>
      <c r="U111" s="90" t="s">
        <v>602</v>
      </c>
      <c r="V111" s="91"/>
      <c r="W111" s="90"/>
      <c r="X111" s="92">
        <v>45</v>
      </c>
      <c r="Y111" s="30"/>
      <c r="Z111" s="30"/>
      <c r="AA111" s="30"/>
      <c r="AB111" s="91"/>
      <c r="AC111" s="91"/>
      <c r="AD111" s="91"/>
      <c r="AE111" s="90"/>
      <c r="AF111" s="90"/>
      <c r="AG111" s="30"/>
      <c r="AH111" s="90">
        <v>0</v>
      </c>
      <c r="AI111" s="90">
        <v>1</v>
      </c>
      <c r="AJ111" s="90">
        <v>0</v>
      </c>
      <c r="AK111" s="92">
        <v>2026</v>
      </c>
      <c r="AL111" s="90" t="s">
        <v>235</v>
      </c>
      <c r="AM111" s="92"/>
      <c r="AN111" s="90"/>
      <c r="AO111" s="90">
        <v>0</v>
      </c>
      <c r="AP111" s="90" t="s">
        <v>80</v>
      </c>
      <c r="AQ111" s="30">
        <v>16</v>
      </c>
    </row>
    <row r="112" spans="1:43" ht="15" customHeight="1" outlineLevel="1" x14ac:dyDescent="0.3">
      <c r="A112" s="101" t="s">
        <v>628</v>
      </c>
      <c r="B112" s="90" t="s">
        <v>130</v>
      </c>
      <c r="C112" s="91">
        <v>45628</v>
      </c>
      <c r="D112" s="91"/>
      <c r="E112" s="92">
        <v>0</v>
      </c>
      <c r="F112" s="90"/>
      <c r="G112" s="90"/>
      <c r="H112" s="90"/>
      <c r="I112" s="90"/>
      <c r="J112" s="91">
        <v>46152</v>
      </c>
      <c r="K112" s="90" t="s">
        <v>124</v>
      </c>
      <c r="L112" s="90" t="s">
        <v>132</v>
      </c>
      <c r="M112" s="90" t="s">
        <v>593</v>
      </c>
      <c r="N112" s="90"/>
      <c r="O112" s="90" t="s">
        <v>629</v>
      </c>
      <c r="P112" s="90"/>
      <c r="Q112" s="90" t="s">
        <v>245</v>
      </c>
      <c r="R112" s="92">
        <v>2</v>
      </c>
      <c r="S112" s="30">
        <v>38</v>
      </c>
      <c r="T112" s="91">
        <v>46185</v>
      </c>
      <c r="U112" s="90" t="s">
        <v>582</v>
      </c>
      <c r="V112" s="91"/>
      <c r="W112" s="90"/>
      <c r="X112" s="92">
        <v>45</v>
      </c>
      <c r="Y112" s="30"/>
      <c r="Z112" s="30"/>
      <c r="AA112" s="30"/>
      <c r="AB112" s="91"/>
      <c r="AC112" s="91"/>
      <c r="AD112" s="91"/>
      <c r="AE112" s="90"/>
      <c r="AF112" s="90"/>
      <c r="AG112" s="30"/>
      <c r="AH112" s="90">
        <v>1</v>
      </c>
      <c r="AI112" s="90">
        <v>1</v>
      </c>
      <c r="AJ112" s="90">
        <v>0</v>
      </c>
      <c r="AK112" s="92">
        <v>2026</v>
      </c>
      <c r="AL112" s="90" t="s">
        <v>236</v>
      </c>
      <c r="AM112" s="92"/>
      <c r="AN112" s="90"/>
      <c r="AO112" s="90">
        <v>1</v>
      </c>
      <c r="AP112" s="90" t="s">
        <v>80</v>
      </c>
      <c r="AQ112" s="30">
        <v>17.2</v>
      </c>
    </row>
    <row r="113" spans="1:43" ht="15" customHeight="1" outlineLevel="1" x14ac:dyDescent="0.3">
      <c r="A113" s="101" t="s">
        <v>630</v>
      </c>
      <c r="B113" s="90" t="s">
        <v>130</v>
      </c>
      <c r="C113" s="91">
        <v>45147</v>
      </c>
      <c r="D113" s="91"/>
      <c r="E113" s="92">
        <v>0</v>
      </c>
      <c r="F113" s="90"/>
      <c r="G113" s="90"/>
      <c r="H113" s="90"/>
      <c r="I113" s="90"/>
      <c r="J113" s="91">
        <v>45605</v>
      </c>
      <c r="K113" s="90" t="s">
        <v>131</v>
      </c>
      <c r="L113" s="90" t="s">
        <v>125</v>
      </c>
      <c r="M113" s="90"/>
      <c r="N113" s="90" t="s">
        <v>138</v>
      </c>
      <c r="O113" s="90" t="s">
        <v>186</v>
      </c>
      <c r="P113" s="90" t="s">
        <v>596</v>
      </c>
      <c r="Q113" s="90" t="s">
        <v>130</v>
      </c>
      <c r="R113" s="92">
        <v>1</v>
      </c>
      <c r="S113" s="30"/>
      <c r="T113" s="91">
        <v>45635</v>
      </c>
      <c r="U113" s="90" t="s">
        <v>602</v>
      </c>
      <c r="V113" s="91"/>
      <c r="W113" s="90"/>
      <c r="X113" s="92">
        <v>45</v>
      </c>
      <c r="Y113" s="30"/>
      <c r="Z113" s="30"/>
      <c r="AA113" s="30">
        <v>5883</v>
      </c>
      <c r="AB113" s="91">
        <v>45965</v>
      </c>
      <c r="AC113" s="91"/>
      <c r="AD113" s="91"/>
      <c r="AE113" s="90"/>
      <c r="AF113" s="90"/>
      <c r="AG113" s="30"/>
      <c r="AH113" s="90">
        <v>0</v>
      </c>
      <c r="AI113" s="90">
        <v>1</v>
      </c>
      <c r="AJ113" s="90">
        <v>0</v>
      </c>
      <c r="AK113" s="92">
        <v>2024</v>
      </c>
      <c r="AL113" s="90" t="s">
        <v>219</v>
      </c>
      <c r="AM113" s="92"/>
      <c r="AN113" s="90"/>
      <c r="AO113" s="90">
        <v>0</v>
      </c>
      <c r="AP113" s="90" t="s">
        <v>80</v>
      </c>
      <c r="AQ113" s="30">
        <v>15.1</v>
      </c>
    </row>
    <row r="114" spans="1:43" ht="15" customHeight="1" x14ac:dyDescent="0.3">
      <c r="A114" s="101" t="s">
        <v>630</v>
      </c>
      <c r="B114" s="90" t="s">
        <v>130</v>
      </c>
      <c r="C114" s="91">
        <v>45147</v>
      </c>
      <c r="D114" s="91"/>
      <c r="E114" s="92">
        <v>0</v>
      </c>
      <c r="F114" s="90"/>
      <c r="G114" s="90"/>
      <c r="H114" s="90"/>
      <c r="I114" s="90"/>
      <c r="J114" s="91">
        <v>45682</v>
      </c>
      <c r="K114" s="90" t="s">
        <v>131</v>
      </c>
      <c r="L114" s="90" t="s">
        <v>125</v>
      </c>
      <c r="M114" s="90"/>
      <c r="N114" s="90" t="s">
        <v>138</v>
      </c>
      <c r="O114" s="90" t="s">
        <v>186</v>
      </c>
      <c r="P114" s="90" t="s">
        <v>596</v>
      </c>
      <c r="Q114" s="90" t="s">
        <v>130</v>
      </c>
      <c r="R114" s="92">
        <v>2</v>
      </c>
      <c r="S114" s="30">
        <v>77</v>
      </c>
      <c r="T114" s="91">
        <v>45718</v>
      </c>
      <c r="U114" s="90" t="s">
        <v>582</v>
      </c>
      <c r="V114" s="91"/>
      <c r="W114" s="90"/>
      <c r="X114" s="92">
        <v>45</v>
      </c>
      <c r="Y114" s="30"/>
      <c r="Z114" s="30"/>
      <c r="AA114" s="30">
        <v>5883</v>
      </c>
      <c r="AB114" s="91">
        <v>45965</v>
      </c>
      <c r="AC114" s="91"/>
      <c r="AD114" s="91"/>
      <c r="AE114" s="90"/>
      <c r="AF114" s="90"/>
      <c r="AG114" s="30"/>
      <c r="AH114" s="90">
        <v>1</v>
      </c>
      <c r="AI114" s="90">
        <v>1</v>
      </c>
      <c r="AJ114" s="90">
        <v>0</v>
      </c>
      <c r="AK114" s="92">
        <v>2025</v>
      </c>
      <c r="AL114" s="90" t="s">
        <v>221</v>
      </c>
      <c r="AM114" s="92"/>
      <c r="AN114" s="90"/>
      <c r="AO114" s="90">
        <v>0</v>
      </c>
      <c r="AP114" s="90" t="s">
        <v>80</v>
      </c>
      <c r="AQ114" s="30">
        <v>17.600000000000001</v>
      </c>
    </row>
    <row r="115" spans="1:43" ht="15" customHeight="1" outlineLevel="1" x14ac:dyDescent="0.3">
      <c r="A115" s="101" t="s">
        <v>630</v>
      </c>
      <c r="B115" s="90" t="s">
        <v>130</v>
      </c>
      <c r="C115" s="91">
        <v>45147</v>
      </c>
      <c r="D115" s="91">
        <v>45965</v>
      </c>
      <c r="E115" s="92">
        <v>1</v>
      </c>
      <c r="F115" s="90" t="s">
        <v>276</v>
      </c>
      <c r="G115" s="90"/>
      <c r="H115" s="90"/>
      <c r="I115" s="90">
        <v>0</v>
      </c>
      <c r="J115" s="91">
        <v>46007</v>
      </c>
      <c r="K115" s="90" t="s">
        <v>131</v>
      </c>
      <c r="L115" s="90" t="s">
        <v>125</v>
      </c>
      <c r="M115" s="90"/>
      <c r="N115" s="90" t="s">
        <v>133</v>
      </c>
      <c r="O115" s="90" t="s">
        <v>144</v>
      </c>
      <c r="P115" s="90" t="s">
        <v>596</v>
      </c>
      <c r="Q115" s="90" t="s">
        <v>130</v>
      </c>
      <c r="R115" s="92">
        <v>1</v>
      </c>
      <c r="S115" s="30"/>
      <c r="T115" s="91">
        <v>46037</v>
      </c>
      <c r="U115" s="90" t="s">
        <v>602</v>
      </c>
      <c r="V115" s="91"/>
      <c r="W115" s="90"/>
      <c r="X115" s="92">
        <v>45</v>
      </c>
      <c r="Y115" s="30">
        <v>352</v>
      </c>
      <c r="Z115" s="30">
        <v>5883</v>
      </c>
      <c r="AA115" s="30">
        <v>5883</v>
      </c>
      <c r="AB115" s="91">
        <v>45965</v>
      </c>
      <c r="AC115" s="91"/>
      <c r="AD115" s="91"/>
      <c r="AE115" s="90"/>
      <c r="AF115" s="90"/>
      <c r="AG115" s="30"/>
      <c r="AH115" s="90">
        <v>0</v>
      </c>
      <c r="AI115" s="90">
        <v>1</v>
      </c>
      <c r="AJ115" s="90">
        <v>0</v>
      </c>
      <c r="AK115" s="92">
        <v>2025</v>
      </c>
      <c r="AL115" s="90" t="s">
        <v>231</v>
      </c>
      <c r="AM115" s="92">
        <v>42</v>
      </c>
      <c r="AN115" s="90" t="s">
        <v>128</v>
      </c>
      <c r="AO115" s="90">
        <v>0</v>
      </c>
      <c r="AP115" s="90" t="s">
        <v>79</v>
      </c>
      <c r="AQ115" s="30">
        <v>28.3</v>
      </c>
    </row>
    <row r="116" spans="1:43" ht="15" customHeight="1" outlineLevel="1" x14ac:dyDescent="0.3">
      <c r="A116" s="101" t="s">
        <v>630</v>
      </c>
      <c r="B116" s="90" t="s">
        <v>130</v>
      </c>
      <c r="C116" s="91">
        <v>45147</v>
      </c>
      <c r="D116" s="91">
        <v>45965</v>
      </c>
      <c r="E116" s="92">
        <v>1</v>
      </c>
      <c r="F116" s="90" t="s">
        <v>276</v>
      </c>
      <c r="G116" s="90"/>
      <c r="H116" s="90"/>
      <c r="I116" s="90">
        <v>0</v>
      </c>
      <c r="J116" s="91">
        <v>46048</v>
      </c>
      <c r="K116" s="90" t="s">
        <v>131</v>
      </c>
      <c r="L116" s="90" t="s">
        <v>132</v>
      </c>
      <c r="M116" s="90" t="s">
        <v>593</v>
      </c>
      <c r="N116" s="90" t="s">
        <v>133</v>
      </c>
      <c r="O116" s="90" t="s">
        <v>144</v>
      </c>
      <c r="P116" s="90" t="s">
        <v>596</v>
      </c>
      <c r="Q116" s="90" t="s">
        <v>130</v>
      </c>
      <c r="R116" s="92">
        <v>2</v>
      </c>
      <c r="S116" s="30">
        <v>41</v>
      </c>
      <c r="T116" s="91">
        <v>46079</v>
      </c>
      <c r="U116" s="90" t="s">
        <v>582</v>
      </c>
      <c r="V116" s="91"/>
      <c r="W116" s="90"/>
      <c r="X116" s="92">
        <v>45</v>
      </c>
      <c r="Y116" s="30">
        <v>352</v>
      </c>
      <c r="Z116" s="30">
        <v>5883</v>
      </c>
      <c r="AA116" s="30">
        <v>5883</v>
      </c>
      <c r="AB116" s="91">
        <v>45965</v>
      </c>
      <c r="AC116" s="91"/>
      <c r="AD116" s="91"/>
      <c r="AE116" s="90"/>
      <c r="AF116" s="90"/>
      <c r="AG116" s="30"/>
      <c r="AH116" s="90">
        <v>1</v>
      </c>
      <c r="AI116" s="90">
        <v>1</v>
      </c>
      <c r="AJ116" s="90">
        <v>0</v>
      </c>
      <c r="AK116" s="92">
        <v>2026</v>
      </c>
      <c r="AL116" s="90" t="s">
        <v>232</v>
      </c>
      <c r="AM116" s="92">
        <v>83</v>
      </c>
      <c r="AN116" s="90" t="s">
        <v>140</v>
      </c>
      <c r="AO116" s="90">
        <v>1</v>
      </c>
      <c r="AP116" s="90" t="s">
        <v>79</v>
      </c>
      <c r="AQ116" s="30">
        <v>29.6</v>
      </c>
    </row>
    <row r="117" spans="1:43" ht="15" customHeight="1" outlineLevel="1" x14ac:dyDescent="0.3">
      <c r="A117" s="101" t="s">
        <v>631</v>
      </c>
      <c r="B117" s="90" t="s">
        <v>130</v>
      </c>
      <c r="C117" s="91">
        <v>45635</v>
      </c>
      <c r="D117" s="91"/>
      <c r="E117" s="92">
        <v>0</v>
      </c>
      <c r="F117" s="90"/>
      <c r="G117" s="90"/>
      <c r="H117" s="90"/>
      <c r="I117" s="90"/>
      <c r="J117" s="91">
        <v>46142</v>
      </c>
      <c r="K117" s="90" t="s">
        <v>131</v>
      </c>
      <c r="L117" s="90" t="s">
        <v>125</v>
      </c>
      <c r="M117" s="90"/>
      <c r="N117" s="90"/>
      <c r="O117" s="90" t="s">
        <v>154</v>
      </c>
      <c r="P117" s="90" t="s">
        <v>596</v>
      </c>
      <c r="Q117" s="90" t="s">
        <v>137</v>
      </c>
      <c r="R117" s="92">
        <v>1</v>
      </c>
      <c r="S117" s="30"/>
      <c r="T117" s="91">
        <v>46185</v>
      </c>
      <c r="U117" s="90" t="s">
        <v>582</v>
      </c>
      <c r="V117" s="91"/>
      <c r="W117" s="90"/>
      <c r="X117" s="92">
        <v>45</v>
      </c>
      <c r="Y117" s="30"/>
      <c r="Z117" s="30"/>
      <c r="AA117" s="30"/>
      <c r="AB117" s="91"/>
      <c r="AC117" s="91"/>
      <c r="AD117" s="91"/>
      <c r="AE117" s="90"/>
      <c r="AF117" s="90"/>
      <c r="AG117" s="30"/>
      <c r="AH117" s="90">
        <v>1</v>
      </c>
      <c r="AI117" s="90">
        <v>1</v>
      </c>
      <c r="AJ117" s="90">
        <v>0</v>
      </c>
      <c r="AK117" s="92">
        <v>2026</v>
      </c>
      <c r="AL117" s="90" t="s">
        <v>235</v>
      </c>
      <c r="AM117" s="92"/>
      <c r="AN117" s="90"/>
      <c r="AO117" s="90">
        <v>1</v>
      </c>
      <c r="AP117" s="90" t="s">
        <v>80</v>
      </c>
      <c r="AQ117" s="30">
        <v>16.7</v>
      </c>
    </row>
    <row r="118" spans="1:43" ht="15" customHeight="1" outlineLevel="1" x14ac:dyDescent="0.3">
      <c r="A118" s="101" t="s">
        <v>632</v>
      </c>
      <c r="B118" s="90" t="s">
        <v>130</v>
      </c>
      <c r="C118" s="91">
        <v>45454</v>
      </c>
      <c r="D118" s="91"/>
      <c r="E118" s="92">
        <v>0</v>
      </c>
      <c r="F118" s="90"/>
      <c r="G118" s="90"/>
      <c r="H118" s="90"/>
      <c r="I118" s="90"/>
      <c r="J118" s="91">
        <v>45941</v>
      </c>
      <c r="K118" s="90" t="s">
        <v>124</v>
      </c>
      <c r="L118" s="90" t="s">
        <v>132</v>
      </c>
      <c r="M118" s="90" t="s">
        <v>593</v>
      </c>
      <c r="N118" s="90"/>
      <c r="O118" s="90" t="s">
        <v>171</v>
      </c>
      <c r="P118" s="90"/>
      <c r="Q118" s="90" t="s">
        <v>130</v>
      </c>
      <c r="R118" s="92">
        <v>1</v>
      </c>
      <c r="S118" s="30"/>
      <c r="T118" s="91">
        <v>46141</v>
      </c>
      <c r="U118" s="90" t="s">
        <v>582</v>
      </c>
      <c r="V118" s="91"/>
      <c r="W118" s="90"/>
      <c r="X118" s="92">
        <v>45</v>
      </c>
      <c r="Y118" s="30"/>
      <c r="Z118" s="30"/>
      <c r="AA118" s="30"/>
      <c r="AB118" s="91"/>
      <c r="AC118" s="91"/>
      <c r="AD118" s="91"/>
      <c r="AE118" s="90"/>
      <c r="AF118" s="90"/>
      <c r="AG118" s="30"/>
      <c r="AH118" s="90">
        <v>1</v>
      </c>
      <c r="AI118" s="90">
        <v>1</v>
      </c>
      <c r="AJ118" s="90">
        <v>0</v>
      </c>
      <c r="AK118" s="92">
        <v>2025</v>
      </c>
      <c r="AL118" s="90" t="s">
        <v>229</v>
      </c>
      <c r="AM118" s="92"/>
      <c r="AN118" s="90"/>
      <c r="AO118" s="90">
        <v>1</v>
      </c>
      <c r="AP118" s="90" t="s">
        <v>80</v>
      </c>
      <c r="AQ118" s="30">
        <v>16</v>
      </c>
    </row>
    <row r="119" spans="1:43" ht="15" customHeight="1" outlineLevel="1" x14ac:dyDescent="0.3">
      <c r="A119" s="101" t="s">
        <v>633</v>
      </c>
      <c r="B119" s="90" t="s">
        <v>137</v>
      </c>
      <c r="C119" s="91">
        <v>45201</v>
      </c>
      <c r="D119" s="91"/>
      <c r="E119" s="92">
        <v>0</v>
      </c>
      <c r="F119" s="90"/>
      <c r="G119" s="90"/>
      <c r="H119" s="90"/>
      <c r="I119" s="90"/>
      <c r="J119" s="91">
        <v>45682</v>
      </c>
      <c r="K119" s="90" t="s">
        <v>131</v>
      </c>
      <c r="L119" s="90" t="s">
        <v>125</v>
      </c>
      <c r="M119" s="90"/>
      <c r="N119" s="90" t="s">
        <v>138</v>
      </c>
      <c r="O119" s="90" t="s">
        <v>186</v>
      </c>
      <c r="P119" s="90" t="s">
        <v>596</v>
      </c>
      <c r="Q119" s="90" t="s">
        <v>130</v>
      </c>
      <c r="R119" s="92">
        <v>1</v>
      </c>
      <c r="S119" s="30"/>
      <c r="T119" s="91">
        <v>45713</v>
      </c>
      <c r="U119" s="90" t="s">
        <v>602</v>
      </c>
      <c r="V119" s="91"/>
      <c r="W119" s="90"/>
      <c r="X119" s="92">
        <v>45</v>
      </c>
      <c r="Y119" s="30"/>
      <c r="Z119" s="30"/>
      <c r="AA119" s="30">
        <v>6215</v>
      </c>
      <c r="AB119" s="91">
        <v>46004</v>
      </c>
      <c r="AC119" s="91"/>
      <c r="AD119" s="91"/>
      <c r="AE119" s="90"/>
      <c r="AF119" s="90"/>
      <c r="AG119" s="30"/>
      <c r="AH119" s="90">
        <v>0</v>
      </c>
      <c r="AI119" s="90">
        <v>1</v>
      </c>
      <c r="AJ119" s="90">
        <v>0</v>
      </c>
      <c r="AK119" s="92">
        <v>2025</v>
      </c>
      <c r="AL119" s="90" t="s">
        <v>221</v>
      </c>
      <c r="AM119" s="92"/>
      <c r="AN119" s="90"/>
      <c r="AO119" s="90">
        <v>0</v>
      </c>
      <c r="AP119" s="90" t="s">
        <v>80</v>
      </c>
      <c r="AQ119" s="30">
        <v>15.8</v>
      </c>
    </row>
    <row r="120" spans="1:43" ht="15" customHeight="1" outlineLevel="1" x14ac:dyDescent="0.3">
      <c r="A120" s="101" t="s">
        <v>633</v>
      </c>
      <c r="B120" s="90" t="s">
        <v>137</v>
      </c>
      <c r="C120" s="91">
        <v>45201</v>
      </c>
      <c r="D120" s="91"/>
      <c r="E120" s="92">
        <v>0</v>
      </c>
      <c r="F120" s="90"/>
      <c r="G120" s="90"/>
      <c r="H120" s="90"/>
      <c r="I120" s="90"/>
      <c r="J120" s="91">
        <v>45729</v>
      </c>
      <c r="K120" s="90" t="s">
        <v>131</v>
      </c>
      <c r="L120" s="90" t="s">
        <v>125</v>
      </c>
      <c r="M120" s="90"/>
      <c r="N120" s="90" t="s">
        <v>138</v>
      </c>
      <c r="O120" s="90" t="s">
        <v>186</v>
      </c>
      <c r="P120" s="90" t="s">
        <v>596</v>
      </c>
      <c r="Q120" s="90" t="s">
        <v>130</v>
      </c>
      <c r="R120" s="92">
        <v>2</v>
      </c>
      <c r="S120" s="30">
        <v>47</v>
      </c>
      <c r="T120" s="91">
        <v>45770</v>
      </c>
      <c r="U120" s="90" t="s">
        <v>582</v>
      </c>
      <c r="V120" s="91"/>
      <c r="W120" s="90"/>
      <c r="X120" s="92">
        <v>45</v>
      </c>
      <c r="Y120" s="30"/>
      <c r="Z120" s="30"/>
      <c r="AA120" s="30">
        <v>6215</v>
      </c>
      <c r="AB120" s="91">
        <v>46004</v>
      </c>
      <c r="AC120" s="91"/>
      <c r="AD120" s="91"/>
      <c r="AE120" s="90"/>
      <c r="AF120" s="90"/>
      <c r="AG120" s="30"/>
      <c r="AH120" s="90">
        <v>1</v>
      </c>
      <c r="AI120" s="90">
        <v>1</v>
      </c>
      <c r="AJ120" s="90">
        <v>0</v>
      </c>
      <c r="AK120" s="92">
        <v>2025</v>
      </c>
      <c r="AL120" s="90" t="s">
        <v>223</v>
      </c>
      <c r="AM120" s="92"/>
      <c r="AN120" s="90"/>
      <c r="AO120" s="90">
        <v>0</v>
      </c>
      <c r="AP120" s="90" t="s">
        <v>80</v>
      </c>
      <c r="AQ120" s="30">
        <v>17.399999999999999</v>
      </c>
    </row>
    <row r="121" spans="1:43" ht="15" customHeight="1" outlineLevel="1" x14ac:dyDescent="0.3">
      <c r="A121" s="101" t="s">
        <v>633</v>
      </c>
      <c r="B121" s="90" t="s">
        <v>137</v>
      </c>
      <c r="C121" s="91">
        <v>45201</v>
      </c>
      <c r="D121" s="91">
        <v>46004</v>
      </c>
      <c r="E121" s="92">
        <v>1</v>
      </c>
      <c r="F121" s="90" t="s">
        <v>274</v>
      </c>
      <c r="G121" s="90" t="s">
        <v>601</v>
      </c>
      <c r="H121" s="90" t="s">
        <v>278</v>
      </c>
      <c r="I121" s="90">
        <v>0</v>
      </c>
      <c r="J121" s="91">
        <v>46069</v>
      </c>
      <c r="K121" s="90" t="s">
        <v>131</v>
      </c>
      <c r="L121" s="90" t="s">
        <v>132</v>
      </c>
      <c r="M121" s="90" t="s">
        <v>593</v>
      </c>
      <c r="N121" s="90" t="s">
        <v>133</v>
      </c>
      <c r="O121" s="90" t="s">
        <v>144</v>
      </c>
      <c r="P121" s="90" t="s">
        <v>596</v>
      </c>
      <c r="Q121" s="90" t="s">
        <v>130</v>
      </c>
      <c r="R121" s="92">
        <v>1</v>
      </c>
      <c r="S121" s="30"/>
      <c r="T121" s="91">
        <v>46101</v>
      </c>
      <c r="U121" s="90" t="s">
        <v>602</v>
      </c>
      <c r="V121" s="91"/>
      <c r="W121" s="90"/>
      <c r="X121" s="92">
        <v>45</v>
      </c>
      <c r="Y121" s="30"/>
      <c r="Z121" s="30">
        <v>6215</v>
      </c>
      <c r="AA121" s="30">
        <v>6215</v>
      </c>
      <c r="AB121" s="91">
        <v>46004</v>
      </c>
      <c r="AC121" s="91"/>
      <c r="AD121" s="91"/>
      <c r="AE121" s="90"/>
      <c r="AF121" s="90"/>
      <c r="AG121" s="30"/>
      <c r="AH121" s="90">
        <v>0</v>
      </c>
      <c r="AI121" s="90">
        <v>1</v>
      </c>
      <c r="AJ121" s="90">
        <v>0</v>
      </c>
      <c r="AK121" s="92">
        <v>2026</v>
      </c>
      <c r="AL121" s="90" t="s">
        <v>233</v>
      </c>
      <c r="AM121" s="92">
        <v>65</v>
      </c>
      <c r="AN121" s="90" t="s">
        <v>140</v>
      </c>
      <c r="AO121" s="90">
        <v>0</v>
      </c>
      <c r="AP121" s="90" t="s">
        <v>79</v>
      </c>
      <c r="AQ121" s="30">
        <v>28.6</v>
      </c>
    </row>
    <row r="122" spans="1:43" ht="15" customHeight="1" outlineLevel="1" x14ac:dyDescent="0.3">
      <c r="A122" s="101" t="s">
        <v>633</v>
      </c>
      <c r="B122" s="90" t="s">
        <v>137</v>
      </c>
      <c r="C122" s="91">
        <v>45201</v>
      </c>
      <c r="D122" s="91">
        <v>46004</v>
      </c>
      <c r="E122" s="92">
        <v>1</v>
      </c>
      <c r="F122" s="90" t="s">
        <v>274</v>
      </c>
      <c r="G122" s="90" t="s">
        <v>601</v>
      </c>
      <c r="H122" s="90" t="s">
        <v>278</v>
      </c>
      <c r="I122" s="90">
        <v>0</v>
      </c>
      <c r="J122" s="91">
        <v>46112</v>
      </c>
      <c r="K122" s="90" t="s">
        <v>131</v>
      </c>
      <c r="L122" s="90" t="s">
        <v>132</v>
      </c>
      <c r="M122" s="90" t="s">
        <v>593</v>
      </c>
      <c r="N122" s="90" t="s">
        <v>133</v>
      </c>
      <c r="O122" s="90" t="s">
        <v>154</v>
      </c>
      <c r="P122" s="90" t="s">
        <v>596</v>
      </c>
      <c r="Q122" s="90" t="s">
        <v>137</v>
      </c>
      <c r="R122" s="92">
        <v>2</v>
      </c>
      <c r="S122" s="30">
        <v>43</v>
      </c>
      <c r="T122" s="91">
        <v>46141</v>
      </c>
      <c r="U122" s="90" t="s">
        <v>602</v>
      </c>
      <c r="V122" s="91"/>
      <c r="W122" s="90"/>
      <c r="X122" s="92">
        <v>45</v>
      </c>
      <c r="Y122" s="30"/>
      <c r="Z122" s="30">
        <v>6215</v>
      </c>
      <c r="AA122" s="30">
        <v>6215</v>
      </c>
      <c r="AB122" s="91">
        <v>46004</v>
      </c>
      <c r="AC122" s="91"/>
      <c r="AD122" s="91"/>
      <c r="AE122" s="90"/>
      <c r="AF122" s="90"/>
      <c r="AG122" s="30"/>
      <c r="AH122" s="90">
        <v>0</v>
      </c>
      <c r="AI122" s="90">
        <v>1</v>
      </c>
      <c r="AJ122" s="90">
        <v>0</v>
      </c>
      <c r="AK122" s="92">
        <v>2026</v>
      </c>
      <c r="AL122" s="90" t="s">
        <v>234</v>
      </c>
      <c r="AM122" s="92">
        <v>108</v>
      </c>
      <c r="AN122" s="90" t="s">
        <v>150</v>
      </c>
      <c r="AO122" s="90">
        <v>0</v>
      </c>
      <c r="AP122" s="90" t="s">
        <v>79</v>
      </c>
      <c r="AQ122" s="30">
        <v>30</v>
      </c>
    </row>
    <row r="123" spans="1:43" ht="15" customHeight="1" outlineLevel="1" x14ac:dyDescent="0.3">
      <c r="A123" s="101" t="s">
        <v>633</v>
      </c>
      <c r="B123" s="90" t="s">
        <v>137</v>
      </c>
      <c r="C123" s="91">
        <v>45201</v>
      </c>
      <c r="D123" s="91">
        <v>46004</v>
      </c>
      <c r="E123" s="92">
        <v>1</v>
      </c>
      <c r="F123" s="90" t="s">
        <v>274</v>
      </c>
      <c r="G123" s="90" t="s">
        <v>601</v>
      </c>
      <c r="H123" s="90" t="s">
        <v>278</v>
      </c>
      <c r="I123" s="90">
        <v>0</v>
      </c>
      <c r="J123" s="91">
        <v>46152</v>
      </c>
      <c r="K123" s="90" t="s">
        <v>131</v>
      </c>
      <c r="L123" s="90" t="s">
        <v>132</v>
      </c>
      <c r="M123" s="90" t="s">
        <v>593</v>
      </c>
      <c r="N123" s="90" t="s">
        <v>133</v>
      </c>
      <c r="O123" s="90" t="s">
        <v>154</v>
      </c>
      <c r="P123" s="90" t="s">
        <v>596</v>
      </c>
      <c r="Q123" s="90" t="s">
        <v>137</v>
      </c>
      <c r="R123" s="92">
        <v>3</v>
      </c>
      <c r="S123" s="30">
        <v>40</v>
      </c>
      <c r="T123" s="91">
        <v>46185</v>
      </c>
      <c r="U123" s="90" t="s">
        <v>602</v>
      </c>
      <c r="V123" s="91"/>
      <c r="W123" s="90"/>
      <c r="X123" s="92">
        <v>45</v>
      </c>
      <c r="Y123" s="30"/>
      <c r="Z123" s="30">
        <v>6215</v>
      </c>
      <c r="AA123" s="30">
        <v>6215</v>
      </c>
      <c r="AB123" s="91">
        <v>46004</v>
      </c>
      <c r="AC123" s="91"/>
      <c r="AD123" s="91"/>
      <c r="AE123" s="90"/>
      <c r="AF123" s="90"/>
      <c r="AG123" s="30"/>
      <c r="AH123" s="90">
        <v>0</v>
      </c>
      <c r="AI123" s="90">
        <v>1</v>
      </c>
      <c r="AJ123" s="90">
        <v>0</v>
      </c>
      <c r="AK123" s="92">
        <v>2026</v>
      </c>
      <c r="AL123" s="90" t="s">
        <v>236</v>
      </c>
      <c r="AM123" s="92">
        <v>148</v>
      </c>
      <c r="AN123" s="90" t="s">
        <v>158</v>
      </c>
      <c r="AO123" s="90">
        <v>0</v>
      </c>
      <c r="AP123" s="90" t="s">
        <v>79</v>
      </c>
      <c r="AQ123" s="30">
        <v>31.3</v>
      </c>
    </row>
    <row r="124" spans="1:43" ht="15" customHeight="1" outlineLevel="1" x14ac:dyDescent="0.3">
      <c r="A124" s="101" t="s">
        <v>633</v>
      </c>
      <c r="B124" s="90" t="s">
        <v>137</v>
      </c>
      <c r="C124" s="91">
        <v>45201</v>
      </c>
      <c r="D124" s="91">
        <v>46004</v>
      </c>
      <c r="E124" s="92">
        <v>1</v>
      </c>
      <c r="F124" s="90" t="s">
        <v>274</v>
      </c>
      <c r="G124" s="90" t="s">
        <v>601</v>
      </c>
      <c r="H124" s="90" t="s">
        <v>278</v>
      </c>
      <c r="I124" s="90">
        <v>0</v>
      </c>
      <c r="J124" s="91">
        <v>46196</v>
      </c>
      <c r="K124" s="90" t="s">
        <v>124</v>
      </c>
      <c r="L124" s="90" t="s">
        <v>132</v>
      </c>
      <c r="M124" s="90" t="s">
        <v>593</v>
      </c>
      <c r="N124" s="90"/>
      <c r="O124" s="90" t="s">
        <v>177</v>
      </c>
      <c r="P124" s="90"/>
      <c r="Q124" s="90" t="s">
        <v>137</v>
      </c>
      <c r="R124" s="92">
        <v>4</v>
      </c>
      <c r="S124" s="30">
        <v>44</v>
      </c>
      <c r="T124" s="91"/>
      <c r="U124" s="90" t="s">
        <v>611</v>
      </c>
      <c r="V124" s="91"/>
      <c r="W124" s="90"/>
      <c r="X124" s="92">
        <v>45</v>
      </c>
      <c r="Y124" s="30"/>
      <c r="Z124" s="30">
        <v>6215</v>
      </c>
      <c r="AA124" s="30">
        <v>6215</v>
      </c>
      <c r="AB124" s="91">
        <v>46004</v>
      </c>
      <c r="AC124" s="91"/>
      <c r="AD124" s="91"/>
      <c r="AE124" s="90"/>
      <c r="AF124" s="90"/>
      <c r="AG124" s="30"/>
      <c r="AH124" s="90">
        <v>0</v>
      </c>
      <c r="AI124" s="90">
        <v>0</v>
      </c>
      <c r="AJ124" s="90">
        <v>0</v>
      </c>
      <c r="AK124" s="92">
        <v>2026</v>
      </c>
      <c r="AL124" s="90" t="s">
        <v>237</v>
      </c>
      <c r="AM124" s="92">
        <v>192</v>
      </c>
      <c r="AN124" s="90" t="s">
        <v>163</v>
      </c>
      <c r="AO124" s="90">
        <v>1</v>
      </c>
      <c r="AP124" s="90" t="s">
        <v>79</v>
      </c>
      <c r="AQ124" s="30">
        <v>32.700000000000003</v>
      </c>
    </row>
    <row r="125" spans="1:43" ht="15" customHeight="1" x14ac:dyDescent="0.3">
      <c r="A125" s="101" t="s">
        <v>634</v>
      </c>
      <c r="B125" s="90" t="s">
        <v>137</v>
      </c>
      <c r="C125" s="91">
        <v>45334</v>
      </c>
      <c r="D125" s="91"/>
      <c r="E125" s="92">
        <v>0</v>
      </c>
      <c r="F125" s="90"/>
      <c r="G125" s="90"/>
      <c r="H125" s="90"/>
      <c r="I125" s="90"/>
      <c r="J125" s="91">
        <v>45742</v>
      </c>
      <c r="K125" s="90" t="s">
        <v>131</v>
      </c>
      <c r="L125" s="90" t="s">
        <v>125</v>
      </c>
      <c r="M125" s="90"/>
      <c r="N125" s="90" t="s">
        <v>138</v>
      </c>
      <c r="O125" s="90" t="s">
        <v>186</v>
      </c>
      <c r="P125" s="90" t="s">
        <v>596</v>
      </c>
      <c r="Q125" s="90" t="s">
        <v>130</v>
      </c>
      <c r="R125" s="92">
        <v>1</v>
      </c>
      <c r="S125" s="30"/>
      <c r="T125" s="91">
        <v>45770</v>
      </c>
      <c r="U125" s="90" t="s">
        <v>582</v>
      </c>
      <c r="V125" s="91"/>
      <c r="W125" s="90"/>
      <c r="X125" s="92">
        <v>45</v>
      </c>
      <c r="Y125" s="30"/>
      <c r="Z125" s="30"/>
      <c r="AA125" s="30">
        <v>6496</v>
      </c>
      <c r="AB125" s="91">
        <v>46022</v>
      </c>
      <c r="AC125" s="91"/>
      <c r="AD125" s="91"/>
      <c r="AE125" s="90"/>
      <c r="AF125" s="90"/>
      <c r="AG125" s="30"/>
      <c r="AH125" s="90">
        <v>1</v>
      </c>
      <c r="AI125" s="90">
        <v>1</v>
      </c>
      <c r="AJ125" s="90">
        <v>0</v>
      </c>
      <c r="AK125" s="92">
        <v>2025</v>
      </c>
      <c r="AL125" s="90" t="s">
        <v>223</v>
      </c>
      <c r="AM125" s="92"/>
      <c r="AN125" s="90"/>
      <c r="AO125" s="90">
        <v>0</v>
      </c>
      <c r="AP125" s="90" t="s">
        <v>80</v>
      </c>
      <c r="AQ125" s="30">
        <v>13.4</v>
      </c>
    </row>
    <row r="126" spans="1:43" ht="15" customHeight="1" outlineLevel="1" x14ac:dyDescent="0.3">
      <c r="A126" s="101" t="s">
        <v>634</v>
      </c>
      <c r="B126" s="90" t="s">
        <v>137</v>
      </c>
      <c r="C126" s="91">
        <v>45334</v>
      </c>
      <c r="D126" s="91">
        <v>46022</v>
      </c>
      <c r="E126" s="92">
        <v>1</v>
      </c>
      <c r="F126" s="90" t="s">
        <v>276</v>
      </c>
      <c r="G126" s="90" t="s">
        <v>601</v>
      </c>
      <c r="H126" s="90" t="s">
        <v>278</v>
      </c>
      <c r="I126" s="90">
        <v>0</v>
      </c>
      <c r="J126" s="91">
        <v>46079</v>
      </c>
      <c r="K126" s="90" t="s">
        <v>131</v>
      </c>
      <c r="L126" s="90" t="s">
        <v>125</v>
      </c>
      <c r="M126" s="90"/>
      <c r="N126" s="90" t="s">
        <v>133</v>
      </c>
      <c r="O126" s="90" t="s">
        <v>144</v>
      </c>
      <c r="P126" s="90" t="s">
        <v>596</v>
      </c>
      <c r="Q126" s="90" t="s">
        <v>130</v>
      </c>
      <c r="R126" s="92">
        <v>1</v>
      </c>
      <c r="S126" s="30"/>
      <c r="T126" s="91">
        <v>46122</v>
      </c>
      <c r="U126" s="90" t="s">
        <v>582</v>
      </c>
      <c r="V126" s="91"/>
      <c r="W126" s="90"/>
      <c r="X126" s="92">
        <v>45</v>
      </c>
      <c r="Y126" s="30"/>
      <c r="Z126" s="30">
        <v>6496</v>
      </c>
      <c r="AA126" s="30">
        <v>6496</v>
      </c>
      <c r="AB126" s="91">
        <v>46022</v>
      </c>
      <c r="AC126" s="91"/>
      <c r="AD126" s="91"/>
      <c r="AE126" s="90"/>
      <c r="AF126" s="90"/>
      <c r="AG126" s="30"/>
      <c r="AH126" s="90">
        <v>1</v>
      </c>
      <c r="AI126" s="90">
        <v>1</v>
      </c>
      <c r="AJ126" s="90">
        <v>0</v>
      </c>
      <c r="AK126" s="92">
        <v>2026</v>
      </c>
      <c r="AL126" s="90" t="s">
        <v>233</v>
      </c>
      <c r="AM126" s="92">
        <v>57</v>
      </c>
      <c r="AN126" s="90" t="s">
        <v>135</v>
      </c>
      <c r="AO126" s="90">
        <v>1</v>
      </c>
      <c r="AP126" s="90" t="s">
        <v>79</v>
      </c>
      <c r="AQ126" s="30">
        <v>24.5</v>
      </c>
    </row>
    <row r="127" spans="1:43" ht="15" customHeight="1" outlineLevel="1" x14ac:dyDescent="0.3">
      <c r="A127" s="101" t="s">
        <v>635</v>
      </c>
      <c r="B127" s="90" t="s">
        <v>130</v>
      </c>
      <c r="C127" s="91">
        <v>45572</v>
      </c>
      <c r="D127" s="91"/>
      <c r="E127" s="92">
        <v>0</v>
      </c>
      <c r="F127" s="90"/>
      <c r="G127" s="90"/>
      <c r="H127" s="90"/>
      <c r="I127" s="90"/>
      <c r="J127" s="91">
        <v>46060</v>
      </c>
      <c r="K127" s="90" t="s">
        <v>124</v>
      </c>
      <c r="L127" s="90" t="s">
        <v>132</v>
      </c>
      <c r="M127" s="90" t="s">
        <v>593</v>
      </c>
      <c r="N127" s="90"/>
      <c r="O127" s="90" t="s">
        <v>171</v>
      </c>
      <c r="P127" s="90"/>
      <c r="Q127" s="90" t="s">
        <v>130</v>
      </c>
      <c r="R127" s="92">
        <v>1</v>
      </c>
      <c r="S127" s="30"/>
      <c r="T127" s="91">
        <v>46141</v>
      </c>
      <c r="U127" s="90" t="s">
        <v>582</v>
      </c>
      <c r="V127" s="91"/>
      <c r="W127" s="90"/>
      <c r="X127" s="92">
        <v>45</v>
      </c>
      <c r="Y127" s="30"/>
      <c r="Z127" s="30"/>
      <c r="AA127" s="30"/>
      <c r="AB127" s="91"/>
      <c r="AC127" s="91"/>
      <c r="AD127" s="91"/>
      <c r="AE127" s="90"/>
      <c r="AF127" s="90"/>
      <c r="AG127" s="30"/>
      <c r="AH127" s="90">
        <v>1</v>
      </c>
      <c r="AI127" s="90">
        <v>1</v>
      </c>
      <c r="AJ127" s="90">
        <v>0</v>
      </c>
      <c r="AK127" s="92">
        <v>2026</v>
      </c>
      <c r="AL127" s="90" t="s">
        <v>233</v>
      </c>
      <c r="AM127" s="92"/>
      <c r="AN127" s="90"/>
      <c r="AO127" s="90">
        <v>1</v>
      </c>
      <c r="AP127" s="90" t="s">
        <v>80</v>
      </c>
      <c r="AQ127" s="30">
        <v>16.100000000000001</v>
      </c>
    </row>
    <row r="128" spans="1:43" ht="15" customHeight="1" outlineLevel="1" x14ac:dyDescent="0.3">
      <c r="A128" s="101" t="s">
        <v>636</v>
      </c>
      <c r="B128" s="90" t="s">
        <v>130</v>
      </c>
      <c r="C128" s="91">
        <v>45554</v>
      </c>
      <c r="D128" s="91"/>
      <c r="E128" s="92">
        <v>0</v>
      </c>
      <c r="F128" s="90"/>
      <c r="G128" s="90"/>
      <c r="H128" s="90"/>
      <c r="I128" s="90"/>
      <c r="J128" s="91">
        <v>46041</v>
      </c>
      <c r="K128" s="90" t="s">
        <v>124</v>
      </c>
      <c r="L128" s="90" t="s">
        <v>132</v>
      </c>
      <c r="M128" s="90" t="s">
        <v>593</v>
      </c>
      <c r="N128" s="90"/>
      <c r="O128" s="90" t="s">
        <v>171</v>
      </c>
      <c r="P128" s="90"/>
      <c r="Q128" s="90" t="s">
        <v>130</v>
      </c>
      <c r="R128" s="92">
        <v>1</v>
      </c>
      <c r="S128" s="30"/>
      <c r="T128" s="91">
        <v>46141</v>
      </c>
      <c r="U128" s="90" t="s">
        <v>582</v>
      </c>
      <c r="V128" s="91"/>
      <c r="W128" s="90"/>
      <c r="X128" s="92">
        <v>45</v>
      </c>
      <c r="Y128" s="30"/>
      <c r="Z128" s="30"/>
      <c r="AA128" s="30"/>
      <c r="AB128" s="91"/>
      <c r="AC128" s="91"/>
      <c r="AD128" s="91"/>
      <c r="AE128" s="90"/>
      <c r="AF128" s="90"/>
      <c r="AG128" s="30"/>
      <c r="AH128" s="90">
        <v>1</v>
      </c>
      <c r="AI128" s="90">
        <v>1</v>
      </c>
      <c r="AJ128" s="90">
        <v>0</v>
      </c>
      <c r="AK128" s="92">
        <v>2026</v>
      </c>
      <c r="AL128" s="90" t="s">
        <v>232</v>
      </c>
      <c r="AM128" s="92"/>
      <c r="AN128" s="90"/>
      <c r="AO128" s="90">
        <v>1</v>
      </c>
      <c r="AP128" s="90" t="s">
        <v>80</v>
      </c>
      <c r="AQ128" s="30">
        <v>16</v>
      </c>
    </row>
    <row r="129" spans="1:43" ht="15" customHeight="1" outlineLevel="1" x14ac:dyDescent="0.3">
      <c r="A129" s="101" t="s">
        <v>637</v>
      </c>
      <c r="B129" s="90" t="s">
        <v>130</v>
      </c>
      <c r="C129" s="91">
        <v>45564</v>
      </c>
      <c r="D129" s="91"/>
      <c r="E129" s="92">
        <v>0</v>
      </c>
      <c r="F129" s="90"/>
      <c r="G129" s="90"/>
      <c r="H129" s="90"/>
      <c r="I129" s="90"/>
      <c r="J129" s="91">
        <v>46051</v>
      </c>
      <c r="K129" s="90" t="s">
        <v>124</v>
      </c>
      <c r="L129" s="90" t="s">
        <v>132</v>
      </c>
      <c r="M129" s="90" t="s">
        <v>593</v>
      </c>
      <c r="N129" s="90"/>
      <c r="O129" s="90" t="s">
        <v>171</v>
      </c>
      <c r="P129" s="90"/>
      <c r="Q129" s="90" t="s">
        <v>130</v>
      </c>
      <c r="R129" s="92">
        <v>1</v>
      </c>
      <c r="S129" s="30"/>
      <c r="T129" s="91">
        <v>46141</v>
      </c>
      <c r="U129" s="90" t="s">
        <v>582</v>
      </c>
      <c r="V129" s="91"/>
      <c r="W129" s="90"/>
      <c r="X129" s="92">
        <v>45</v>
      </c>
      <c r="Y129" s="30"/>
      <c r="Z129" s="30"/>
      <c r="AA129" s="30"/>
      <c r="AB129" s="91"/>
      <c r="AC129" s="91"/>
      <c r="AD129" s="91"/>
      <c r="AE129" s="90"/>
      <c r="AF129" s="90"/>
      <c r="AG129" s="30"/>
      <c r="AH129" s="90">
        <v>1</v>
      </c>
      <c r="AI129" s="90">
        <v>1</v>
      </c>
      <c r="AJ129" s="90">
        <v>0</v>
      </c>
      <c r="AK129" s="92">
        <v>2026</v>
      </c>
      <c r="AL129" s="90" t="s">
        <v>232</v>
      </c>
      <c r="AM129" s="92"/>
      <c r="AN129" s="90"/>
      <c r="AO129" s="90">
        <v>1</v>
      </c>
      <c r="AP129" s="90" t="s">
        <v>80</v>
      </c>
      <c r="AQ129" s="30">
        <v>16</v>
      </c>
    </row>
    <row r="130" spans="1:43" ht="15" customHeight="1" outlineLevel="1" x14ac:dyDescent="0.3">
      <c r="A130" s="101" t="s">
        <v>638</v>
      </c>
      <c r="B130" s="90" t="s">
        <v>130</v>
      </c>
      <c r="C130" s="91">
        <v>45635</v>
      </c>
      <c r="D130" s="91"/>
      <c r="E130" s="92">
        <v>0</v>
      </c>
      <c r="F130" s="90"/>
      <c r="G130" s="90"/>
      <c r="H130" s="90"/>
      <c r="I130" s="90"/>
      <c r="J130" s="91">
        <v>46140</v>
      </c>
      <c r="K130" s="90" t="s">
        <v>131</v>
      </c>
      <c r="L130" s="90" t="s">
        <v>125</v>
      </c>
      <c r="M130" s="90"/>
      <c r="N130" s="90" t="s">
        <v>133</v>
      </c>
      <c r="O130" s="90" t="s">
        <v>154</v>
      </c>
      <c r="P130" s="90" t="s">
        <v>596</v>
      </c>
      <c r="Q130" s="90" t="s">
        <v>137</v>
      </c>
      <c r="R130" s="92">
        <v>1</v>
      </c>
      <c r="S130" s="30"/>
      <c r="T130" s="91">
        <v>46185</v>
      </c>
      <c r="U130" s="90" t="s">
        <v>582</v>
      </c>
      <c r="V130" s="91"/>
      <c r="W130" s="90"/>
      <c r="X130" s="92">
        <v>45</v>
      </c>
      <c r="Y130" s="30"/>
      <c r="Z130" s="30"/>
      <c r="AA130" s="30"/>
      <c r="AB130" s="91"/>
      <c r="AC130" s="91"/>
      <c r="AD130" s="91"/>
      <c r="AE130" s="90"/>
      <c r="AF130" s="90"/>
      <c r="AG130" s="30"/>
      <c r="AH130" s="90">
        <v>1</v>
      </c>
      <c r="AI130" s="90">
        <v>1</v>
      </c>
      <c r="AJ130" s="90">
        <v>0</v>
      </c>
      <c r="AK130" s="92">
        <v>2026</v>
      </c>
      <c r="AL130" s="90" t="s">
        <v>235</v>
      </c>
      <c r="AM130" s="92"/>
      <c r="AN130" s="90"/>
      <c r="AO130" s="90">
        <v>1</v>
      </c>
      <c r="AP130" s="90" t="s">
        <v>80</v>
      </c>
      <c r="AQ130" s="30">
        <v>16.600000000000001</v>
      </c>
    </row>
    <row r="131" spans="1:43" ht="15" customHeight="1" outlineLevel="1" x14ac:dyDescent="0.3">
      <c r="A131" s="101" t="s">
        <v>639</v>
      </c>
      <c r="B131" s="90" t="s">
        <v>130</v>
      </c>
      <c r="C131" s="91">
        <v>45715</v>
      </c>
      <c r="D131" s="91"/>
      <c r="E131" s="92">
        <v>0</v>
      </c>
      <c r="F131" s="90"/>
      <c r="G131" s="90"/>
      <c r="H131" s="90"/>
      <c r="I131" s="90"/>
      <c r="J131" s="91">
        <v>46144</v>
      </c>
      <c r="K131" s="90" t="s">
        <v>131</v>
      </c>
      <c r="L131" s="90" t="s">
        <v>132</v>
      </c>
      <c r="M131" s="90" t="s">
        <v>593</v>
      </c>
      <c r="N131" s="90" t="s">
        <v>133</v>
      </c>
      <c r="O131" s="90" t="s">
        <v>154</v>
      </c>
      <c r="P131" s="90" t="s">
        <v>596</v>
      </c>
      <c r="Q131" s="90" t="s">
        <v>137</v>
      </c>
      <c r="R131" s="92">
        <v>1</v>
      </c>
      <c r="S131" s="30"/>
      <c r="T131" s="91">
        <v>46185</v>
      </c>
      <c r="U131" s="90" t="s">
        <v>602</v>
      </c>
      <c r="V131" s="91"/>
      <c r="W131" s="90"/>
      <c r="X131" s="92">
        <v>45</v>
      </c>
      <c r="Y131" s="30"/>
      <c r="Z131" s="30"/>
      <c r="AA131" s="30"/>
      <c r="AB131" s="91"/>
      <c r="AC131" s="91"/>
      <c r="AD131" s="91"/>
      <c r="AE131" s="90"/>
      <c r="AF131" s="90"/>
      <c r="AG131" s="30"/>
      <c r="AH131" s="90">
        <v>0</v>
      </c>
      <c r="AI131" s="90">
        <v>1</v>
      </c>
      <c r="AJ131" s="90">
        <v>0</v>
      </c>
      <c r="AK131" s="92">
        <v>2026</v>
      </c>
      <c r="AL131" s="90" t="s">
        <v>236</v>
      </c>
      <c r="AM131" s="92"/>
      <c r="AN131" s="90"/>
      <c r="AO131" s="90">
        <v>0</v>
      </c>
      <c r="AP131" s="90" t="s">
        <v>80</v>
      </c>
      <c r="AQ131" s="30">
        <v>14.1</v>
      </c>
    </row>
    <row r="132" spans="1:43" ht="15" customHeight="1" x14ac:dyDescent="0.3">
      <c r="A132" s="101" t="s">
        <v>639</v>
      </c>
      <c r="B132" s="90" t="s">
        <v>130</v>
      </c>
      <c r="C132" s="91">
        <v>45715</v>
      </c>
      <c r="D132" s="91"/>
      <c r="E132" s="92">
        <v>0</v>
      </c>
      <c r="F132" s="90"/>
      <c r="G132" s="90"/>
      <c r="H132" s="90"/>
      <c r="I132" s="90"/>
      <c r="J132" s="91">
        <v>46196</v>
      </c>
      <c r="K132" s="90" t="s">
        <v>131</v>
      </c>
      <c r="L132" s="90" t="s">
        <v>132</v>
      </c>
      <c r="M132" s="90" t="s">
        <v>593</v>
      </c>
      <c r="N132" s="90" t="s">
        <v>133</v>
      </c>
      <c r="O132" s="90" t="s">
        <v>1512</v>
      </c>
      <c r="P132" s="90" t="s">
        <v>1530</v>
      </c>
      <c r="Q132" s="90" t="s">
        <v>137</v>
      </c>
      <c r="R132" s="92">
        <v>2</v>
      </c>
      <c r="S132" s="30">
        <v>52</v>
      </c>
      <c r="T132" s="91"/>
      <c r="U132" s="90" t="s">
        <v>611</v>
      </c>
      <c r="V132" s="91"/>
      <c r="W132" s="90"/>
      <c r="X132" s="92">
        <v>45</v>
      </c>
      <c r="Y132" s="30"/>
      <c r="Z132" s="30"/>
      <c r="AA132" s="30"/>
      <c r="AB132" s="91"/>
      <c r="AC132" s="91"/>
      <c r="AD132" s="91"/>
      <c r="AE132" s="90"/>
      <c r="AF132" s="90"/>
      <c r="AG132" s="30"/>
      <c r="AH132" s="90">
        <v>0</v>
      </c>
      <c r="AI132" s="90">
        <v>0</v>
      </c>
      <c r="AJ132" s="90">
        <v>0</v>
      </c>
      <c r="AK132" s="92">
        <v>2026</v>
      </c>
      <c r="AL132" s="90" t="s">
        <v>237</v>
      </c>
      <c r="AM132" s="92"/>
      <c r="AN132" s="90"/>
      <c r="AO132" s="90">
        <v>1</v>
      </c>
      <c r="AP132" s="90" t="s">
        <v>80</v>
      </c>
      <c r="AQ132" s="30">
        <v>15.8</v>
      </c>
    </row>
    <row r="133" spans="1:43" ht="15" customHeight="1" outlineLevel="1" x14ac:dyDescent="0.3">
      <c r="A133" s="101" t="s">
        <v>640</v>
      </c>
      <c r="B133" s="90" t="s">
        <v>130</v>
      </c>
      <c r="C133" s="91">
        <v>45438</v>
      </c>
      <c r="D133" s="91"/>
      <c r="E133" s="92">
        <v>0</v>
      </c>
      <c r="F133" s="90"/>
      <c r="G133" s="90"/>
      <c r="H133" s="90"/>
      <c r="I133" s="90"/>
      <c r="J133" s="91">
        <v>45926</v>
      </c>
      <c r="K133" s="90" t="s">
        <v>124</v>
      </c>
      <c r="L133" s="90" t="s">
        <v>132</v>
      </c>
      <c r="M133" s="90" t="s">
        <v>593</v>
      </c>
      <c r="N133" s="90"/>
      <c r="O133" s="90" t="s">
        <v>171</v>
      </c>
      <c r="P133" s="90"/>
      <c r="Q133" s="90" t="s">
        <v>130</v>
      </c>
      <c r="R133" s="92">
        <v>1</v>
      </c>
      <c r="S133" s="30"/>
      <c r="T133" s="91">
        <v>46141</v>
      </c>
      <c r="U133" s="90" t="s">
        <v>582</v>
      </c>
      <c r="V133" s="91"/>
      <c r="W133" s="90"/>
      <c r="X133" s="92">
        <v>45</v>
      </c>
      <c r="Y133" s="30"/>
      <c r="Z133" s="30"/>
      <c r="AA133" s="30">
        <v>0</v>
      </c>
      <c r="AB133" s="91">
        <v>46203</v>
      </c>
      <c r="AC133" s="91"/>
      <c r="AD133" s="91"/>
      <c r="AE133" s="90"/>
      <c r="AF133" s="90"/>
      <c r="AG133" s="30"/>
      <c r="AH133" s="90">
        <v>1</v>
      </c>
      <c r="AI133" s="90">
        <v>1</v>
      </c>
      <c r="AJ133" s="90">
        <v>0</v>
      </c>
      <c r="AK133" s="92">
        <v>2025</v>
      </c>
      <c r="AL133" s="90" t="s">
        <v>228</v>
      </c>
      <c r="AM133" s="92"/>
      <c r="AN133" s="90"/>
      <c r="AO133" s="90">
        <v>1</v>
      </c>
      <c r="AP133" s="90" t="s">
        <v>80</v>
      </c>
      <c r="AQ133" s="30">
        <v>16.100000000000001</v>
      </c>
    </row>
    <row r="134" spans="1:43" ht="15" customHeight="1" outlineLevel="1" x14ac:dyDescent="0.3">
      <c r="A134" s="101" t="s">
        <v>641</v>
      </c>
      <c r="B134" s="90" t="s">
        <v>130</v>
      </c>
      <c r="C134" s="91">
        <v>45618</v>
      </c>
      <c r="D134" s="91"/>
      <c r="E134" s="92">
        <v>0</v>
      </c>
      <c r="F134" s="90"/>
      <c r="G134" s="90"/>
      <c r="H134" s="90"/>
      <c r="I134" s="90"/>
      <c r="J134" s="91">
        <v>46103</v>
      </c>
      <c r="K134" s="90" t="s">
        <v>124</v>
      </c>
      <c r="L134" s="90" t="s">
        <v>132</v>
      </c>
      <c r="M134" s="90" t="s">
        <v>593</v>
      </c>
      <c r="N134" s="90"/>
      <c r="O134" s="90" t="s">
        <v>171</v>
      </c>
      <c r="P134" s="90"/>
      <c r="Q134" s="90" t="s">
        <v>130</v>
      </c>
      <c r="R134" s="92">
        <v>1</v>
      </c>
      <c r="S134" s="30"/>
      <c r="T134" s="91">
        <v>46141</v>
      </c>
      <c r="U134" s="90" t="s">
        <v>582</v>
      </c>
      <c r="V134" s="91"/>
      <c r="W134" s="90"/>
      <c r="X134" s="92">
        <v>45</v>
      </c>
      <c r="Y134" s="30"/>
      <c r="Z134" s="30"/>
      <c r="AA134" s="30"/>
      <c r="AB134" s="91"/>
      <c r="AC134" s="91"/>
      <c r="AD134" s="91"/>
      <c r="AE134" s="90"/>
      <c r="AF134" s="90"/>
      <c r="AG134" s="30"/>
      <c r="AH134" s="90">
        <v>1</v>
      </c>
      <c r="AI134" s="90">
        <v>1</v>
      </c>
      <c r="AJ134" s="90">
        <v>0</v>
      </c>
      <c r="AK134" s="92">
        <v>2026</v>
      </c>
      <c r="AL134" s="90" t="s">
        <v>234</v>
      </c>
      <c r="AM134" s="92"/>
      <c r="AN134" s="90"/>
      <c r="AO134" s="90">
        <v>1</v>
      </c>
      <c r="AP134" s="90" t="s">
        <v>80</v>
      </c>
      <c r="AQ134" s="30">
        <v>16</v>
      </c>
    </row>
    <row r="135" spans="1:43" ht="15" customHeight="1" outlineLevel="1" x14ac:dyDescent="0.3">
      <c r="A135" s="101" t="s">
        <v>642</v>
      </c>
      <c r="B135" s="90" t="s">
        <v>130</v>
      </c>
      <c r="C135" s="91">
        <v>45715</v>
      </c>
      <c r="D135" s="91"/>
      <c r="E135" s="92">
        <v>0</v>
      </c>
      <c r="F135" s="90"/>
      <c r="G135" s="90"/>
      <c r="H135" s="90"/>
      <c r="I135" s="90"/>
      <c r="J135" s="91">
        <v>46144</v>
      </c>
      <c r="K135" s="90" t="s">
        <v>131</v>
      </c>
      <c r="L135" s="90" t="s">
        <v>132</v>
      </c>
      <c r="M135" s="90" t="s">
        <v>593</v>
      </c>
      <c r="N135" s="90" t="s">
        <v>133</v>
      </c>
      <c r="O135" s="90" t="s">
        <v>154</v>
      </c>
      <c r="P135" s="90" t="s">
        <v>596</v>
      </c>
      <c r="Q135" s="90" t="s">
        <v>137</v>
      </c>
      <c r="R135" s="92">
        <v>1</v>
      </c>
      <c r="S135" s="30"/>
      <c r="T135" s="91">
        <v>46185</v>
      </c>
      <c r="U135" s="90" t="s">
        <v>582</v>
      </c>
      <c r="V135" s="91"/>
      <c r="W135" s="90"/>
      <c r="X135" s="92">
        <v>45</v>
      </c>
      <c r="Y135" s="30"/>
      <c r="Z135" s="30"/>
      <c r="AA135" s="30"/>
      <c r="AB135" s="91"/>
      <c r="AC135" s="91"/>
      <c r="AD135" s="91"/>
      <c r="AE135" s="90"/>
      <c r="AF135" s="90"/>
      <c r="AG135" s="30"/>
      <c r="AH135" s="90">
        <v>1</v>
      </c>
      <c r="AI135" s="90">
        <v>1</v>
      </c>
      <c r="AJ135" s="90">
        <v>0</v>
      </c>
      <c r="AK135" s="92">
        <v>2026</v>
      </c>
      <c r="AL135" s="90" t="s">
        <v>236</v>
      </c>
      <c r="AM135" s="92"/>
      <c r="AN135" s="90"/>
      <c r="AO135" s="90">
        <v>1</v>
      </c>
      <c r="AP135" s="90" t="s">
        <v>80</v>
      </c>
      <c r="AQ135" s="30">
        <v>14.1</v>
      </c>
    </row>
    <row r="136" spans="1:43" ht="15" customHeight="1" outlineLevel="1" x14ac:dyDescent="0.3">
      <c r="A136" s="101" t="s">
        <v>643</v>
      </c>
      <c r="B136" s="90" t="s">
        <v>130</v>
      </c>
      <c r="C136" s="91">
        <v>45715</v>
      </c>
      <c r="D136" s="91"/>
      <c r="E136" s="92">
        <v>0</v>
      </c>
      <c r="F136" s="90"/>
      <c r="G136" s="90"/>
      <c r="H136" s="90"/>
      <c r="I136" s="90"/>
      <c r="J136" s="91">
        <v>46144</v>
      </c>
      <c r="K136" s="90" t="s">
        <v>131</v>
      </c>
      <c r="L136" s="90" t="s">
        <v>132</v>
      </c>
      <c r="M136" s="90" t="s">
        <v>593</v>
      </c>
      <c r="N136" s="90" t="s">
        <v>133</v>
      </c>
      <c r="O136" s="90" t="s">
        <v>154</v>
      </c>
      <c r="P136" s="90" t="s">
        <v>596</v>
      </c>
      <c r="Q136" s="90" t="s">
        <v>137</v>
      </c>
      <c r="R136" s="92">
        <v>1</v>
      </c>
      <c r="S136" s="30"/>
      <c r="T136" s="91">
        <v>46185</v>
      </c>
      <c r="U136" s="90" t="s">
        <v>582</v>
      </c>
      <c r="V136" s="91"/>
      <c r="W136" s="90"/>
      <c r="X136" s="92">
        <v>45</v>
      </c>
      <c r="Y136" s="30"/>
      <c r="Z136" s="30"/>
      <c r="AA136" s="30"/>
      <c r="AB136" s="91"/>
      <c r="AC136" s="91"/>
      <c r="AD136" s="91"/>
      <c r="AE136" s="90"/>
      <c r="AF136" s="90"/>
      <c r="AG136" s="30"/>
      <c r="AH136" s="90">
        <v>1</v>
      </c>
      <c r="AI136" s="90">
        <v>1</v>
      </c>
      <c r="AJ136" s="90">
        <v>0</v>
      </c>
      <c r="AK136" s="92">
        <v>2026</v>
      </c>
      <c r="AL136" s="90" t="s">
        <v>236</v>
      </c>
      <c r="AM136" s="92"/>
      <c r="AN136" s="90"/>
      <c r="AO136" s="90">
        <v>1</v>
      </c>
      <c r="AP136" s="90" t="s">
        <v>80</v>
      </c>
      <c r="AQ136" s="30">
        <v>14.1</v>
      </c>
    </row>
    <row r="137" spans="1:43" ht="15" customHeight="1" outlineLevel="1" x14ac:dyDescent="0.3">
      <c r="A137" s="101" t="s">
        <v>644</v>
      </c>
      <c r="B137" s="90" t="s">
        <v>130</v>
      </c>
      <c r="C137" s="91">
        <v>45469</v>
      </c>
      <c r="D137" s="91"/>
      <c r="E137" s="92">
        <v>0</v>
      </c>
      <c r="F137" s="90"/>
      <c r="G137" s="90"/>
      <c r="H137" s="90"/>
      <c r="I137" s="90"/>
      <c r="J137" s="91">
        <v>45956</v>
      </c>
      <c r="K137" s="90" t="s">
        <v>124</v>
      </c>
      <c r="L137" s="90" t="s">
        <v>132</v>
      </c>
      <c r="M137" s="90" t="s">
        <v>593</v>
      </c>
      <c r="N137" s="90"/>
      <c r="O137" s="90" t="s">
        <v>171</v>
      </c>
      <c r="P137" s="90"/>
      <c r="Q137" s="90" t="s">
        <v>130</v>
      </c>
      <c r="R137" s="92">
        <v>1</v>
      </c>
      <c r="S137" s="30"/>
      <c r="T137" s="91">
        <v>46141</v>
      </c>
      <c r="U137" s="90" t="s">
        <v>582</v>
      </c>
      <c r="V137" s="91"/>
      <c r="W137" s="90"/>
      <c r="X137" s="92">
        <v>45</v>
      </c>
      <c r="Y137" s="30"/>
      <c r="Z137" s="30"/>
      <c r="AA137" s="30">
        <v>0</v>
      </c>
      <c r="AB137" s="91">
        <v>46195</v>
      </c>
      <c r="AC137" s="91"/>
      <c r="AD137" s="91"/>
      <c r="AE137" s="90"/>
      <c r="AF137" s="90"/>
      <c r="AG137" s="30"/>
      <c r="AH137" s="90">
        <v>1</v>
      </c>
      <c r="AI137" s="90">
        <v>1</v>
      </c>
      <c r="AJ137" s="90">
        <v>0</v>
      </c>
      <c r="AK137" s="92">
        <v>2025</v>
      </c>
      <c r="AL137" s="90" t="s">
        <v>229</v>
      </c>
      <c r="AM137" s="92"/>
      <c r="AN137" s="90"/>
      <c r="AO137" s="90">
        <v>1</v>
      </c>
      <c r="AP137" s="90" t="s">
        <v>80</v>
      </c>
      <c r="AQ137" s="30">
        <v>16</v>
      </c>
    </row>
    <row r="138" spans="1:43" ht="15" customHeight="1" outlineLevel="1" x14ac:dyDescent="0.3">
      <c r="A138" s="101" t="s">
        <v>645</v>
      </c>
      <c r="B138" s="90" t="s">
        <v>130</v>
      </c>
      <c r="C138" s="91">
        <v>45463</v>
      </c>
      <c r="D138" s="91"/>
      <c r="E138" s="92">
        <v>0</v>
      </c>
      <c r="F138" s="90"/>
      <c r="G138" s="90"/>
      <c r="H138" s="90"/>
      <c r="I138" s="90"/>
      <c r="J138" s="91">
        <v>45862</v>
      </c>
      <c r="K138" s="90" t="s">
        <v>124</v>
      </c>
      <c r="L138" s="90" t="s">
        <v>132</v>
      </c>
      <c r="M138" s="90" t="s">
        <v>593</v>
      </c>
      <c r="N138" s="90"/>
      <c r="O138" s="90" t="s">
        <v>171</v>
      </c>
      <c r="P138" s="90"/>
      <c r="Q138" s="90" t="s">
        <v>130</v>
      </c>
      <c r="R138" s="92">
        <v>1</v>
      </c>
      <c r="S138" s="30"/>
      <c r="T138" s="91">
        <v>45893</v>
      </c>
      <c r="U138" s="90" t="s">
        <v>582</v>
      </c>
      <c r="V138" s="91"/>
      <c r="W138" s="90"/>
      <c r="X138" s="92">
        <v>45</v>
      </c>
      <c r="Y138" s="30"/>
      <c r="Z138" s="30"/>
      <c r="AA138" s="30">
        <v>3243</v>
      </c>
      <c r="AB138" s="91">
        <v>46144</v>
      </c>
      <c r="AC138" s="91"/>
      <c r="AD138" s="91"/>
      <c r="AE138" s="90"/>
      <c r="AF138" s="90"/>
      <c r="AG138" s="30"/>
      <c r="AH138" s="90">
        <v>1</v>
      </c>
      <c r="AI138" s="90">
        <v>1</v>
      </c>
      <c r="AJ138" s="90">
        <v>0</v>
      </c>
      <c r="AK138" s="92">
        <v>2025</v>
      </c>
      <c r="AL138" s="90" t="s">
        <v>226</v>
      </c>
      <c r="AM138" s="92"/>
      <c r="AN138" s="90"/>
      <c r="AO138" s="90">
        <v>0</v>
      </c>
      <c r="AP138" s="90" t="s">
        <v>80</v>
      </c>
      <c r="AQ138" s="30">
        <v>13.1</v>
      </c>
    </row>
    <row r="139" spans="1:43" ht="15" customHeight="1" x14ac:dyDescent="0.3">
      <c r="A139" s="101" t="s">
        <v>645</v>
      </c>
      <c r="B139" s="90" t="s">
        <v>130</v>
      </c>
      <c r="C139" s="91">
        <v>45463</v>
      </c>
      <c r="D139" s="91">
        <v>46144</v>
      </c>
      <c r="E139" s="92">
        <v>1</v>
      </c>
      <c r="F139" s="90" t="s">
        <v>275</v>
      </c>
      <c r="G139" s="90" t="s">
        <v>601</v>
      </c>
      <c r="H139" s="90" t="s">
        <v>278</v>
      </c>
      <c r="I139" s="90">
        <v>0</v>
      </c>
      <c r="J139" s="91">
        <v>46185</v>
      </c>
      <c r="K139" s="90" t="s">
        <v>131</v>
      </c>
      <c r="L139" s="90" t="s">
        <v>125</v>
      </c>
      <c r="M139" s="90"/>
      <c r="N139" s="90" t="s">
        <v>133</v>
      </c>
      <c r="O139" s="90" t="s">
        <v>159</v>
      </c>
      <c r="P139" s="90" t="s">
        <v>596</v>
      </c>
      <c r="Q139" s="90" t="s">
        <v>137</v>
      </c>
      <c r="R139" s="92">
        <v>1</v>
      </c>
      <c r="S139" s="30"/>
      <c r="T139" s="91"/>
      <c r="U139" s="90" t="s">
        <v>611</v>
      </c>
      <c r="V139" s="91"/>
      <c r="W139" s="90"/>
      <c r="X139" s="92">
        <v>45</v>
      </c>
      <c r="Y139" s="30"/>
      <c r="Z139" s="30">
        <v>3243</v>
      </c>
      <c r="AA139" s="30">
        <v>3243</v>
      </c>
      <c r="AB139" s="91">
        <v>46144</v>
      </c>
      <c r="AC139" s="91"/>
      <c r="AD139" s="91"/>
      <c r="AE139" s="90"/>
      <c r="AF139" s="90"/>
      <c r="AG139" s="30"/>
      <c r="AH139" s="90">
        <v>0</v>
      </c>
      <c r="AI139" s="90">
        <v>0</v>
      </c>
      <c r="AJ139" s="90">
        <v>0</v>
      </c>
      <c r="AK139" s="92">
        <v>2026</v>
      </c>
      <c r="AL139" s="90" t="s">
        <v>237</v>
      </c>
      <c r="AM139" s="92">
        <v>41</v>
      </c>
      <c r="AN139" s="90" t="s">
        <v>128</v>
      </c>
      <c r="AO139" s="90">
        <v>1</v>
      </c>
      <c r="AP139" s="90" t="s">
        <v>79</v>
      </c>
      <c r="AQ139" s="30">
        <v>23.8</v>
      </c>
    </row>
    <row r="140" spans="1:43" ht="15" customHeight="1" outlineLevel="1" x14ac:dyDescent="0.3">
      <c r="A140" s="101" t="s">
        <v>646</v>
      </c>
      <c r="B140" s="90" t="s">
        <v>137</v>
      </c>
      <c r="C140" s="91">
        <v>43244</v>
      </c>
      <c r="D140" s="91"/>
      <c r="E140" s="92">
        <v>0</v>
      </c>
      <c r="F140" s="90"/>
      <c r="G140" s="90"/>
      <c r="H140" s="90"/>
      <c r="I140" s="90"/>
      <c r="J140" s="91">
        <v>45251</v>
      </c>
      <c r="K140" s="90" t="s">
        <v>131</v>
      </c>
      <c r="L140" s="90" t="s">
        <v>125</v>
      </c>
      <c r="M140" s="90"/>
      <c r="N140" s="90" t="s">
        <v>138</v>
      </c>
      <c r="O140" s="90" t="s">
        <v>186</v>
      </c>
      <c r="P140" s="90" t="s">
        <v>596</v>
      </c>
      <c r="Q140" s="90" t="s">
        <v>130</v>
      </c>
      <c r="R140" s="92">
        <v>1</v>
      </c>
      <c r="S140" s="30"/>
      <c r="T140" s="91">
        <v>45302</v>
      </c>
      <c r="U140" s="90" t="s">
        <v>582</v>
      </c>
      <c r="V140" s="91"/>
      <c r="W140" s="90"/>
      <c r="X140" s="92">
        <v>45</v>
      </c>
      <c r="Y140" s="30"/>
      <c r="Z140" s="30"/>
      <c r="AA140" s="30">
        <v>9820</v>
      </c>
      <c r="AB140" s="91">
        <v>45528</v>
      </c>
      <c r="AC140" s="91">
        <v>45931</v>
      </c>
      <c r="AD140" s="91">
        <v>46077</v>
      </c>
      <c r="AE140" s="90" t="s">
        <v>296</v>
      </c>
      <c r="AF140" s="90" t="s">
        <v>285</v>
      </c>
      <c r="AG140" s="30"/>
      <c r="AH140" s="90">
        <v>1</v>
      </c>
      <c r="AI140" s="90">
        <v>1</v>
      </c>
      <c r="AJ140" s="90">
        <v>0</v>
      </c>
      <c r="AK140" s="92">
        <v>2023</v>
      </c>
      <c r="AL140" s="90" t="s">
        <v>207</v>
      </c>
      <c r="AM140" s="92"/>
      <c r="AN140" s="90"/>
      <c r="AO140" s="90">
        <v>0</v>
      </c>
      <c r="AP140" s="90" t="s">
        <v>80</v>
      </c>
      <c r="AQ140" s="30">
        <v>66</v>
      </c>
    </row>
    <row r="141" spans="1:43" ht="15" customHeight="1" outlineLevel="1" x14ac:dyDescent="0.3">
      <c r="A141" s="101" t="s">
        <v>646</v>
      </c>
      <c r="B141" s="90" t="s">
        <v>137</v>
      </c>
      <c r="C141" s="91">
        <v>43244</v>
      </c>
      <c r="D141" s="91">
        <v>45528</v>
      </c>
      <c r="E141" s="92">
        <v>1</v>
      </c>
      <c r="F141" s="90" t="s">
        <v>276</v>
      </c>
      <c r="G141" s="90"/>
      <c r="H141" s="90"/>
      <c r="I141" s="90">
        <v>0</v>
      </c>
      <c r="J141" s="91">
        <v>45614</v>
      </c>
      <c r="K141" s="90" t="s">
        <v>131</v>
      </c>
      <c r="L141" s="90" t="s">
        <v>125</v>
      </c>
      <c r="M141" s="90"/>
      <c r="N141" s="90" t="s">
        <v>126</v>
      </c>
      <c r="O141" s="90" t="s">
        <v>175</v>
      </c>
      <c r="P141" s="90" t="s">
        <v>596</v>
      </c>
      <c r="Q141" s="90" t="s">
        <v>130</v>
      </c>
      <c r="R141" s="92">
        <v>1</v>
      </c>
      <c r="S141" s="30"/>
      <c r="T141" s="91">
        <v>45645</v>
      </c>
      <c r="U141" s="90" t="s">
        <v>582</v>
      </c>
      <c r="V141" s="91">
        <v>45698</v>
      </c>
      <c r="W141" s="90" t="s">
        <v>569</v>
      </c>
      <c r="X141" s="92">
        <v>45</v>
      </c>
      <c r="Y141" s="30"/>
      <c r="Z141" s="30">
        <v>11937.2</v>
      </c>
      <c r="AA141" s="30">
        <v>9820</v>
      </c>
      <c r="AB141" s="91">
        <v>45528</v>
      </c>
      <c r="AC141" s="91">
        <v>45931</v>
      </c>
      <c r="AD141" s="91">
        <v>46077</v>
      </c>
      <c r="AE141" s="90" t="s">
        <v>296</v>
      </c>
      <c r="AF141" s="90" t="s">
        <v>285</v>
      </c>
      <c r="AG141" s="30"/>
      <c r="AH141" s="90">
        <v>1</v>
      </c>
      <c r="AI141" s="90">
        <v>1</v>
      </c>
      <c r="AJ141" s="90">
        <v>1</v>
      </c>
      <c r="AK141" s="92">
        <v>2024</v>
      </c>
      <c r="AL141" s="90" t="s">
        <v>219</v>
      </c>
      <c r="AM141" s="92">
        <v>86</v>
      </c>
      <c r="AN141" s="90" t="s">
        <v>145</v>
      </c>
      <c r="AO141" s="90">
        <v>0</v>
      </c>
      <c r="AP141" s="90" t="s">
        <v>79</v>
      </c>
      <c r="AQ141" s="30">
        <v>78</v>
      </c>
    </row>
    <row r="142" spans="1:43" ht="15" customHeight="1" outlineLevel="1" x14ac:dyDescent="0.3">
      <c r="A142" s="101" t="s">
        <v>646</v>
      </c>
      <c r="B142" s="90" t="s">
        <v>137</v>
      </c>
      <c r="C142" s="91">
        <v>43244</v>
      </c>
      <c r="D142" s="91">
        <v>45528</v>
      </c>
      <c r="E142" s="92">
        <v>1</v>
      </c>
      <c r="F142" s="90" t="s">
        <v>276</v>
      </c>
      <c r="G142" s="90"/>
      <c r="H142" s="90"/>
      <c r="I142" s="90">
        <v>0</v>
      </c>
      <c r="J142" s="91">
        <v>45711</v>
      </c>
      <c r="K142" s="90" t="s">
        <v>131</v>
      </c>
      <c r="L142" s="90" t="s">
        <v>125</v>
      </c>
      <c r="M142" s="90"/>
      <c r="N142" s="90" t="s">
        <v>126</v>
      </c>
      <c r="O142" s="90">
        <v>-53431</v>
      </c>
      <c r="P142" s="90" t="s">
        <v>596</v>
      </c>
      <c r="Q142" s="90" t="s">
        <v>130</v>
      </c>
      <c r="R142" s="92">
        <v>2</v>
      </c>
      <c r="S142" s="30">
        <v>97</v>
      </c>
      <c r="T142" s="91">
        <v>45743</v>
      </c>
      <c r="U142" s="90" t="s">
        <v>582</v>
      </c>
      <c r="V142" s="91"/>
      <c r="W142" s="90"/>
      <c r="X142" s="92">
        <v>45</v>
      </c>
      <c r="Y142" s="30"/>
      <c r="Z142" s="30">
        <v>11937.2</v>
      </c>
      <c r="AA142" s="30">
        <v>9820</v>
      </c>
      <c r="AB142" s="91">
        <v>45528</v>
      </c>
      <c r="AC142" s="91">
        <v>45931</v>
      </c>
      <c r="AD142" s="91">
        <v>46077</v>
      </c>
      <c r="AE142" s="90" t="s">
        <v>296</v>
      </c>
      <c r="AF142" s="90" t="s">
        <v>285</v>
      </c>
      <c r="AG142" s="30"/>
      <c r="AH142" s="90">
        <v>1</v>
      </c>
      <c r="AI142" s="90">
        <v>1</v>
      </c>
      <c r="AJ142" s="90">
        <v>0</v>
      </c>
      <c r="AK142" s="92">
        <v>2025</v>
      </c>
      <c r="AL142" s="90" t="s">
        <v>222</v>
      </c>
      <c r="AM142" s="92">
        <v>183</v>
      </c>
      <c r="AN142" s="90" t="s">
        <v>160</v>
      </c>
      <c r="AO142" s="90">
        <v>1</v>
      </c>
      <c r="AP142" s="90" t="s">
        <v>79</v>
      </c>
      <c r="AQ142" s="30">
        <v>81.2</v>
      </c>
    </row>
    <row r="143" spans="1:43" ht="15" customHeight="1" outlineLevel="1" x14ac:dyDescent="0.3">
      <c r="A143" s="101" t="s">
        <v>839</v>
      </c>
      <c r="B143" s="90" t="s">
        <v>130</v>
      </c>
      <c r="C143" s="91">
        <v>45505</v>
      </c>
      <c r="D143" s="91"/>
      <c r="E143" s="92">
        <v>0</v>
      </c>
      <c r="F143" s="90"/>
      <c r="G143" s="90"/>
      <c r="H143" s="90"/>
      <c r="I143" s="90"/>
      <c r="J143" s="91">
        <v>45964</v>
      </c>
      <c r="K143" s="90" t="s">
        <v>131</v>
      </c>
      <c r="L143" s="90" t="s">
        <v>125</v>
      </c>
      <c r="M143" s="90"/>
      <c r="N143" s="90"/>
      <c r="O143" s="90" t="s">
        <v>157</v>
      </c>
      <c r="P143" s="90" t="s">
        <v>596</v>
      </c>
      <c r="Q143" s="90" t="s">
        <v>130</v>
      </c>
      <c r="R143" s="92">
        <v>1</v>
      </c>
      <c r="S143" s="30"/>
      <c r="T143" s="91">
        <v>46014</v>
      </c>
      <c r="U143" s="90" t="s">
        <v>582</v>
      </c>
      <c r="V143" s="91"/>
      <c r="W143" s="90"/>
      <c r="X143" s="92">
        <v>45</v>
      </c>
      <c r="Y143" s="30"/>
      <c r="Z143" s="30"/>
      <c r="AA143" s="30"/>
      <c r="AB143" s="91"/>
      <c r="AC143" s="91"/>
      <c r="AD143" s="91"/>
      <c r="AE143" s="90"/>
      <c r="AF143" s="90"/>
      <c r="AG143" s="30"/>
      <c r="AH143" s="90">
        <v>1</v>
      </c>
      <c r="AI143" s="90">
        <v>1</v>
      </c>
      <c r="AJ143" s="90">
        <v>0</v>
      </c>
      <c r="AK143" s="92">
        <v>2025</v>
      </c>
      <c r="AL143" s="90" t="s">
        <v>230</v>
      </c>
      <c r="AM143" s="92"/>
      <c r="AN143" s="90"/>
      <c r="AO143" s="90">
        <v>1</v>
      </c>
      <c r="AP143" s="90" t="s">
        <v>80</v>
      </c>
      <c r="AQ143" s="30">
        <v>15.1</v>
      </c>
    </row>
    <row r="144" spans="1:43" ht="15" customHeight="1" outlineLevel="1" x14ac:dyDescent="0.3">
      <c r="A144" s="101" t="s">
        <v>647</v>
      </c>
      <c r="B144" s="90" t="s">
        <v>137</v>
      </c>
      <c r="C144" s="91">
        <v>43467</v>
      </c>
      <c r="D144" s="91"/>
      <c r="E144" s="92">
        <v>0</v>
      </c>
      <c r="F144" s="90"/>
      <c r="G144" s="90"/>
      <c r="H144" s="90"/>
      <c r="I144" s="90"/>
      <c r="J144" s="91">
        <v>45534</v>
      </c>
      <c r="K144" s="90" t="s">
        <v>131</v>
      </c>
      <c r="L144" s="90" t="s">
        <v>125</v>
      </c>
      <c r="M144" s="90"/>
      <c r="N144" s="90" t="s">
        <v>126</v>
      </c>
      <c r="O144" s="90" t="s">
        <v>175</v>
      </c>
      <c r="P144" s="90" t="s">
        <v>596</v>
      </c>
      <c r="Q144" s="90" t="s">
        <v>130</v>
      </c>
      <c r="R144" s="92">
        <v>1</v>
      </c>
      <c r="S144" s="30"/>
      <c r="T144" s="91">
        <v>45603</v>
      </c>
      <c r="U144" s="90" t="s">
        <v>602</v>
      </c>
      <c r="V144" s="91"/>
      <c r="W144" s="90"/>
      <c r="X144" s="92">
        <v>45</v>
      </c>
      <c r="Y144" s="30"/>
      <c r="Z144" s="30"/>
      <c r="AA144" s="30"/>
      <c r="AB144" s="91"/>
      <c r="AC144" s="91"/>
      <c r="AD144" s="91">
        <v>46010</v>
      </c>
      <c r="AE144" s="90" t="s">
        <v>296</v>
      </c>
      <c r="AF144" s="90" t="s">
        <v>286</v>
      </c>
      <c r="AG144" s="30"/>
      <c r="AH144" s="90">
        <v>0</v>
      </c>
      <c r="AI144" s="90">
        <v>1</v>
      </c>
      <c r="AJ144" s="90">
        <v>0</v>
      </c>
      <c r="AK144" s="92">
        <v>2024</v>
      </c>
      <c r="AL144" s="90" t="s">
        <v>216</v>
      </c>
      <c r="AM144" s="92"/>
      <c r="AN144" s="90"/>
      <c r="AO144" s="90">
        <v>0</v>
      </c>
      <c r="AP144" s="90" t="s">
        <v>80</v>
      </c>
      <c r="AQ144" s="30">
        <v>68</v>
      </c>
    </row>
    <row r="145" spans="1:43" ht="15" customHeight="1" outlineLevel="1" x14ac:dyDescent="0.3">
      <c r="A145" s="101" t="s">
        <v>647</v>
      </c>
      <c r="B145" s="90" t="s">
        <v>137</v>
      </c>
      <c r="C145" s="91">
        <v>43467</v>
      </c>
      <c r="D145" s="91"/>
      <c r="E145" s="92">
        <v>0</v>
      </c>
      <c r="F145" s="90"/>
      <c r="G145" s="90"/>
      <c r="H145" s="90"/>
      <c r="I145" s="90"/>
      <c r="J145" s="91">
        <v>45614</v>
      </c>
      <c r="K145" s="90" t="s">
        <v>131</v>
      </c>
      <c r="L145" s="90" t="s">
        <v>125</v>
      </c>
      <c r="M145" s="90"/>
      <c r="N145" s="90" t="s">
        <v>126</v>
      </c>
      <c r="O145" s="90" t="s">
        <v>175</v>
      </c>
      <c r="P145" s="90" t="s">
        <v>596</v>
      </c>
      <c r="Q145" s="90" t="s">
        <v>130</v>
      </c>
      <c r="R145" s="92">
        <v>2</v>
      </c>
      <c r="S145" s="30">
        <v>80</v>
      </c>
      <c r="T145" s="91">
        <v>45645</v>
      </c>
      <c r="U145" s="90" t="s">
        <v>582</v>
      </c>
      <c r="V145" s="91">
        <v>45698</v>
      </c>
      <c r="W145" s="90" t="s">
        <v>569</v>
      </c>
      <c r="X145" s="92">
        <v>45</v>
      </c>
      <c r="Y145" s="30"/>
      <c r="Z145" s="30"/>
      <c r="AA145" s="30"/>
      <c r="AB145" s="91"/>
      <c r="AC145" s="91"/>
      <c r="AD145" s="91">
        <v>46010</v>
      </c>
      <c r="AE145" s="90" t="s">
        <v>296</v>
      </c>
      <c r="AF145" s="90" t="s">
        <v>286</v>
      </c>
      <c r="AG145" s="30"/>
      <c r="AH145" s="90">
        <v>1</v>
      </c>
      <c r="AI145" s="90">
        <v>1</v>
      </c>
      <c r="AJ145" s="90">
        <v>1</v>
      </c>
      <c r="AK145" s="92">
        <v>2024</v>
      </c>
      <c r="AL145" s="90" t="s">
        <v>219</v>
      </c>
      <c r="AM145" s="92"/>
      <c r="AN145" s="90"/>
      <c r="AO145" s="90">
        <v>0</v>
      </c>
      <c r="AP145" s="90" t="s">
        <v>80</v>
      </c>
      <c r="AQ145" s="30">
        <v>70.599999999999994</v>
      </c>
    </row>
    <row r="146" spans="1:43" ht="15" customHeight="1" outlineLevel="1" x14ac:dyDescent="0.3">
      <c r="A146" s="101" t="s">
        <v>647</v>
      </c>
      <c r="B146" s="90" t="s">
        <v>137</v>
      </c>
      <c r="C146" s="91">
        <v>43467</v>
      </c>
      <c r="D146" s="91"/>
      <c r="E146" s="92">
        <v>0</v>
      </c>
      <c r="F146" s="90"/>
      <c r="G146" s="90"/>
      <c r="H146" s="90"/>
      <c r="I146" s="90"/>
      <c r="J146" s="91">
        <v>45711</v>
      </c>
      <c r="K146" s="90" t="s">
        <v>131</v>
      </c>
      <c r="L146" s="90" t="s">
        <v>125</v>
      </c>
      <c r="M146" s="90"/>
      <c r="N146" s="90" t="s">
        <v>126</v>
      </c>
      <c r="O146" s="90">
        <v>-53431</v>
      </c>
      <c r="P146" s="90" t="s">
        <v>596</v>
      </c>
      <c r="Q146" s="90" t="s">
        <v>130</v>
      </c>
      <c r="R146" s="92">
        <v>3</v>
      </c>
      <c r="S146" s="30">
        <v>97</v>
      </c>
      <c r="T146" s="91">
        <v>45743</v>
      </c>
      <c r="U146" s="90" t="s">
        <v>582</v>
      </c>
      <c r="V146" s="91">
        <v>45888</v>
      </c>
      <c r="W146" s="90" t="s">
        <v>648</v>
      </c>
      <c r="X146" s="92">
        <v>45</v>
      </c>
      <c r="Y146" s="30"/>
      <c r="Z146" s="30"/>
      <c r="AA146" s="30"/>
      <c r="AB146" s="91"/>
      <c r="AC146" s="91"/>
      <c r="AD146" s="91">
        <v>46010</v>
      </c>
      <c r="AE146" s="90" t="s">
        <v>296</v>
      </c>
      <c r="AF146" s="90" t="s">
        <v>286</v>
      </c>
      <c r="AG146" s="30"/>
      <c r="AH146" s="90">
        <v>1</v>
      </c>
      <c r="AI146" s="90">
        <v>1</v>
      </c>
      <c r="AJ146" s="90">
        <v>1</v>
      </c>
      <c r="AK146" s="92">
        <v>2025</v>
      </c>
      <c r="AL146" s="90" t="s">
        <v>222</v>
      </c>
      <c r="AM146" s="92"/>
      <c r="AN146" s="90"/>
      <c r="AO146" s="90">
        <v>0</v>
      </c>
      <c r="AP146" s="90" t="s">
        <v>80</v>
      </c>
      <c r="AQ146" s="30">
        <v>73.8</v>
      </c>
    </row>
    <row r="147" spans="1:43" ht="15" customHeight="1" outlineLevel="1" x14ac:dyDescent="0.3">
      <c r="A147" s="101" t="s">
        <v>647</v>
      </c>
      <c r="B147" s="90" t="s">
        <v>137</v>
      </c>
      <c r="C147" s="91">
        <v>43467</v>
      </c>
      <c r="D147" s="91"/>
      <c r="E147" s="92">
        <v>0</v>
      </c>
      <c r="F147" s="90"/>
      <c r="G147" s="90"/>
      <c r="H147" s="90"/>
      <c r="I147" s="90"/>
      <c r="J147" s="91">
        <v>45888</v>
      </c>
      <c r="K147" s="90" t="s">
        <v>131</v>
      </c>
      <c r="L147" s="90" t="s">
        <v>125</v>
      </c>
      <c r="M147" s="90"/>
      <c r="N147" s="90" t="s">
        <v>133</v>
      </c>
      <c r="O147" s="90">
        <v>-867</v>
      </c>
      <c r="P147" s="90" t="s">
        <v>596</v>
      </c>
      <c r="Q147" s="90" t="s">
        <v>130</v>
      </c>
      <c r="R147" s="92">
        <v>4</v>
      </c>
      <c r="S147" s="30">
        <v>177</v>
      </c>
      <c r="T147" s="91">
        <v>45923</v>
      </c>
      <c r="U147" s="90" t="s">
        <v>582</v>
      </c>
      <c r="V147" s="91"/>
      <c r="W147" s="90"/>
      <c r="X147" s="92">
        <v>45</v>
      </c>
      <c r="Y147" s="30"/>
      <c r="Z147" s="30"/>
      <c r="AA147" s="30"/>
      <c r="AB147" s="91"/>
      <c r="AC147" s="91"/>
      <c r="AD147" s="91">
        <v>46010</v>
      </c>
      <c r="AE147" s="90" t="s">
        <v>296</v>
      </c>
      <c r="AF147" s="90" t="s">
        <v>286</v>
      </c>
      <c r="AG147" s="30"/>
      <c r="AH147" s="90">
        <v>1</v>
      </c>
      <c r="AI147" s="90">
        <v>1</v>
      </c>
      <c r="AJ147" s="90">
        <v>0</v>
      </c>
      <c r="AK147" s="92">
        <v>2025</v>
      </c>
      <c r="AL147" s="90" t="s">
        <v>227</v>
      </c>
      <c r="AM147" s="92"/>
      <c r="AN147" s="90"/>
      <c r="AO147" s="90">
        <v>1</v>
      </c>
      <c r="AP147" s="90" t="s">
        <v>80</v>
      </c>
      <c r="AQ147" s="30">
        <v>79.599999999999994</v>
      </c>
    </row>
    <row r="148" spans="1:43" ht="15" customHeight="1" x14ac:dyDescent="0.3">
      <c r="A148" s="101" t="s">
        <v>649</v>
      </c>
      <c r="B148" s="90" t="s">
        <v>130</v>
      </c>
      <c r="C148" s="91">
        <v>43101</v>
      </c>
      <c r="D148" s="91"/>
      <c r="E148" s="92">
        <v>0</v>
      </c>
      <c r="F148" s="90"/>
      <c r="G148" s="90"/>
      <c r="H148" s="90"/>
      <c r="I148" s="90"/>
      <c r="J148" s="91">
        <v>45045</v>
      </c>
      <c r="K148" s="90" t="s">
        <v>131</v>
      </c>
      <c r="L148" s="90" t="s">
        <v>125</v>
      </c>
      <c r="M148" s="90"/>
      <c r="N148" s="90" t="s">
        <v>126</v>
      </c>
      <c r="O148" s="90" t="s">
        <v>173</v>
      </c>
      <c r="P148" s="90" t="s">
        <v>596</v>
      </c>
      <c r="Q148" s="90" t="s">
        <v>130</v>
      </c>
      <c r="R148" s="92">
        <v>1</v>
      </c>
      <c r="S148" s="30"/>
      <c r="T148" s="91">
        <v>45078</v>
      </c>
      <c r="U148" s="90" t="s">
        <v>602</v>
      </c>
      <c r="V148" s="91"/>
      <c r="W148" s="90"/>
      <c r="X148" s="92">
        <v>45</v>
      </c>
      <c r="Y148" s="30"/>
      <c r="Z148" s="30"/>
      <c r="AA148" s="30">
        <v>0</v>
      </c>
      <c r="AB148" s="91">
        <v>45897</v>
      </c>
      <c r="AC148" s="91"/>
      <c r="AD148" s="91">
        <v>45995</v>
      </c>
      <c r="AE148" s="90" t="s">
        <v>296</v>
      </c>
      <c r="AF148" s="90" t="s">
        <v>292</v>
      </c>
      <c r="AG148" s="30"/>
      <c r="AH148" s="90">
        <v>0</v>
      </c>
      <c r="AI148" s="90">
        <v>1</v>
      </c>
      <c r="AJ148" s="90">
        <v>0</v>
      </c>
      <c r="AK148" s="92">
        <v>2023</v>
      </c>
      <c r="AL148" s="90" t="s">
        <v>200</v>
      </c>
      <c r="AM148" s="92"/>
      <c r="AN148" s="90"/>
      <c r="AO148" s="90">
        <v>0</v>
      </c>
      <c r="AP148" s="90" t="s">
        <v>80</v>
      </c>
      <c r="AQ148" s="30">
        <v>63.9</v>
      </c>
    </row>
    <row r="149" spans="1:43" ht="15" customHeight="1" outlineLevel="1" x14ac:dyDescent="0.3">
      <c r="A149" s="101" t="s">
        <v>649</v>
      </c>
      <c r="B149" s="90" t="s">
        <v>130</v>
      </c>
      <c r="C149" s="91">
        <v>43101</v>
      </c>
      <c r="D149" s="91"/>
      <c r="E149" s="92">
        <v>0</v>
      </c>
      <c r="F149" s="90"/>
      <c r="G149" s="90"/>
      <c r="H149" s="90"/>
      <c r="I149" s="90"/>
      <c r="J149" s="91">
        <v>45089</v>
      </c>
      <c r="K149" s="90" t="s">
        <v>131</v>
      </c>
      <c r="L149" s="90" t="s">
        <v>125</v>
      </c>
      <c r="M149" s="90"/>
      <c r="N149" s="90" t="s">
        <v>138</v>
      </c>
      <c r="O149" s="90" t="s">
        <v>149</v>
      </c>
      <c r="P149" s="90" t="s">
        <v>596</v>
      </c>
      <c r="Q149" s="90" t="s">
        <v>130</v>
      </c>
      <c r="R149" s="92">
        <v>2</v>
      </c>
      <c r="S149" s="30">
        <v>44</v>
      </c>
      <c r="T149" s="91">
        <v>45125</v>
      </c>
      <c r="U149" s="90" t="s">
        <v>602</v>
      </c>
      <c r="V149" s="91"/>
      <c r="W149" s="90"/>
      <c r="X149" s="92">
        <v>45</v>
      </c>
      <c r="Y149" s="30"/>
      <c r="Z149" s="30"/>
      <c r="AA149" s="30">
        <v>0</v>
      </c>
      <c r="AB149" s="91">
        <v>45897</v>
      </c>
      <c r="AC149" s="91"/>
      <c r="AD149" s="91">
        <v>45995</v>
      </c>
      <c r="AE149" s="90" t="s">
        <v>296</v>
      </c>
      <c r="AF149" s="90" t="s">
        <v>292</v>
      </c>
      <c r="AG149" s="30"/>
      <c r="AH149" s="90">
        <v>0</v>
      </c>
      <c r="AI149" s="90">
        <v>1</v>
      </c>
      <c r="AJ149" s="90">
        <v>0</v>
      </c>
      <c r="AK149" s="92">
        <v>2023</v>
      </c>
      <c r="AL149" s="90" t="s">
        <v>202</v>
      </c>
      <c r="AM149" s="92"/>
      <c r="AN149" s="90"/>
      <c r="AO149" s="90">
        <v>0</v>
      </c>
      <c r="AP149" s="90" t="s">
        <v>80</v>
      </c>
      <c r="AQ149" s="30">
        <v>65.400000000000006</v>
      </c>
    </row>
    <row r="150" spans="1:43" ht="15" customHeight="1" outlineLevel="1" x14ac:dyDescent="0.3">
      <c r="A150" s="101" t="s">
        <v>649</v>
      </c>
      <c r="B150" s="90" t="s">
        <v>130</v>
      </c>
      <c r="C150" s="91">
        <v>43101</v>
      </c>
      <c r="D150" s="91"/>
      <c r="E150" s="92">
        <v>0</v>
      </c>
      <c r="F150" s="90"/>
      <c r="G150" s="90"/>
      <c r="H150" s="90"/>
      <c r="I150" s="90"/>
      <c r="J150" s="91">
        <v>45136</v>
      </c>
      <c r="K150" s="90" t="s">
        <v>131</v>
      </c>
      <c r="L150" s="90" t="s">
        <v>125</v>
      </c>
      <c r="M150" s="90"/>
      <c r="N150" s="90" t="s">
        <v>126</v>
      </c>
      <c r="O150" s="90" t="s">
        <v>173</v>
      </c>
      <c r="P150" s="90" t="s">
        <v>596</v>
      </c>
      <c r="Q150" s="90" t="s">
        <v>130</v>
      </c>
      <c r="R150" s="92">
        <v>3</v>
      </c>
      <c r="S150" s="30">
        <v>47</v>
      </c>
      <c r="T150" s="91">
        <v>45197</v>
      </c>
      <c r="U150" s="90" t="s">
        <v>602</v>
      </c>
      <c r="V150" s="91"/>
      <c r="W150" s="90"/>
      <c r="X150" s="92">
        <v>45</v>
      </c>
      <c r="Y150" s="30"/>
      <c r="Z150" s="30"/>
      <c r="AA150" s="30">
        <v>0</v>
      </c>
      <c r="AB150" s="91">
        <v>45897</v>
      </c>
      <c r="AC150" s="91"/>
      <c r="AD150" s="91">
        <v>45995</v>
      </c>
      <c r="AE150" s="90" t="s">
        <v>296</v>
      </c>
      <c r="AF150" s="90" t="s">
        <v>292</v>
      </c>
      <c r="AG150" s="30"/>
      <c r="AH150" s="90">
        <v>0</v>
      </c>
      <c r="AI150" s="90">
        <v>1</v>
      </c>
      <c r="AJ150" s="90">
        <v>0</v>
      </c>
      <c r="AK150" s="92">
        <v>2023</v>
      </c>
      <c r="AL150" s="90" t="s">
        <v>203</v>
      </c>
      <c r="AM150" s="92"/>
      <c r="AN150" s="90"/>
      <c r="AO150" s="90">
        <v>0</v>
      </c>
      <c r="AP150" s="90" t="s">
        <v>80</v>
      </c>
      <c r="AQ150" s="30">
        <v>66.900000000000006</v>
      </c>
    </row>
    <row r="151" spans="1:43" ht="15" customHeight="1" outlineLevel="1" x14ac:dyDescent="0.3">
      <c r="A151" s="101" t="s">
        <v>649</v>
      </c>
      <c r="B151" s="90" t="s">
        <v>130</v>
      </c>
      <c r="C151" s="91">
        <v>43101</v>
      </c>
      <c r="D151" s="91"/>
      <c r="E151" s="92">
        <v>0</v>
      </c>
      <c r="F151" s="90"/>
      <c r="G151" s="90"/>
      <c r="H151" s="90"/>
      <c r="I151" s="90"/>
      <c r="J151" s="91">
        <v>45208</v>
      </c>
      <c r="K151" s="90" t="s">
        <v>131</v>
      </c>
      <c r="L151" s="90" t="s">
        <v>125</v>
      </c>
      <c r="M151" s="90"/>
      <c r="N151" s="90" t="s">
        <v>126</v>
      </c>
      <c r="O151" s="90" t="s">
        <v>162</v>
      </c>
      <c r="P151" s="90" t="s">
        <v>596</v>
      </c>
      <c r="Q151" s="90" t="s">
        <v>130</v>
      </c>
      <c r="R151" s="92">
        <v>4</v>
      </c>
      <c r="S151" s="30">
        <v>72</v>
      </c>
      <c r="T151" s="91">
        <v>45237</v>
      </c>
      <c r="U151" s="90" t="s">
        <v>602</v>
      </c>
      <c r="V151" s="91"/>
      <c r="W151" s="90"/>
      <c r="X151" s="92">
        <v>45</v>
      </c>
      <c r="Y151" s="30"/>
      <c r="Z151" s="30"/>
      <c r="AA151" s="30">
        <v>0</v>
      </c>
      <c r="AB151" s="91">
        <v>45897</v>
      </c>
      <c r="AC151" s="91"/>
      <c r="AD151" s="91">
        <v>45995</v>
      </c>
      <c r="AE151" s="90" t="s">
        <v>296</v>
      </c>
      <c r="AF151" s="90" t="s">
        <v>292</v>
      </c>
      <c r="AG151" s="30"/>
      <c r="AH151" s="90">
        <v>0</v>
      </c>
      <c r="AI151" s="90">
        <v>1</v>
      </c>
      <c r="AJ151" s="90">
        <v>0</v>
      </c>
      <c r="AK151" s="92">
        <v>2023</v>
      </c>
      <c r="AL151" s="90" t="s">
        <v>206</v>
      </c>
      <c r="AM151" s="92"/>
      <c r="AN151" s="90"/>
      <c r="AO151" s="90">
        <v>0</v>
      </c>
      <c r="AP151" s="90" t="s">
        <v>80</v>
      </c>
      <c r="AQ151" s="30">
        <v>69.3</v>
      </c>
    </row>
    <row r="152" spans="1:43" ht="15" customHeight="1" outlineLevel="1" x14ac:dyDescent="0.3">
      <c r="A152" s="101" t="s">
        <v>649</v>
      </c>
      <c r="B152" s="90" t="s">
        <v>130</v>
      </c>
      <c r="C152" s="91">
        <v>43101</v>
      </c>
      <c r="D152" s="91"/>
      <c r="E152" s="92">
        <v>0</v>
      </c>
      <c r="F152" s="90"/>
      <c r="G152" s="90"/>
      <c r="H152" s="90"/>
      <c r="I152" s="90"/>
      <c r="J152" s="91">
        <v>45238</v>
      </c>
      <c r="K152" s="90" t="s">
        <v>131</v>
      </c>
      <c r="L152" s="90" t="s">
        <v>125</v>
      </c>
      <c r="M152" s="90"/>
      <c r="N152" s="90" t="s">
        <v>126</v>
      </c>
      <c r="O152" s="90" t="s">
        <v>175</v>
      </c>
      <c r="P152" s="90" t="s">
        <v>596</v>
      </c>
      <c r="Q152" s="90" t="s">
        <v>130</v>
      </c>
      <c r="R152" s="92">
        <v>5</v>
      </c>
      <c r="S152" s="30">
        <v>30</v>
      </c>
      <c r="T152" s="91">
        <v>45271</v>
      </c>
      <c r="U152" s="90" t="s">
        <v>582</v>
      </c>
      <c r="V152" s="91">
        <v>45439</v>
      </c>
      <c r="W152" s="90" t="s">
        <v>648</v>
      </c>
      <c r="X152" s="92">
        <v>45</v>
      </c>
      <c r="Y152" s="30"/>
      <c r="Z152" s="30"/>
      <c r="AA152" s="30">
        <v>0</v>
      </c>
      <c r="AB152" s="91">
        <v>45897</v>
      </c>
      <c r="AC152" s="91"/>
      <c r="AD152" s="91">
        <v>45995</v>
      </c>
      <c r="AE152" s="90" t="s">
        <v>296</v>
      </c>
      <c r="AF152" s="90" t="s">
        <v>292</v>
      </c>
      <c r="AG152" s="30"/>
      <c r="AH152" s="90">
        <v>1</v>
      </c>
      <c r="AI152" s="90">
        <v>1</v>
      </c>
      <c r="AJ152" s="90">
        <v>1</v>
      </c>
      <c r="AK152" s="92">
        <v>2023</v>
      </c>
      <c r="AL152" s="90" t="s">
        <v>207</v>
      </c>
      <c r="AM152" s="92"/>
      <c r="AN152" s="90"/>
      <c r="AO152" s="90">
        <v>0</v>
      </c>
      <c r="AP152" s="90" t="s">
        <v>80</v>
      </c>
      <c r="AQ152" s="30">
        <v>70.3</v>
      </c>
    </row>
    <row r="153" spans="1:43" ht="15" customHeight="1" outlineLevel="1" x14ac:dyDescent="0.3">
      <c r="A153" s="101" t="s">
        <v>649</v>
      </c>
      <c r="B153" s="90" t="s">
        <v>130</v>
      </c>
      <c r="C153" s="91">
        <v>43101</v>
      </c>
      <c r="D153" s="91"/>
      <c r="E153" s="92">
        <v>0</v>
      </c>
      <c r="F153" s="90"/>
      <c r="G153" s="90"/>
      <c r="H153" s="90"/>
      <c r="I153" s="90"/>
      <c r="J153" s="91">
        <v>45439</v>
      </c>
      <c r="K153" s="90" t="s">
        <v>131</v>
      </c>
      <c r="L153" s="90" t="s">
        <v>125</v>
      </c>
      <c r="M153" s="90"/>
      <c r="N153" s="90" t="s">
        <v>126</v>
      </c>
      <c r="O153" s="90" t="s">
        <v>175</v>
      </c>
      <c r="P153" s="90" t="s">
        <v>596</v>
      </c>
      <c r="Q153" s="90" t="s">
        <v>130</v>
      </c>
      <c r="R153" s="92">
        <v>6</v>
      </c>
      <c r="S153" s="30">
        <v>201</v>
      </c>
      <c r="T153" s="91">
        <v>45470</v>
      </c>
      <c r="U153" s="90" t="s">
        <v>602</v>
      </c>
      <c r="V153" s="91"/>
      <c r="W153" s="90"/>
      <c r="X153" s="92">
        <v>45</v>
      </c>
      <c r="Y153" s="30"/>
      <c r="Z153" s="30"/>
      <c r="AA153" s="30">
        <v>0</v>
      </c>
      <c r="AB153" s="91">
        <v>45897</v>
      </c>
      <c r="AC153" s="91"/>
      <c r="AD153" s="91">
        <v>45995</v>
      </c>
      <c r="AE153" s="90" t="s">
        <v>296</v>
      </c>
      <c r="AF153" s="90" t="s">
        <v>292</v>
      </c>
      <c r="AG153" s="30"/>
      <c r="AH153" s="90">
        <v>0</v>
      </c>
      <c r="AI153" s="90">
        <v>1</v>
      </c>
      <c r="AJ153" s="90">
        <v>0</v>
      </c>
      <c r="AK153" s="92">
        <v>2024</v>
      </c>
      <c r="AL153" s="90" t="s">
        <v>213</v>
      </c>
      <c r="AM153" s="92"/>
      <c r="AN153" s="90"/>
      <c r="AO153" s="90">
        <v>0</v>
      </c>
      <c r="AP153" s="90" t="s">
        <v>80</v>
      </c>
      <c r="AQ153" s="30">
        <v>76.900000000000006</v>
      </c>
    </row>
    <row r="154" spans="1:43" ht="15" customHeight="1" outlineLevel="1" x14ac:dyDescent="0.3">
      <c r="A154" s="101" t="s">
        <v>649</v>
      </c>
      <c r="B154" s="90" t="s">
        <v>130</v>
      </c>
      <c r="C154" s="91">
        <v>43101</v>
      </c>
      <c r="D154" s="91"/>
      <c r="E154" s="92">
        <v>0</v>
      </c>
      <c r="F154" s="90"/>
      <c r="G154" s="90"/>
      <c r="H154" s="90"/>
      <c r="I154" s="90"/>
      <c r="J154" s="91">
        <v>45481</v>
      </c>
      <c r="K154" s="90" t="s">
        <v>131</v>
      </c>
      <c r="L154" s="90" t="s">
        <v>125</v>
      </c>
      <c r="M154" s="90"/>
      <c r="N154" s="90" t="s">
        <v>126</v>
      </c>
      <c r="O154" s="90" t="s">
        <v>175</v>
      </c>
      <c r="P154" s="90" t="s">
        <v>596</v>
      </c>
      <c r="Q154" s="90" t="s">
        <v>130</v>
      </c>
      <c r="R154" s="92">
        <v>7</v>
      </c>
      <c r="S154" s="30">
        <v>42</v>
      </c>
      <c r="T154" s="91">
        <v>45512</v>
      </c>
      <c r="U154" s="90" t="s">
        <v>602</v>
      </c>
      <c r="V154" s="91"/>
      <c r="W154" s="90"/>
      <c r="X154" s="92">
        <v>45</v>
      </c>
      <c r="Y154" s="30"/>
      <c r="Z154" s="30"/>
      <c r="AA154" s="30">
        <v>0</v>
      </c>
      <c r="AB154" s="91">
        <v>45897</v>
      </c>
      <c r="AC154" s="91"/>
      <c r="AD154" s="91">
        <v>45995</v>
      </c>
      <c r="AE154" s="90" t="s">
        <v>296</v>
      </c>
      <c r="AF154" s="90" t="s">
        <v>292</v>
      </c>
      <c r="AG154" s="30"/>
      <c r="AH154" s="90">
        <v>0</v>
      </c>
      <c r="AI154" s="90">
        <v>1</v>
      </c>
      <c r="AJ154" s="90">
        <v>0</v>
      </c>
      <c r="AK154" s="92">
        <v>2024</v>
      </c>
      <c r="AL154" s="90" t="s">
        <v>215</v>
      </c>
      <c r="AM154" s="92"/>
      <c r="AN154" s="90"/>
      <c r="AO154" s="90">
        <v>0</v>
      </c>
      <c r="AP154" s="90" t="s">
        <v>80</v>
      </c>
      <c r="AQ154" s="30">
        <v>78.3</v>
      </c>
    </row>
    <row r="155" spans="1:43" ht="15" customHeight="1" outlineLevel="1" x14ac:dyDescent="0.3">
      <c r="A155" s="101" t="s">
        <v>649</v>
      </c>
      <c r="B155" s="90" t="s">
        <v>130</v>
      </c>
      <c r="C155" s="91">
        <v>43101</v>
      </c>
      <c r="D155" s="91"/>
      <c r="E155" s="92">
        <v>0</v>
      </c>
      <c r="F155" s="90"/>
      <c r="G155" s="90"/>
      <c r="H155" s="90"/>
      <c r="I155" s="90"/>
      <c r="J155" s="91">
        <v>45523</v>
      </c>
      <c r="K155" s="90" t="s">
        <v>131</v>
      </c>
      <c r="L155" s="90" t="s">
        <v>125</v>
      </c>
      <c r="M155" s="90"/>
      <c r="N155" s="90" t="s">
        <v>126</v>
      </c>
      <c r="O155" s="90" t="s">
        <v>175</v>
      </c>
      <c r="P155" s="90" t="s">
        <v>596</v>
      </c>
      <c r="Q155" s="90" t="s">
        <v>130</v>
      </c>
      <c r="R155" s="92">
        <v>8</v>
      </c>
      <c r="S155" s="30">
        <v>42</v>
      </c>
      <c r="T155" s="91">
        <v>45541</v>
      </c>
      <c r="U155" s="90" t="s">
        <v>602</v>
      </c>
      <c r="V155" s="91"/>
      <c r="W155" s="90"/>
      <c r="X155" s="92">
        <v>45</v>
      </c>
      <c r="Y155" s="30"/>
      <c r="Z155" s="30"/>
      <c r="AA155" s="30">
        <v>0</v>
      </c>
      <c r="AB155" s="91">
        <v>45897</v>
      </c>
      <c r="AC155" s="91"/>
      <c r="AD155" s="91">
        <v>45995</v>
      </c>
      <c r="AE155" s="90" t="s">
        <v>296</v>
      </c>
      <c r="AF155" s="90" t="s">
        <v>292</v>
      </c>
      <c r="AG155" s="30"/>
      <c r="AH155" s="90">
        <v>0</v>
      </c>
      <c r="AI155" s="90">
        <v>1</v>
      </c>
      <c r="AJ155" s="90">
        <v>0</v>
      </c>
      <c r="AK155" s="92">
        <v>2024</v>
      </c>
      <c r="AL155" s="90" t="s">
        <v>216</v>
      </c>
      <c r="AM155" s="92"/>
      <c r="AN155" s="90"/>
      <c r="AO155" s="90">
        <v>0</v>
      </c>
      <c r="AP155" s="90" t="s">
        <v>80</v>
      </c>
      <c r="AQ155" s="30">
        <v>79.7</v>
      </c>
    </row>
    <row r="156" spans="1:43" ht="15" customHeight="1" x14ac:dyDescent="0.3">
      <c r="A156" s="101" t="s">
        <v>649</v>
      </c>
      <c r="B156" s="90" t="s">
        <v>130</v>
      </c>
      <c r="C156" s="91">
        <v>43101</v>
      </c>
      <c r="D156" s="91"/>
      <c r="E156" s="92">
        <v>0</v>
      </c>
      <c r="F156" s="90"/>
      <c r="G156" s="90"/>
      <c r="H156" s="90"/>
      <c r="I156" s="90"/>
      <c r="J156" s="91">
        <v>45543</v>
      </c>
      <c r="K156" s="90" t="s">
        <v>131</v>
      </c>
      <c r="L156" s="90" t="s">
        <v>125</v>
      </c>
      <c r="M156" s="90"/>
      <c r="N156" s="90" t="s">
        <v>126</v>
      </c>
      <c r="O156" s="90" t="s">
        <v>175</v>
      </c>
      <c r="P156" s="90" t="s">
        <v>596</v>
      </c>
      <c r="Q156" s="90" t="s">
        <v>130</v>
      </c>
      <c r="R156" s="92">
        <v>9</v>
      </c>
      <c r="S156" s="30">
        <v>20</v>
      </c>
      <c r="T156" s="91">
        <v>45603</v>
      </c>
      <c r="U156" s="90" t="s">
        <v>602</v>
      </c>
      <c r="V156" s="91"/>
      <c r="W156" s="90"/>
      <c r="X156" s="92">
        <v>45</v>
      </c>
      <c r="Y156" s="30"/>
      <c r="Z156" s="30"/>
      <c r="AA156" s="30">
        <v>0</v>
      </c>
      <c r="AB156" s="91">
        <v>45897</v>
      </c>
      <c r="AC156" s="91"/>
      <c r="AD156" s="91">
        <v>45995</v>
      </c>
      <c r="AE156" s="90" t="s">
        <v>296</v>
      </c>
      <c r="AF156" s="90" t="s">
        <v>292</v>
      </c>
      <c r="AG156" s="30"/>
      <c r="AH156" s="90">
        <v>0</v>
      </c>
      <c r="AI156" s="90">
        <v>1</v>
      </c>
      <c r="AJ156" s="90">
        <v>0</v>
      </c>
      <c r="AK156" s="92">
        <v>2024</v>
      </c>
      <c r="AL156" s="90" t="s">
        <v>217</v>
      </c>
      <c r="AM156" s="92"/>
      <c r="AN156" s="90"/>
      <c r="AO156" s="90">
        <v>0</v>
      </c>
      <c r="AP156" s="90" t="s">
        <v>80</v>
      </c>
      <c r="AQ156" s="30">
        <v>80.3</v>
      </c>
    </row>
    <row r="157" spans="1:43" ht="15" customHeight="1" outlineLevel="1" x14ac:dyDescent="0.3">
      <c r="A157" s="101" t="s">
        <v>649</v>
      </c>
      <c r="B157" s="90" t="s">
        <v>130</v>
      </c>
      <c r="C157" s="91">
        <v>43101</v>
      </c>
      <c r="D157" s="91"/>
      <c r="E157" s="92">
        <v>0</v>
      </c>
      <c r="F157" s="90"/>
      <c r="G157" s="90"/>
      <c r="H157" s="90"/>
      <c r="I157" s="90"/>
      <c r="J157" s="91">
        <v>45614</v>
      </c>
      <c r="K157" s="90" t="s">
        <v>131</v>
      </c>
      <c r="L157" s="90" t="s">
        <v>125</v>
      </c>
      <c r="M157" s="90"/>
      <c r="N157" s="90" t="s">
        <v>126</v>
      </c>
      <c r="O157" s="90" t="s">
        <v>175</v>
      </c>
      <c r="P157" s="90" t="s">
        <v>596</v>
      </c>
      <c r="Q157" s="90" t="s">
        <v>130</v>
      </c>
      <c r="R157" s="92">
        <v>10</v>
      </c>
      <c r="S157" s="30">
        <v>71</v>
      </c>
      <c r="T157" s="91">
        <v>45645</v>
      </c>
      <c r="U157" s="90" t="s">
        <v>582</v>
      </c>
      <c r="V157" s="91"/>
      <c r="W157" s="90"/>
      <c r="X157" s="92">
        <v>45</v>
      </c>
      <c r="Y157" s="30"/>
      <c r="Z157" s="30"/>
      <c r="AA157" s="30">
        <v>0</v>
      </c>
      <c r="AB157" s="91">
        <v>45897</v>
      </c>
      <c r="AC157" s="91"/>
      <c r="AD157" s="91">
        <v>45995</v>
      </c>
      <c r="AE157" s="90" t="s">
        <v>296</v>
      </c>
      <c r="AF157" s="90" t="s">
        <v>292</v>
      </c>
      <c r="AG157" s="30"/>
      <c r="AH157" s="90">
        <v>1</v>
      </c>
      <c r="AI157" s="90">
        <v>1</v>
      </c>
      <c r="AJ157" s="90">
        <v>0</v>
      </c>
      <c r="AK157" s="92">
        <v>2024</v>
      </c>
      <c r="AL157" s="90" t="s">
        <v>219</v>
      </c>
      <c r="AM157" s="92"/>
      <c r="AN157" s="90"/>
      <c r="AO157" s="90">
        <v>1</v>
      </c>
      <c r="AP157" s="90" t="s">
        <v>80</v>
      </c>
      <c r="AQ157" s="30">
        <v>82.7</v>
      </c>
    </row>
    <row r="158" spans="1:43" ht="15" customHeight="1" outlineLevel="1" x14ac:dyDescent="0.3">
      <c r="A158" s="101" t="s">
        <v>650</v>
      </c>
      <c r="B158" s="90" t="s">
        <v>130</v>
      </c>
      <c r="C158" s="91">
        <v>43101</v>
      </c>
      <c r="D158" s="91"/>
      <c r="E158" s="92">
        <v>0</v>
      </c>
      <c r="F158" s="90"/>
      <c r="G158" s="90"/>
      <c r="H158" s="90"/>
      <c r="I158" s="90"/>
      <c r="J158" s="91">
        <v>45045</v>
      </c>
      <c r="K158" s="90" t="s">
        <v>131</v>
      </c>
      <c r="L158" s="90" t="s">
        <v>125</v>
      </c>
      <c r="M158" s="90"/>
      <c r="N158" s="90" t="s">
        <v>126</v>
      </c>
      <c r="O158" s="90" t="s">
        <v>173</v>
      </c>
      <c r="P158" s="90" t="s">
        <v>596</v>
      </c>
      <c r="Q158" s="90" t="s">
        <v>130</v>
      </c>
      <c r="R158" s="92">
        <v>1</v>
      </c>
      <c r="S158" s="30"/>
      <c r="T158" s="91"/>
      <c r="U158" s="90" t="s">
        <v>611</v>
      </c>
      <c r="V158" s="91"/>
      <c r="W158" s="90"/>
      <c r="X158" s="92">
        <v>45</v>
      </c>
      <c r="Y158" s="30"/>
      <c r="Z158" s="30"/>
      <c r="AA158" s="30"/>
      <c r="AB158" s="91"/>
      <c r="AC158" s="91"/>
      <c r="AD158" s="91">
        <v>45995</v>
      </c>
      <c r="AE158" s="90" t="s">
        <v>296</v>
      </c>
      <c r="AF158" s="90" t="s">
        <v>291</v>
      </c>
      <c r="AG158" s="30"/>
      <c r="AH158" s="90">
        <v>0</v>
      </c>
      <c r="AI158" s="90">
        <v>0</v>
      </c>
      <c r="AJ158" s="90">
        <v>0</v>
      </c>
      <c r="AK158" s="92">
        <v>2023</v>
      </c>
      <c r="AL158" s="90" t="s">
        <v>200</v>
      </c>
      <c r="AM158" s="92"/>
      <c r="AN158" s="90"/>
      <c r="AO158" s="90">
        <v>1</v>
      </c>
      <c r="AP158" s="90" t="s">
        <v>80</v>
      </c>
      <c r="AQ158" s="30">
        <v>63.9</v>
      </c>
    </row>
    <row r="159" spans="1:43" ht="15" customHeight="1" outlineLevel="1" x14ac:dyDescent="0.3">
      <c r="A159" s="101" t="s">
        <v>651</v>
      </c>
      <c r="B159" s="90" t="s">
        <v>130</v>
      </c>
      <c r="C159" s="91">
        <v>43101</v>
      </c>
      <c r="D159" s="91"/>
      <c r="E159" s="92">
        <v>0</v>
      </c>
      <c r="F159" s="90"/>
      <c r="G159" s="90"/>
      <c r="H159" s="90"/>
      <c r="I159" s="90"/>
      <c r="J159" s="91">
        <v>45045</v>
      </c>
      <c r="K159" s="90" t="s">
        <v>131</v>
      </c>
      <c r="L159" s="90" t="s">
        <v>125</v>
      </c>
      <c r="M159" s="90"/>
      <c r="N159" s="90" t="s">
        <v>126</v>
      </c>
      <c r="O159" s="90" t="s">
        <v>173</v>
      </c>
      <c r="P159" s="90" t="s">
        <v>596</v>
      </c>
      <c r="Q159" s="90" t="s">
        <v>130</v>
      </c>
      <c r="R159" s="92">
        <v>1</v>
      </c>
      <c r="S159" s="30"/>
      <c r="T159" s="91">
        <v>45078</v>
      </c>
      <c r="U159" s="90" t="s">
        <v>602</v>
      </c>
      <c r="V159" s="91"/>
      <c r="W159" s="90"/>
      <c r="X159" s="92">
        <v>45</v>
      </c>
      <c r="Y159" s="30"/>
      <c r="Z159" s="30"/>
      <c r="AA159" s="30">
        <v>5144</v>
      </c>
      <c r="AB159" s="91">
        <v>45378</v>
      </c>
      <c r="AC159" s="91">
        <v>45725</v>
      </c>
      <c r="AD159" s="91">
        <v>45995</v>
      </c>
      <c r="AE159" s="90" t="s">
        <v>296</v>
      </c>
      <c r="AF159" s="90" t="s">
        <v>292</v>
      </c>
      <c r="AG159" s="30"/>
      <c r="AH159" s="90">
        <v>0</v>
      </c>
      <c r="AI159" s="90">
        <v>1</v>
      </c>
      <c r="AJ159" s="90">
        <v>0</v>
      </c>
      <c r="AK159" s="92">
        <v>2023</v>
      </c>
      <c r="AL159" s="90" t="s">
        <v>200</v>
      </c>
      <c r="AM159" s="92"/>
      <c r="AN159" s="90"/>
      <c r="AO159" s="90">
        <v>0</v>
      </c>
      <c r="AP159" s="90" t="s">
        <v>80</v>
      </c>
      <c r="AQ159" s="30">
        <v>63.9</v>
      </c>
    </row>
    <row r="160" spans="1:43" ht="15" customHeight="1" outlineLevel="1" x14ac:dyDescent="0.3">
      <c r="A160" s="101" t="s">
        <v>651</v>
      </c>
      <c r="B160" s="90" t="s">
        <v>130</v>
      </c>
      <c r="C160" s="91">
        <v>43101</v>
      </c>
      <c r="D160" s="91"/>
      <c r="E160" s="92">
        <v>0</v>
      </c>
      <c r="F160" s="90"/>
      <c r="G160" s="90"/>
      <c r="H160" s="90"/>
      <c r="I160" s="90"/>
      <c r="J160" s="91">
        <v>45089</v>
      </c>
      <c r="K160" s="90" t="s">
        <v>131</v>
      </c>
      <c r="L160" s="90" t="s">
        <v>125</v>
      </c>
      <c r="M160" s="90"/>
      <c r="N160" s="90" t="s">
        <v>138</v>
      </c>
      <c r="O160" s="90" t="s">
        <v>149</v>
      </c>
      <c r="P160" s="90" t="s">
        <v>596</v>
      </c>
      <c r="Q160" s="90" t="s">
        <v>130</v>
      </c>
      <c r="R160" s="92">
        <v>2</v>
      </c>
      <c r="S160" s="30">
        <v>44</v>
      </c>
      <c r="T160" s="91">
        <v>45125</v>
      </c>
      <c r="U160" s="90" t="s">
        <v>582</v>
      </c>
      <c r="V160" s="91"/>
      <c r="W160" s="90"/>
      <c r="X160" s="92">
        <v>45</v>
      </c>
      <c r="Y160" s="30"/>
      <c r="Z160" s="30"/>
      <c r="AA160" s="30">
        <v>5144</v>
      </c>
      <c r="AB160" s="91">
        <v>45378</v>
      </c>
      <c r="AC160" s="91">
        <v>45725</v>
      </c>
      <c r="AD160" s="91">
        <v>45995</v>
      </c>
      <c r="AE160" s="90" t="s">
        <v>296</v>
      </c>
      <c r="AF160" s="90" t="s">
        <v>292</v>
      </c>
      <c r="AG160" s="30"/>
      <c r="AH160" s="90">
        <v>1</v>
      </c>
      <c r="AI160" s="90">
        <v>1</v>
      </c>
      <c r="AJ160" s="90">
        <v>0</v>
      </c>
      <c r="AK160" s="92">
        <v>2023</v>
      </c>
      <c r="AL160" s="90" t="s">
        <v>202</v>
      </c>
      <c r="AM160" s="92"/>
      <c r="AN160" s="90"/>
      <c r="AO160" s="90">
        <v>0</v>
      </c>
      <c r="AP160" s="90" t="s">
        <v>80</v>
      </c>
      <c r="AQ160" s="30">
        <v>65.400000000000006</v>
      </c>
    </row>
    <row r="161" spans="1:43" ht="15" customHeight="1" outlineLevel="1" x14ac:dyDescent="0.3">
      <c r="A161" s="101" t="s">
        <v>651</v>
      </c>
      <c r="B161" s="90" t="s">
        <v>130</v>
      </c>
      <c r="C161" s="91">
        <v>43101</v>
      </c>
      <c r="D161" s="91">
        <v>45378</v>
      </c>
      <c r="E161" s="92">
        <v>1</v>
      </c>
      <c r="F161" s="90" t="s">
        <v>276</v>
      </c>
      <c r="G161" s="90"/>
      <c r="H161" s="90"/>
      <c r="I161" s="90">
        <v>0</v>
      </c>
      <c r="J161" s="91">
        <v>45439</v>
      </c>
      <c r="K161" s="90" t="s">
        <v>131</v>
      </c>
      <c r="L161" s="90" t="s">
        <v>125</v>
      </c>
      <c r="M161" s="90"/>
      <c r="N161" s="90" t="s">
        <v>126</v>
      </c>
      <c r="O161" s="90" t="s">
        <v>175</v>
      </c>
      <c r="P161" s="90" t="s">
        <v>596</v>
      </c>
      <c r="Q161" s="90" t="s">
        <v>130</v>
      </c>
      <c r="R161" s="92">
        <v>1</v>
      </c>
      <c r="S161" s="30"/>
      <c r="T161" s="91">
        <v>45470</v>
      </c>
      <c r="U161" s="90" t="s">
        <v>602</v>
      </c>
      <c r="V161" s="91"/>
      <c r="W161" s="90"/>
      <c r="X161" s="92">
        <v>45</v>
      </c>
      <c r="Y161" s="30"/>
      <c r="Z161" s="30">
        <v>5721.799</v>
      </c>
      <c r="AA161" s="30">
        <v>5144</v>
      </c>
      <c r="AB161" s="91">
        <v>45378</v>
      </c>
      <c r="AC161" s="91">
        <v>45725</v>
      </c>
      <c r="AD161" s="91">
        <v>45995</v>
      </c>
      <c r="AE161" s="90" t="s">
        <v>296</v>
      </c>
      <c r="AF161" s="90" t="s">
        <v>292</v>
      </c>
      <c r="AG161" s="30"/>
      <c r="AH161" s="90">
        <v>0</v>
      </c>
      <c r="AI161" s="90">
        <v>1</v>
      </c>
      <c r="AJ161" s="90">
        <v>0</v>
      </c>
      <c r="AK161" s="92">
        <v>2024</v>
      </c>
      <c r="AL161" s="90" t="s">
        <v>213</v>
      </c>
      <c r="AM161" s="92">
        <v>61</v>
      </c>
      <c r="AN161" s="90" t="s">
        <v>135</v>
      </c>
      <c r="AO161" s="90">
        <v>0</v>
      </c>
      <c r="AP161" s="90" t="s">
        <v>79</v>
      </c>
      <c r="AQ161" s="30">
        <v>76.900000000000006</v>
      </c>
    </row>
    <row r="162" spans="1:43" ht="15" customHeight="1" outlineLevel="1" x14ac:dyDescent="0.3">
      <c r="A162" s="101" t="s">
        <v>651</v>
      </c>
      <c r="B162" s="90" t="s">
        <v>130</v>
      </c>
      <c r="C162" s="91">
        <v>43101</v>
      </c>
      <c r="D162" s="91">
        <v>45378</v>
      </c>
      <c r="E162" s="92">
        <v>1</v>
      </c>
      <c r="F162" s="90" t="s">
        <v>276</v>
      </c>
      <c r="G162" s="90"/>
      <c r="H162" s="90"/>
      <c r="I162" s="90">
        <v>0</v>
      </c>
      <c r="J162" s="91">
        <v>45481</v>
      </c>
      <c r="K162" s="90" t="s">
        <v>131</v>
      </c>
      <c r="L162" s="90" t="s">
        <v>125</v>
      </c>
      <c r="M162" s="90"/>
      <c r="N162" s="90" t="s">
        <v>126</v>
      </c>
      <c r="O162" s="90" t="s">
        <v>175</v>
      </c>
      <c r="P162" s="90" t="s">
        <v>596</v>
      </c>
      <c r="Q162" s="90" t="s">
        <v>130</v>
      </c>
      <c r="R162" s="92">
        <v>2</v>
      </c>
      <c r="S162" s="30">
        <v>42</v>
      </c>
      <c r="T162" s="91">
        <v>45512</v>
      </c>
      <c r="U162" s="90" t="s">
        <v>602</v>
      </c>
      <c r="V162" s="91"/>
      <c r="W162" s="90"/>
      <c r="X162" s="92">
        <v>45</v>
      </c>
      <c r="Y162" s="30"/>
      <c r="Z162" s="30">
        <v>5721.799</v>
      </c>
      <c r="AA162" s="30">
        <v>5144</v>
      </c>
      <c r="AB162" s="91">
        <v>45378</v>
      </c>
      <c r="AC162" s="91">
        <v>45725</v>
      </c>
      <c r="AD162" s="91">
        <v>45995</v>
      </c>
      <c r="AE162" s="90" t="s">
        <v>296</v>
      </c>
      <c r="AF162" s="90" t="s">
        <v>292</v>
      </c>
      <c r="AG162" s="30"/>
      <c r="AH162" s="90">
        <v>0</v>
      </c>
      <c r="AI162" s="90">
        <v>1</v>
      </c>
      <c r="AJ162" s="90">
        <v>0</v>
      </c>
      <c r="AK162" s="92">
        <v>2024</v>
      </c>
      <c r="AL162" s="90" t="s">
        <v>215</v>
      </c>
      <c r="AM162" s="92">
        <v>103</v>
      </c>
      <c r="AN162" s="90" t="s">
        <v>145</v>
      </c>
      <c r="AO162" s="90">
        <v>0</v>
      </c>
      <c r="AP162" s="90" t="s">
        <v>79</v>
      </c>
      <c r="AQ162" s="30">
        <v>78.3</v>
      </c>
    </row>
    <row r="163" spans="1:43" ht="15" customHeight="1" outlineLevel="1" x14ac:dyDescent="0.3">
      <c r="A163" s="101" t="s">
        <v>651</v>
      </c>
      <c r="B163" s="90" t="s">
        <v>130</v>
      </c>
      <c r="C163" s="91">
        <v>43101</v>
      </c>
      <c r="D163" s="91">
        <v>45378</v>
      </c>
      <c r="E163" s="92">
        <v>1</v>
      </c>
      <c r="F163" s="90" t="s">
        <v>276</v>
      </c>
      <c r="G163" s="90"/>
      <c r="H163" s="90"/>
      <c r="I163" s="90">
        <v>0</v>
      </c>
      <c r="J163" s="91">
        <v>45523</v>
      </c>
      <c r="K163" s="90" t="s">
        <v>131</v>
      </c>
      <c r="L163" s="90" t="s">
        <v>125</v>
      </c>
      <c r="M163" s="90"/>
      <c r="N163" s="90" t="s">
        <v>126</v>
      </c>
      <c r="O163" s="90" t="s">
        <v>175</v>
      </c>
      <c r="P163" s="90" t="s">
        <v>596</v>
      </c>
      <c r="Q163" s="90" t="s">
        <v>130</v>
      </c>
      <c r="R163" s="92">
        <v>3</v>
      </c>
      <c r="S163" s="30">
        <v>42</v>
      </c>
      <c r="T163" s="91">
        <v>45561</v>
      </c>
      <c r="U163" s="90" t="s">
        <v>582</v>
      </c>
      <c r="V163" s="91"/>
      <c r="W163" s="90"/>
      <c r="X163" s="92">
        <v>45</v>
      </c>
      <c r="Y163" s="30"/>
      <c r="Z163" s="30">
        <v>5721.799</v>
      </c>
      <c r="AA163" s="30">
        <v>5144</v>
      </c>
      <c r="AB163" s="91">
        <v>45378</v>
      </c>
      <c r="AC163" s="91">
        <v>45725</v>
      </c>
      <c r="AD163" s="91">
        <v>45995</v>
      </c>
      <c r="AE163" s="90" t="s">
        <v>296</v>
      </c>
      <c r="AF163" s="90" t="s">
        <v>292</v>
      </c>
      <c r="AG163" s="30"/>
      <c r="AH163" s="90">
        <v>1</v>
      </c>
      <c r="AI163" s="90">
        <v>1</v>
      </c>
      <c r="AJ163" s="90">
        <v>0</v>
      </c>
      <c r="AK163" s="92">
        <v>2024</v>
      </c>
      <c r="AL163" s="90" t="s">
        <v>216</v>
      </c>
      <c r="AM163" s="92">
        <v>145</v>
      </c>
      <c r="AN163" s="90" t="s">
        <v>155</v>
      </c>
      <c r="AO163" s="90">
        <v>1</v>
      </c>
      <c r="AP163" s="90" t="s">
        <v>79</v>
      </c>
      <c r="AQ163" s="30">
        <v>79.7</v>
      </c>
    </row>
    <row r="164" spans="1:43" ht="15" customHeight="1" outlineLevel="1" x14ac:dyDescent="0.3">
      <c r="A164" s="101" t="s">
        <v>652</v>
      </c>
      <c r="B164" s="90" t="s">
        <v>130</v>
      </c>
      <c r="C164" s="91">
        <v>43101</v>
      </c>
      <c r="D164" s="91"/>
      <c r="E164" s="92">
        <v>0</v>
      </c>
      <c r="F164" s="90"/>
      <c r="G164" s="90"/>
      <c r="H164" s="90"/>
      <c r="I164" s="90"/>
      <c r="J164" s="91">
        <v>45045</v>
      </c>
      <c r="K164" s="90" t="s">
        <v>131</v>
      </c>
      <c r="L164" s="90" t="s">
        <v>125</v>
      </c>
      <c r="M164" s="90"/>
      <c r="N164" s="90" t="s">
        <v>126</v>
      </c>
      <c r="O164" s="90" t="s">
        <v>173</v>
      </c>
      <c r="P164" s="90" t="s">
        <v>596</v>
      </c>
      <c r="Q164" s="90" t="s">
        <v>130</v>
      </c>
      <c r="R164" s="92">
        <v>1</v>
      </c>
      <c r="S164" s="30"/>
      <c r="T164" s="91"/>
      <c r="U164" s="90" t="s">
        <v>611</v>
      </c>
      <c r="V164" s="91"/>
      <c r="W164" s="90"/>
      <c r="X164" s="92">
        <v>45</v>
      </c>
      <c r="Y164" s="30"/>
      <c r="Z164" s="30"/>
      <c r="AA164" s="30"/>
      <c r="AB164" s="91"/>
      <c r="AC164" s="91"/>
      <c r="AD164" s="91">
        <v>45995</v>
      </c>
      <c r="AE164" s="90" t="s">
        <v>296</v>
      </c>
      <c r="AF164" s="90" t="s">
        <v>291</v>
      </c>
      <c r="AG164" s="30"/>
      <c r="AH164" s="90">
        <v>0</v>
      </c>
      <c r="AI164" s="90">
        <v>0</v>
      </c>
      <c r="AJ164" s="90">
        <v>0</v>
      </c>
      <c r="AK164" s="92">
        <v>2023</v>
      </c>
      <c r="AL164" s="90" t="s">
        <v>200</v>
      </c>
      <c r="AM164" s="92"/>
      <c r="AN164" s="90"/>
      <c r="AO164" s="90">
        <v>1</v>
      </c>
      <c r="AP164" s="90" t="s">
        <v>80</v>
      </c>
      <c r="AQ164" s="30">
        <v>63.9</v>
      </c>
    </row>
    <row r="165" spans="1:43" ht="15" customHeight="1" x14ac:dyDescent="0.3">
      <c r="A165" s="101" t="s">
        <v>653</v>
      </c>
      <c r="B165" s="90" t="s">
        <v>130</v>
      </c>
      <c r="C165" s="91">
        <v>43101</v>
      </c>
      <c r="D165" s="91"/>
      <c r="E165" s="92">
        <v>0</v>
      </c>
      <c r="F165" s="90"/>
      <c r="G165" s="90"/>
      <c r="H165" s="90"/>
      <c r="I165" s="90"/>
      <c r="J165" s="91">
        <v>45045</v>
      </c>
      <c r="K165" s="90" t="s">
        <v>131</v>
      </c>
      <c r="L165" s="90" t="s">
        <v>125</v>
      </c>
      <c r="M165" s="90"/>
      <c r="N165" s="90" t="s">
        <v>126</v>
      </c>
      <c r="O165" s="90" t="s">
        <v>173</v>
      </c>
      <c r="P165" s="90" t="s">
        <v>596</v>
      </c>
      <c r="Q165" s="90" t="s">
        <v>130</v>
      </c>
      <c r="R165" s="92">
        <v>1</v>
      </c>
      <c r="S165" s="30"/>
      <c r="T165" s="91">
        <v>45078</v>
      </c>
      <c r="U165" s="90" t="s">
        <v>582</v>
      </c>
      <c r="V165" s="91"/>
      <c r="W165" s="90"/>
      <c r="X165" s="92">
        <v>45</v>
      </c>
      <c r="Y165" s="30"/>
      <c r="Z165" s="30"/>
      <c r="AA165" s="30">
        <v>8948.2939999999999</v>
      </c>
      <c r="AB165" s="91">
        <v>45329</v>
      </c>
      <c r="AC165" s="91">
        <v>45627</v>
      </c>
      <c r="AD165" s="91">
        <v>46133</v>
      </c>
      <c r="AE165" s="90" t="s">
        <v>297</v>
      </c>
      <c r="AF165" s="90" t="s">
        <v>284</v>
      </c>
      <c r="AG165" s="30"/>
      <c r="AH165" s="90">
        <v>1</v>
      </c>
      <c r="AI165" s="90">
        <v>1</v>
      </c>
      <c r="AJ165" s="90">
        <v>0</v>
      </c>
      <c r="AK165" s="92">
        <v>2023</v>
      </c>
      <c r="AL165" s="90" t="s">
        <v>200</v>
      </c>
      <c r="AM165" s="92"/>
      <c r="AN165" s="90"/>
      <c r="AO165" s="90">
        <v>0</v>
      </c>
      <c r="AP165" s="90" t="s">
        <v>80</v>
      </c>
      <c r="AQ165" s="30">
        <v>63.9</v>
      </c>
    </row>
    <row r="166" spans="1:43" ht="15" customHeight="1" outlineLevel="1" x14ac:dyDescent="0.3">
      <c r="A166" s="101" t="s">
        <v>653</v>
      </c>
      <c r="B166" s="90" t="s">
        <v>130</v>
      </c>
      <c r="C166" s="91">
        <v>43101</v>
      </c>
      <c r="D166" s="91">
        <v>45329</v>
      </c>
      <c r="E166" s="92">
        <v>1</v>
      </c>
      <c r="F166" s="90" t="s">
        <v>276</v>
      </c>
      <c r="G166" s="90" t="s">
        <v>601</v>
      </c>
      <c r="H166" s="90" t="s">
        <v>278</v>
      </c>
      <c r="I166" s="90">
        <v>0</v>
      </c>
      <c r="J166" s="91">
        <v>45388</v>
      </c>
      <c r="K166" s="90" t="s">
        <v>131</v>
      </c>
      <c r="L166" s="90" t="s">
        <v>125</v>
      </c>
      <c r="M166" s="90"/>
      <c r="N166" s="90" t="s">
        <v>126</v>
      </c>
      <c r="O166" s="90" t="s">
        <v>175</v>
      </c>
      <c r="P166" s="90" t="s">
        <v>596</v>
      </c>
      <c r="Q166" s="90" t="s">
        <v>130</v>
      </c>
      <c r="R166" s="92">
        <v>1</v>
      </c>
      <c r="S166" s="30"/>
      <c r="T166" s="91">
        <v>45428</v>
      </c>
      <c r="U166" s="90" t="s">
        <v>582</v>
      </c>
      <c r="V166" s="91"/>
      <c r="W166" s="90"/>
      <c r="X166" s="92">
        <v>45</v>
      </c>
      <c r="Y166" s="30"/>
      <c r="Z166" s="30">
        <v>8948.2939999999999</v>
      </c>
      <c r="AA166" s="30">
        <v>8948.2939999999999</v>
      </c>
      <c r="AB166" s="91">
        <v>45329</v>
      </c>
      <c r="AC166" s="91">
        <v>45627</v>
      </c>
      <c r="AD166" s="91">
        <v>46133</v>
      </c>
      <c r="AE166" s="90" t="s">
        <v>297</v>
      </c>
      <c r="AF166" s="90" t="s">
        <v>284</v>
      </c>
      <c r="AG166" s="30"/>
      <c r="AH166" s="90">
        <v>1</v>
      </c>
      <c r="AI166" s="90">
        <v>1</v>
      </c>
      <c r="AJ166" s="90">
        <v>0</v>
      </c>
      <c r="AK166" s="92">
        <v>2024</v>
      </c>
      <c r="AL166" s="90" t="s">
        <v>212</v>
      </c>
      <c r="AM166" s="92">
        <v>59</v>
      </c>
      <c r="AN166" s="90" t="s">
        <v>135</v>
      </c>
      <c r="AO166" s="90">
        <v>0</v>
      </c>
      <c r="AP166" s="90" t="s">
        <v>79</v>
      </c>
      <c r="AQ166" s="30">
        <v>75.2</v>
      </c>
    </row>
    <row r="167" spans="1:43" ht="15" customHeight="1" x14ac:dyDescent="0.3">
      <c r="A167" s="101" t="s">
        <v>653</v>
      </c>
      <c r="B167" s="90" t="s">
        <v>130</v>
      </c>
      <c r="C167" s="91">
        <v>43101</v>
      </c>
      <c r="D167" s="91">
        <v>45664</v>
      </c>
      <c r="E167" s="92">
        <v>2</v>
      </c>
      <c r="F167" s="90" t="s">
        <v>276</v>
      </c>
      <c r="G167" s="90" t="s">
        <v>601</v>
      </c>
      <c r="H167" s="90" t="s">
        <v>278</v>
      </c>
      <c r="I167" s="90">
        <v>0</v>
      </c>
      <c r="J167" s="91">
        <v>45711</v>
      </c>
      <c r="K167" s="90" t="s">
        <v>131</v>
      </c>
      <c r="L167" s="90" t="s">
        <v>125</v>
      </c>
      <c r="M167" s="90"/>
      <c r="N167" s="90" t="s">
        <v>126</v>
      </c>
      <c r="O167" s="90">
        <v>-53431</v>
      </c>
      <c r="P167" s="90" t="s">
        <v>596</v>
      </c>
      <c r="Q167" s="90" t="s">
        <v>130</v>
      </c>
      <c r="R167" s="92">
        <v>1</v>
      </c>
      <c r="S167" s="30"/>
      <c r="T167" s="91">
        <v>45753</v>
      </c>
      <c r="U167" s="90" t="s">
        <v>602</v>
      </c>
      <c r="V167" s="91"/>
      <c r="W167" s="90"/>
      <c r="X167" s="92">
        <v>45</v>
      </c>
      <c r="Y167" s="30"/>
      <c r="Z167" s="30">
        <v>5500.7730000000001</v>
      </c>
      <c r="AA167" s="30">
        <v>8948.2939999999999</v>
      </c>
      <c r="AB167" s="91">
        <v>45329</v>
      </c>
      <c r="AC167" s="91">
        <v>45627</v>
      </c>
      <c r="AD167" s="91">
        <v>46133</v>
      </c>
      <c r="AE167" s="90" t="s">
        <v>297</v>
      </c>
      <c r="AF167" s="90" t="s">
        <v>284</v>
      </c>
      <c r="AG167" s="30"/>
      <c r="AH167" s="90">
        <v>0</v>
      </c>
      <c r="AI167" s="90">
        <v>1</v>
      </c>
      <c r="AJ167" s="90">
        <v>0</v>
      </c>
      <c r="AK167" s="92">
        <v>2025</v>
      </c>
      <c r="AL167" s="90" t="s">
        <v>222</v>
      </c>
      <c r="AM167" s="92">
        <v>47</v>
      </c>
      <c r="AN167" s="90" t="s">
        <v>135</v>
      </c>
      <c r="AO167" s="90">
        <v>0</v>
      </c>
      <c r="AP167" s="90" t="s">
        <v>79</v>
      </c>
      <c r="AQ167" s="30">
        <v>85.9</v>
      </c>
    </row>
    <row r="168" spans="1:43" ht="15" customHeight="1" outlineLevel="1" x14ac:dyDescent="0.3">
      <c r="A168" s="101" t="s">
        <v>653</v>
      </c>
      <c r="B168" s="90" t="s">
        <v>130</v>
      </c>
      <c r="C168" s="91">
        <v>43101</v>
      </c>
      <c r="D168" s="91">
        <v>45664</v>
      </c>
      <c r="E168" s="92">
        <v>2</v>
      </c>
      <c r="F168" s="90" t="s">
        <v>276</v>
      </c>
      <c r="G168" s="90" t="s">
        <v>601</v>
      </c>
      <c r="H168" s="90" t="s">
        <v>278</v>
      </c>
      <c r="I168" s="90">
        <v>0</v>
      </c>
      <c r="J168" s="91">
        <v>45754</v>
      </c>
      <c r="K168" s="90" t="s">
        <v>131</v>
      </c>
      <c r="L168" s="90" t="s">
        <v>125</v>
      </c>
      <c r="M168" s="90"/>
      <c r="N168" s="90" t="s">
        <v>126</v>
      </c>
      <c r="O168" s="90">
        <v>-53431</v>
      </c>
      <c r="P168" s="90" t="s">
        <v>596</v>
      </c>
      <c r="Q168" s="90" t="s">
        <v>130</v>
      </c>
      <c r="R168" s="92">
        <v>2</v>
      </c>
      <c r="S168" s="30">
        <v>43</v>
      </c>
      <c r="T168" s="91">
        <v>45792</v>
      </c>
      <c r="U168" s="90" t="s">
        <v>602</v>
      </c>
      <c r="V168" s="91"/>
      <c r="W168" s="90"/>
      <c r="X168" s="92">
        <v>45</v>
      </c>
      <c r="Y168" s="30"/>
      <c r="Z168" s="30">
        <v>5500.7730000000001</v>
      </c>
      <c r="AA168" s="30">
        <v>8948.2939999999999</v>
      </c>
      <c r="AB168" s="91">
        <v>45329</v>
      </c>
      <c r="AC168" s="91">
        <v>45627</v>
      </c>
      <c r="AD168" s="91">
        <v>46133</v>
      </c>
      <c r="AE168" s="90" t="s">
        <v>297</v>
      </c>
      <c r="AF168" s="90" t="s">
        <v>284</v>
      </c>
      <c r="AG168" s="30"/>
      <c r="AH168" s="90">
        <v>0</v>
      </c>
      <c r="AI168" s="90">
        <v>1</v>
      </c>
      <c r="AJ168" s="90">
        <v>0</v>
      </c>
      <c r="AK168" s="92">
        <v>2025</v>
      </c>
      <c r="AL168" s="90" t="s">
        <v>224</v>
      </c>
      <c r="AM168" s="92">
        <v>90</v>
      </c>
      <c r="AN168" s="90" t="s">
        <v>145</v>
      </c>
      <c r="AO168" s="90">
        <v>0</v>
      </c>
      <c r="AP168" s="90" t="s">
        <v>79</v>
      </c>
      <c r="AQ168" s="30">
        <v>87.3</v>
      </c>
    </row>
    <row r="169" spans="1:43" ht="15" customHeight="1" outlineLevel="1" x14ac:dyDescent="0.3">
      <c r="A169" s="101" t="s">
        <v>653</v>
      </c>
      <c r="B169" s="90" t="s">
        <v>130</v>
      </c>
      <c r="C169" s="91">
        <v>43101</v>
      </c>
      <c r="D169" s="91">
        <v>45664</v>
      </c>
      <c r="E169" s="92">
        <v>2</v>
      </c>
      <c r="F169" s="90" t="s">
        <v>276</v>
      </c>
      <c r="G169" s="90" t="s">
        <v>601</v>
      </c>
      <c r="H169" s="90" t="s">
        <v>278</v>
      </c>
      <c r="I169" s="90">
        <v>0</v>
      </c>
      <c r="J169" s="91">
        <v>45803</v>
      </c>
      <c r="K169" s="90" t="s">
        <v>131</v>
      </c>
      <c r="L169" s="90" t="s">
        <v>125</v>
      </c>
      <c r="M169" s="90"/>
      <c r="N169" s="90" t="s">
        <v>126</v>
      </c>
      <c r="O169" s="90">
        <v>-53431</v>
      </c>
      <c r="P169" s="90" t="s">
        <v>596</v>
      </c>
      <c r="Q169" s="90" t="s">
        <v>130</v>
      </c>
      <c r="R169" s="92">
        <v>3</v>
      </c>
      <c r="S169" s="30">
        <v>49</v>
      </c>
      <c r="T169" s="91">
        <v>45839</v>
      </c>
      <c r="U169" s="90" t="s">
        <v>602</v>
      </c>
      <c r="V169" s="91"/>
      <c r="W169" s="90"/>
      <c r="X169" s="92">
        <v>45</v>
      </c>
      <c r="Y169" s="30"/>
      <c r="Z169" s="30">
        <v>5500.7730000000001</v>
      </c>
      <c r="AA169" s="30">
        <v>8948.2939999999999</v>
      </c>
      <c r="AB169" s="91">
        <v>45329</v>
      </c>
      <c r="AC169" s="91">
        <v>45627</v>
      </c>
      <c r="AD169" s="91">
        <v>46133</v>
      </c>
      <c r="AE169" s="90" t="s">
        <v>297</v>
      </c>
      <c r="AF169" s="90" t="s">
        <v>284</v>
      </c>
      <c r="AG169" s="30"/>
      <c r="AH169" s="90">
        <v>0</v>
      </c>
      <c r="AI169" s="90">
        <v>1</v>
      </c>
      <c r="AJ169" s="90">
        <v>0</v>
      </c>
      <c r="AK169" s="92">
        <v>2025</v>
      </c>
      <c r="AL169" s="90" t="s">
        <v>225</v>
      </c>
      <c r="AM169" s="92">
        <v>139</v>
      </c>
      <c r="AN169" s="90" t="s">
        <v>155</v>
      </c>
      <c r="AO169" s="90">
        <v>0</v>
      </c>
      <c r="AP169" s="90" t="s">
        <v>79</v>
      </c>
      <c r="AQ169" s="30">
        <v>88.9</v>
      </c>
    </row>
    <row r="170" spans="1:43" ht="15" customHeight="1" outlineLevel="1" x14ac:dyDescent="0.3">
      <c r="A170" s="101" t="s">
        <v>653</v>
      </c>
      <c r="B170" s="90" t="s">
        <v>130</v>
      </c>
      <c r="C170" s="91">
        <v>43101</v>
      </c>
      <c r="D170" s="91">
        <v>45664</v>
      </c>
      <c r="E170" s="92">
        <v>2</v>
      </c>
      <c r="F170" s="90" t="s">
        <v>276</v>
      </c>
      <c r="G170" s="90" t="s">
        <v>601</v>
      </c>
      <c r="H170" s="90" t="s">
        <v>278</v>
      </c>
      <c r="I170" s="90">
        <v>0</v>
      </c>
      <c r="J170" s="91">
        <v>45850</v>
      </c>
      <c r="K170" s="90" t="s">
        <v>131</v>
      </c>
      <c r="L170" s="90" t="s">
        <v>125</v>
      </c>
      <c r="M170" s="90"/>
      <c r="N170" s="90" t="s">
        <v>126</v>
      </c>
      <c r="O170" s="90">
        <v>-867</v>
      </c>
      <c r="P170" s="90" t="s">
        <v>596</v>
      </c>
      <c r="Q170" s="90" t="s">
        <v>130</v>
      </c>
      <c r="R170" s="92">
        <v>4</v>
      </c>
      <c r="S170" s="30">
        <v>47</v>
      </c>
      <c r="T170" s="91">
        <v>45877</v>
      </c>
      <c r="U170" s="90" t="s">
        <v>602</v>
      </c>
      <c r="V170" s="91"/>
      <c r="W170" s="90"/>
      <c r="X170" s="92">
        <v>45</v>
      </c>
      <c r="Y170" s="30"/>
      <c r="Z170" s="30">
        <v>5500.7730000000001</v>
      </c>
      <c r="AA170" s="30">
        <v>8948.2939999999999</v>
      </c>
      <c r="AB170" s="91">
        <v>45329</v>
      </c>
      <c r="AC170" s="91">
        <v>45627</v>
      </c>
      <c r="AD170" s="91">
        <v>46133</v>
      </c>
      <c r="AE170" s="90" t="s">
        <v>297</v>
      </c>
      <c r="AF170" s="90" t="s">
        <v>284</v>
      </c>
      <c r="AG170" s="30"/>
      <c r="AH170" s="90">
        <v>0</v>
      </c>
      <c r="AI170" s="90">
        <v>1</v>
      </c>
      <c r="AJ170" s="90">
        <v>0</v>
      </c>
      <c r="AK170" s="92">
        <v>2025</v>
      </c>
      <c r="AL170" s="90" t="s">
        <v>226</v>
      </c>
      <c r="AM170" s="92">
        <v>186</v>
      </c>
      <c r="AN170" s="90" t="s">
        <v>160</v>
      </c>
      <c r="AO170" s="90">
        <v>0</v>
      </c>
      <c r="AP170" s="90" t="s">
        <v>79</v>
      </c>
      <c r="AQ170" s="30">
        <v>90.4</v>
      </c>
    </row>
    <row r="171" spans="1:43" ht="15" customHeight="1" outlineLevel="1" x14ac:dyDescent="0.3">
      <c r="A171" s="101" t="s">
        <v>653</v>
      </c>
      <c r="B171" s="90" t="s">
        <v>130</v>
      </c>
      <c r="C171" s="91">
        <v>43101</v>
      </c>
      <c r="D171" s="91">
        <v>45664</v>
      </c>
      <c r="E171" s="92">
        <v>2</v>
      </c>
      <c r="F171" s="90" t="s">
        <v>276</v>
      </c>
      <c r="G171" s="90" t="s">
        <v>601</v>
      </c>
      <c r="H171" s="90" t="s">
        <v>278</v>
      </c>
      <c r="I171" s="90">
        <v>0</v>
      </c>
      <c r="J171" s="91">
        <v>45888</v>
      </c>
      <c r="K171" s="90" t="s">
        <v>131</v>
      </c>
      <c r="L171" s="90" t="s">
        <v>125</v>
      </c>
      <c r="M171" s="90"/>
      <c r="N171" s="90" t="s">
        <v>133</v>
      </c>
      <c r="O171" s="90">
        <v>-867</v>
      </c>
      <c r="P171" s="90" t="s">
        <v>596</v>
      </c>
      <c r="Q171" s="90" t="s">
        <v>130</v>
      </c>
      <c r="R171" s="92">
        <v>5</v>
      </c>
      <c r="S171" s="30">
        <v>38</v>
      </c>
      <c r="T171" s="91">
        <v>45911</v>
      </c>
      <c r="U171" s="90" t="s">
        <v>602</v>
      </c>
      <c r="V171" s="91"/>
      <c r="W171" s="90"/>
      <c r="X171" s="92">
        <v>45</v>
      </c>
      <c r="Y171" s="30"/>
      <c r="Z171" s="30">
        <v>5500.7730000000001</v>
      </c>
      <c r="AA171" s="30">
        <v>8948.2939999999999</v>
      </c>
      <c r="AB171" s="91">
        <v>45329</v>
      </c>
      <c r="AC171" s="91">
        <v>45627</v>
      </c>
      <c r="AD171" s="91">
        <v>46133</v>
      </c>
      <c r="AE171" s="90" t="s">
        <v>297</v>
      </c>
      <c r="AF171" s="90" t="s">
        <v>284</v>
      </c>
      <c r="AG171" s="30"/>
      <c r="AH171" s="90">
        <v>0</v>
      </c>
      <c r="AI171" s="90">
        <v>1</v>
      </c>
      <c r="AJ171" s="90">
        <v>0</v>
      </c>
      <c r="AK171" s="92">
        <v>2025</v>
      </c>
      <c r="AL171" s="90" t="s">
        <v>227</v>
      </c>
      <c r="AM171" s="92">
        <v>224</v>
      </c>
      <c r="AN171" s="90" t="s">
        <v>172</v>
      </c>
      <c r="AO171" s="90">
        <v>0</v>
      </c>
      <c r="AP171" s="90" t="s">
        <v>79</v>
      </c>
      <c r="AQ171" s="30">
        <v>91.7</v>
      </c>
    </row>
    <row r="172" spans="1:43" ht="15" customHeight="1" outlineLevel="1" x14ac:dyDescent="0.3">
      <c r="A172" s="101" t="s">
        <v>653</v>
      </c>
      <c r="B172" s="90" t="s">
        <v>130</v>
      </c>
      <c r="C172" s="91">
        <v>43101</v>
      </c>
      <c r="D172" s="91">
        <v>45664</v>
      </c>
      <c r="E172" s="92">
        <v>2</v>
      </c>
      <c r="F172" s="90" t="s">
        <v>276</v>
      </c>
      <c r="G172" s="90" t="s">
        <v>601</v>
      </c>
      <c r="H172" s="90" t="s">
        <v>278</v>
      </c>
      <c r="I172" s="90">
        <v>0</v>
      </c>
      <c r="J172" s="91">
        <v>45912</v>
      </c>
      <c r="K172" s="90" t="s">
        <v>131</v>
      </c>
      <c r="L172" s="90" t="s">
        <v>125</v>
      </c>
      <c r="M172" s="90"/>
      <c r="N172" s="90" t="s">
        <v>126</v>
      </c>
      <c r="O172" s="90">
        <v>-867</v>
      </c>
      <c r="P172" s="90" t="s">
        <v>596</v>
      </c>
      <c r="Q172" s="90" t="s">
        <v>130</v>
      </c>
      <c r="R172" s="92">
        <v>6</v>
      </c>
      <c r="S172" s="30">
        <v>24</v>
      </c>
      <c r="T172" s="91">
        <v>45968</v>
      </c>
      <c r="U172" s="90" t="s">
        <v>602</v>
      </c>
      <c r="V172" s="91"/>
      <c r="W172" s="90"/>
      <c r="X172" s="92">
        <v>45</v>
      </c>
      <c r="Y172" s="30"/>
      <c r="Z172" s="30">
        <v>5500.7730000000001</v>
      </c>
      <c r="AA172" s="30">
        <v>8948.2939999999999</v>
      </c>
      <c r="AB172" s="91">
        <v>45329</v>
      </c>
      <c r="AC172" s="91">
        <v>45627</v>
      </c>
      <c r="AD172" s="91">
        <v>46133</v>
      </c>
      <c r="AE172" s="90" t="s">
        <v>297</v>
      </c>
      <c r="AF172" s="90" t="s">
        <v>284</v>
      </c>
      <c r="AG172" s="30"/>
      <c r="AH172" s="90">
        <v>0</v>
      </c>
      <c r="AI172" s="90">
        <v>1</v>
      </c>
      <c r="AJ172" s="90">
        <v>0</v>
      </c>
      <c r="AK172" s="92">
        <v>2025</v>
      </c>
      <c r="AL172" s="90" t="s">
        <v>228</v>
      </c>
      <c r="AM172" s="92">
        <v>248</v>
      </c>
      <c r="AN172" s="90" t="s">
        <v>174</v>
      </c>
      <c r="AO172" s="90">
        <v>0</v>
      </c>
      <c r="AP172" s="90" t="s">
        <v>79</v>
      </c>
      <c r="AQ172" s="30">
        <v>92.5</v>
      </c>
    </row>
    <row r="173" spans="1:43" ht="15" customHeight="1" outlineLevel="1" x14ac:dyDescent="0.3">
      <c r="A173" s="101" t="s">
        <v>653</v>
      </c>
      <c r="B173" s="90" t="s">
        <v>130</v>
      </c>
      <c r="C173" s="91">
        <v>43101</v>
      </c>
      <c r="D173" s="91">
        <v>45664</v>
      </c>
      <c r="E173" s="92">
        <v>2</v>
      </c>
      <c r="F173" s="90" t="s">
        <v>276</v>
      </c>
      <c r="G173" s="90" t="s">
        <v>601</v>
      </c>
      <c r="H173" s="90" t="s">
        <v>278</v>
      </c>
      <c r="I173" s="90">
        <v>0</v>
      </c>
      <c r="J173" s="91">
        <v>46090</v>
      </c>
      <c r="K173" s="90" t="s">
        <v>131</v>
      </c>
      <c r="L173" s="90" t="s">
        <v>132</v>
      </c>
      <c r="M173" s="90" t="s">
        <v>593</v>
      </c>
      <c r="N173" s="90" t="s">
        <v>133</v>
      </c>
      <c r="O173" s="90" t="s">
        <v>139</v>
      </c>
      <c r="P173" s="90" t="s">
        <v>596</v>
      </c>
      <c r="Q173" s="90" t="s">
        <v>130</v>
      </c>
      <c r="R173" s="92">
        <v>7</v>
      </c>
      <c r="S173" s="30">
        <v>178</v>
      </c>
      <c r="T173" s="91">
        <v>46122</v>
      </c>
      <c r="U173" s="90" t="s">
        <v>602</v>
      </c>
      <c r="V173" s="91"/>
      <c r="W173" s="90"/>
      <c r="X173" s="92">
        <v>45</v>
      </c>
      <c r="Y173" s="30"/>
      <c r="Z173" s="30">
        <v>5500.7730000000001</v>
      </c>
      <c r="AA173" s="30">
        <v>8948.2939999999999</v>
      </c>
      <c r="AB173" s="91">
        <v>45329</v>
      </c>
      <c r="AC173" s="91">
        <v>45627</v>
      </c>
      <c r="AD173" s="91">
        <v>46133</v>
      </c>
      <c r="AE173" s="90" t="s">
        <v>297</v>
      </c>
      <c r="AF173" s="90" t="s">
        <v>284</v>
      </c>
      <c r="AG173" s="30"/>
      <c r="AH173" s="90">
        <v>0</v>
      </c>
      <c r="AI173" s="90">
        <v>1</v>
      </c>
      <c r="AJ173" s="90">
        <v>0</v>
      </c>
      <c r="AK173" s="92">
        <v>2026</v>
      </c>
      <c r="AL173" s="90" t="s">
        <v>234</v>
      </c>
      <c r="AM173" s="92">
        <v>426</v>
      </c>
      <c r="AN173" s="90" t="s">
        <v>197</v>
      </c>
      <c r="AO173" s="90">
        <v>1</v>
      </c>
      <c r="AP173" s="90" t="s">
        <v>79</v>
      </c>
      <c r="AQ173" s="30">
        <v>98.3</v>
      </c>
    </row>
    <row r="174" spans="1:43" ht="15" customHeight="1" outlineLevel="1" x14ac:dyDescent="0.3">
      <c r="A174" s="101" t="s">
        <v>654</v>
      </c>
      <c r="B174" s="90" t="s">
        <v>130</v>
      </c>
      <c r="C174" s="91">
        <v>44197</v>
      </c>
      <c r="D174" s="91"/>
      <c r="E174" s="92">
        <v>0</v>
      </c>
      <c r="F174" s="90"/>
      <c r="G174" s="90"/>
      <c r="H174" s="90"/>
      <c r="I174" s="90"/>
      <c r="J174" s="91">
        <v>44864</v>
      </c>
      <c r="K174" s="90" t="s">
        <v>124</v>
      </c>
      <c r="L174" s="90" t="s">
        <v>125</v>
      </c>
      <c r="M174" s="90"/>
      <c r="N174" s="90"/>
      <c r="O174" s="90" t="s">
        <v>186</v>
      </c>
      <c r="P174" s="90"/>
      <c r="Q174" s="90" t="s">
        <v>130</v>
      </c>
      <c r="R174" s="92">
        <v>1</v>
      </c>
      <c r="S174" s="30"/>
      <c r="T174" s="91">
        <v>44956</v>
      </c>
      <c r="U174" s="90" t="s">
        <v>582</v>
      </c>
      <c r="V174" s="91"/>
      <c r="W174" s="90"/>
      <c r="X174" s="92">
        <v>45</v>
      </c>
      <c r="Y174" s="30"/>
      <c r="Z174" s="30"/>
      <c r="AA174" s="30">
        <v>8665</v>
      </c>
      <c r="AB174" s="91">
        <v>45152</v>
      </c>
      <c r="AC174" s="91">
        <v>45827</v>
      </c>
      <c r="AD174" s="91"/>
      <c r="AE174" s="90"/>
      <c r="AF174" s="90"/>
      <c r="AG174" s="30"/>
      <c r="AH174" s="90">
        <v>1</v>
      </c>
      <c r="AI174" s="90">
        <v>1</v>
      </c>
      <c r="AJ174" s="90">
        <v>0</v>
      </c>
      <c r="AK174" s="92">
        <v>2022</v>
      </c>
      <c r="AL174" s="90" t="s">
        <v>190</v>
      </c>
      <c r="AM174" s="92"/>
      <c r="AN174" s="90"/>
      <c r="AO174" s="90">
        <v>0</v>
      </c>
      <c r="AP174" s="90" t="s">
        <v>80</v>
      </c>
      <c r="AQ174" s="30">
        <v>21.9</v>
      </c>
    </row>
    <row r="175" spans="1:43" ht="15" customHeight="1" x14ac:dyDescent="0.3">
      <c r="A175" s="101" t="s">
        <v>654</v>
      </c>
      <c r="B175" s="90" t="s">
        <v>130</v>
      </c>
      <c r="C175" s="91">
        <v>44197</v>
      </c>
      <c r="D175" s="91">
        <v>45152</v>
      </c>
      <c r="E175" s="92">
        <v>1</v>
      </c>
      <c r="F175" s="90" t="s">
        <v>276</v>
      </c>
      <c r="G175" s="90"/>
      <c r="H175" s="90"/>
      <c r="I175" s="90">
        <v>0</v>
      </c>
      <c r="J175" s="91">
        <v>45182</v>
      </c>
      <c r="K175" s="90" t="s">
        <v>131</v>
      </c>
      <c r="L175" s="90" t="s">
        <v>125</v>
      </c>
      <c r="M175" s="90"/>
      <c r="N175" s="90" t="s">
        <v>126</v>
      </c>
      <c r="O175" s="90" t="s">
        <v>175</v>
      </c>
      <c r="P175" s="90" t="s">
        <v>596</v>
      </c>
      <c r="Q175" s="90" t="s">
        <v>130</v>
      </c>
      <c r="R175" s="92">
        <v>1</v>
      </c>
      <c r="S175" s="30"/>
      <c r="T175" s="91">
        <v>45214</v>
      </c>
      <c r="U175" s="90" t="s">
        <v>602</v>
      </c>
      <c r="V175" s="91"/>
      <c r="W175" s="90"/>
      <c r="X175" s="92">
        <v>45</v>
      </c>
      <c r="Y175" s="30"/>
      <c r="Z175" s="30">
        <v>16176.691999999999</v>
      </c>
      <c r="AA175" s="30">
        <v>8665</v>
      </c>
      <c r="AB175" s="91">
        <v>45152</v>
      </c>
      <c r="AC175" s="91">
        <v>45827</v>
      </c>
      <c r="AD175" s="91"/>
      <c r="AE175" s="90"/>
      <c r="AF175" s="90"/>
      <c r="AG175" s="30"/>
      <c r="AH175" s="90">
        <v>0</v>
      </c>
      <c r="AI175" s="90">
        <v>1</v>
      </c>
      <c r="AJ175" s="90">
        <v>0</v>
      </c>
      <c r="AK175" s="92">
        <v>2023</v>
      </c>
      <c r="AL175" s="90" t="s">
        <v>205</v>
      </c>
      <c r="AM175" s="92">
        <v>30</v>
      </c>
      <c r="AN175" s="90" t="s">
        <v>128</v>
      </c>
      <c r="AO175" s="90">
        <v>0</v>
      </c>
      <c r="AP175" s="90" t="s">
        <v>79</v>
      </c>
      <c r="AQ175" s="30">
        <v>32.4</v>
      </c>
    </row>
    <row r="176" spans="1:43" ht="15" customHeight="1" outlineLevel="1" x14ac:dyDescent="0.3">
      <c r="A176" s="101" t="s">
        <v>654</v>
      </c>
      <c r="B176" s="90" t="s">
        <v>130</v>
      </c>
      <c r="C176" s="91">
        <v>44197</v>
      </c>
      <c r="D176" s="91">
        <v>45152</v>
      </c>
      <c r="E176" s="92">
        <v>1</v>
      </c>
      <c r="F176" s="90" t="s">
        <v>276</v>
      </c>
      <c r="G176" s="90"/>
      <c r="H176" s="90"/>
      <c r="I176" s="90">
        <v>0</v>
      </c>
      <c r="J176" s="91">
        <v>45234</v>
      </c>
      <c r="K176" s="90" t="s">
        <v>131</v>
      </c>
      <c r="L176" s="90" t="s">
        <v>125</v>
      </c>
      <c r="M176" s="90"/>
      <c r="N176" s="90" t="s">
        <v>126</v>
      </c>
      <c r="O176" s="90" t="s">
        <v>175</v>
      </c>
      <c r="P176" s="90" t="s">
        <v>596</v>
      </c>
      <c r="Q176" s="90" t="s">
        <v>130</v>
      </c>
      <c r="R176" s="92">
        <v>2</v>
      </c>
      <c r="S176" s="30">
        <v>52</v>
      </c>
      <c r="T176" s="91">
        <v>45271</v>
      </c>
      <c r="U176" s="90" t="s">
        <v>602</v>
      </c>
      <c r="V176" s="91"/>
      <c r="W176" s="90"/>
      <c r="X176" s="92">
        <v>45</v>
      </c>
      <c r="Y176" s="30"/>
      <c r="Z176" s="30">
        <v>16176.691999999999</v>
      </c>
      <c r="AA176" s="30">
        <v>8665</v>
      </c>
      <c r="AB176" s="91">
        <v>45152</v>
      </c>
      <c r="AC176" s="91">
        <v>45827</v>
      </c>
      <c r="AD176" s="91"/>
      <c r="AE176" s="90"/>
      <c r="AF176" s="90"/>
      <c r="AG176" s="30"/>
      <c r="AH176" s="90">
        <v>0</v>
      </c>
      <c r="AI176" s="90">
        <v>1</v>
      </c>
      <c r="AJ176" s="90">
        <v>0</v>
      </c>
      <c r="AK176" s="92">
        <v>2023</v>
      </c>
      <c r="AL176" s="90" t="s">
        <v>207</v>
      </c>
      <c r="AM176" s="92">
        <v>82</v>
      </c>
      <c r="AN176" s="90" t="s">
        <v>140</v>
      </c>
      <c r="AO176" s="90">
        <v>0</v>
      </c>
      <c r="AP176" s="90" t="s">
        <v>79</v>
      </c>
      <c r="AQ176" s="30">
        <v>34.1</v>
      </c>
    </row>
    <row r="177" spans="1:43" ht="15" customHeight="1" outlineLevel="1" x14ac:dyDescent="0.3">
      <c r="A177" s="101" t="s">
        <v>654</v>
      </c>
      <c r="B177" s="90" t="s">
        <v>130</v>
      </c>
      <c r="C177" s="91">
        <v>44197</v>
      </c>
      <c r="D177" s="91">
        <v>45152</v>
      </c>
      <c r="E177" s="92">
        <v>1</v>
      </c>
      <c r="F177" s="90" t="s">
        <v>276</v>
      </c>
      <c r="G177" s="90"/>
      <c r="H177" s="90"/>
      <c r="I177" s="90">
        <v>0</v>
      </c>
      <c r="J177" s="91">
        <v>45282</v>
      </c>
      <c r="K177" s="90" t="s">
        <v>131</v>
      </c>
      <c r="L177" s="90" t="s">
        <v>125</v>
      </c>
      <c r="M177" s="90"/>
      <c r="N177" s="90" t="s">
        <v>126</v>
      </c>
      <c r="O177" s="90" t="s">
        <v>180</v>
      </c>
      <c r="P177" s="90" t="s">
        <v>596</v>
      </c>
      <c r="Q177" s="90" t="s">
        <v>130</v>
      </c>
      <c r="R177" s="92">
        <v>3</v>
      </c>
      <c r="S177" s="30">
        <v>48</v>
      </c>
      <c r="T177" s="91">
        <v>45330</v>
      </c>
      <c r="U177" s="90" t="s">
        <v>582</v>
      </c>
      <c r="V177" s="91">
        <v>45481</v>
      </c>
      <c r="W177" s="90" t="s">
        <v>648</v>
      </c>
      <c r="X177" s="92">
        <v>45</v>
      </c>
      <c r="Y177" s="30"/>
      <c r="Z177" s="30">
        <v>16176.691999999999</v>
      </c>
      <c r="AA177" s="30">
        <v>8665</v>
      </c>
      <c r="AB177" s="91">
        <v>45152</v>
      </c>
      <c r="AC177" s="91">
        <v>45827</v>
      </c>
      <c r="AD177" s="91"/>
      <c r="AE177" s="90"/>
      <c r="AF177" s="90"/>
      <c r="AG177" s="30"/>
      <c r="AH177" s="90">
        <v>1</v>
      </c>
      <c r="AI177" s="90">
        <v>1</v>
      </c>
      <c r="AJ177" s="90">
        <v>1</v>
      </c>
      <c r="AK177" s="92">
        <v>2023</v>
      </c>
      <c r="AL177" s="90" t="s">
        <v>208</v>
      </c>
      <c r="AM177" s="92">
        <v>130</v>
      </c>
      <c r="AN177" s="90" t="s">
        <v>155</v>
      </c>
      <c r="AO177" s="90">
        <v>0</v>
      </c>
      <c r="AP177" s="90" t="s">
        <v>79</v>
      </c>
      <c r="AQ177" s="30">
        <v>35.700000000000003</v>
      </c>
    </row>
    <row r="178" spans="1:43" ht="15" customHeight="1" outlineLevel="1" x14ac:dyDescent="0.3">
      <c r="A178" s="101" t="s">
        <v>654</v>
      </c>
      <c r="B178" s="90" t="s">
        <v>130</v>
      </c>
      <c r="C178" s="91">
        <v>44197</v>
      </c>
      <c r="D178" s="91">
        <v>45152</v>
      </c>
      <c r="E178" s="92">
        <v>1</v>
      </c>
      <c r="F178" s="90" t="s">
        <v>276</v>
      </c>
      <c r="G178" s="90"/>
      <c r="H178" s="90"/>
      <c r="I178" s="90">
        <v>0</v>
      </c>
      <c r="J178" s="91">
        <v>45481</v>
      </c>
      <c r="K178" s="90" t="s">
        <v>131</v>
      </c>
      <c r="L178" s="90" t="s">
        <v>125</v>
      </c>
      <c r="M178" s="90"/>
      <c r="N178" s="90" t="s">
        <v>126</v>
      </c>
      <c r="O178" s="90" t="s">
        <v>175</v>
      </c>
      <c r="P178" s="90" t="s">
        <v>596</v>
      </c>
      <c r="Q178" s="90" t="s">
        <v>130</v>
      </c>
      <c r="R178" s="92">
        <v>4</v>
      </c>
      <c r="S178" s="30">
        <v>199</v>
      </c>
      <c r="T178" s="91">
        <v>45507</v>
      </c>
      <c r="U178" s="90" t="s">
        <v>602</v>
      </c>
      <c r="V178" s="91"/>
      <c r="W178" s="90"/>
      <c r="X178" s="92">
        <v>45</v>
      </c>
      <c r="Y178" s="30"/>
      <c r="Z178" s="30">
        <v>16176.691999999999</v>
      </c>
      <c r="AA178" s="30">
        <v>8665</v>
      </c>
      <c r="AB178" s="91">
        <v>45152</v>
      </c>
      <c r="AC178" s="91">
        <v>45827</v>
      </c>
      <c r="AD178" s="91"/>
      <c r="AE178" s="90"/>
      <c r="AF178" s="90"/>
      <c r="AG178" s="30"/>
      <c r="AH178" s="90">
        <v>0</v>
      </c>
      <c r="AI178" s="90">
        <v>1</v>
      </c>
      <c r="AJ178" s="90">
        <v>0</v>
      </c>
      <c r="AK178" s="92">
        <v>2024</v>
      </c>
      <c r="AL178" s="90" t="s">
        <v>215</v>
      </c>
      <c r="AM178" s="92">
        <v>329</v>
      </c>
      <c r="AN178" s="90" t="s">
        <v>187</v>
      </c>
      <c r="AO178" s="90">
        <v>0</v>
      </c>
      <c r="AP178" s="90" t="s">
        <v>79</v>
      </c>
      <c r="AQ178" s="30">
        <v>42.2</v>
      </c>
    </row>
    <row r="179" spans="1:43" ht="15" customHeight="1" outlineLevel="1" x14ac:dyDescent="0.3">
      <c r="A179" s="101" t="s">
        <v>654</v>
      </c>
      <c r="B179" s="90" t="s">
        <v>130</v>
      </c>
      <c r="C179" s="91">
        <v>44197</v>
      </c>
      <c r="D179" s="91">
        <v>45152</v>
      </c>
      <c r="E179" s="92">
        <v>1</v>
      </c>
      <c r="F179" s="90" t="s">
        <v>276</v>
      </c>
      <c r="G179" s="90"/>
      <c r="H179" s="90"/>
      <c r="I179" s="90">
        <v>0</v>
      </c>
      <c r="J179" s="91">
        <v>45508</v>
      </c>
      <c r="K179" s="90" t="s">
        <v>131</v>
      </c>
      <c r="L179" s="90" t="s">
        <v>125</v>
      </c>
      <c r="M179" s="90"/>
      <c r="N179" s="90" t="s">
        <v>126</v>
      </c>
      <c r="O179" s="90" t="s">
        <v>175</v>
      </c>
      <c r="P179" s="90" t="s">
        <v>596</v>
      </c>
      <c r="Q179" s="90" t="s">
        <v>130</v>
      </c>
      <c r="R179" s="92">
        <v>5</v>
      </c>
      <c r="S179" s="30">
        <v>27</v>
      </c>
      <c r="T179" s="91">
        <v>45561</v>
      </c>
      <c r="U179" s="90" t="s">
        <v>602</v>
      </c>
      <c r="V179" s="91"/>
      <c r="W179" s="90"/>
      <c r="X179" s="92">
        <v>45</v>
      </c>
      <c r="Y179" s="30"/>
      <c r="Z179" s="30">
        <v>16176.691999999999</v>
      </c>
      <c r="AA179" s="30">
        <v>8665</v>
      </c>
      <c r="AB179" s="91">
        <v>45152</v>
      </c>
      <c r="AC179" s="91">
        <v>45827</v>
      </c>
      <c r="AD179" s="91"/>
      <c r="AE179" s="90"/>
      <c r="AF179" s="90"/>
      <c r="AG179" s="30"/>
      <c r="AH179" s="90">
        <v>0</v>
      </c>
      <c r="AI179" s="90">
        <v>1</v>
      </c>
      <c r="AJ179" s="90">
        <v>0</v>
      </c>
      <c r="AK179" s="92">
        <v>2024</v>
      </c>
      <c r="AL179" s="90" t="s">
        <v>216</v>
      </c>
      <c r="AM179" s="92">
        <v>356</v>
      </c>
      <c r="AN179" s="90" t="s">
        <v>189</v>
      </c>
      <c r="AO179" s="90">
        <v>0</v>
      </c>
      <c r="AP179" s="90" t="s">
        <v>79</v>
      </c>
      <c r="AQ179" s="30">
        <v>43.1</v>
      </c>
    </row>
    <row r="180" spans="1:43" ht="15" customHeight="1" outlineLevel="1" x14ac:dyDescent="0.3">
      <c r="A180" s="101" t="s">
        <v>654</v>
      </c>
      <c r="B180" s="90" t="s">
        <v>130</v>
      </c>
      <c r="C180" s="91">
        <v>44197</v>
      </c>
      <c r="D180" s="91">
        <v>45152</v>
      </c>
      <c r="E180" s="92">
        <v>1</v>
      </c>
      <c r="F180" s="90" t="s">
        <v>276</v>
      </c>
      <c r="G180" s="90"/>
      <c r="H180" s="90"/>
      <c r="I180" s="90">
        <v>0</v>
      </c>
      <c r="J180" s="91">
        <v>45572</v>
      </c>
      <c r="K180" s="90" t="s">
        <v>131</v>
      </c>
      <c r="L180" s="90" t="s">
        <v>125</v>
      </c>
      <c r="M180" s="90"/>
      <c r="N180" s="90" t="s">
        <v>126</v>
      </c>
      <c r="O180" s="90" t="s">
        <v>175</v>
      </c>
      <c r="P180" s="90" t="s">
        <v>596</v>
      </c>
      <c r="Q180" s="90" t="s">
        <v>130</v>
      </c>
      <c r="R180" s="92">
        <v>6</v>
      </c>
      <c r="S180" s="30">
        <v>64</v>
      </c>
      <c r="T180" s="91">
        <v>45603</v>
      </c>
      <c r="U180" s="90" t="s">
        <v>582</v>
      </c>
      <c r="V180" s="91"/>
      <c r="W180" s="90"/>
      <c r="X180" s="92">
        <v>45</v>
      </c>
      <c r="Y180" s="30"/>
      <c r="Z180" s="30">
        <v>16176.691999999999</v>
      </c>
      <c r="AA180" s="30">
        <v>8665</v>
      </c>
      <c r="AB180" s="91">
        <v>45152</v>
      </c>
      <c r="AC180" s="91">
        <v>45827</v>
      </c>
      <c r="AD180" s="91"/>
      <c r="AE180" s="90"/>
      <c r="AF180" s="90"/>
      <c r="AG180" s="30"/>
      <c r="AH180" s="90">
        <v>1</v>
      </c>
      <c r="AI180" s="90">
        <v>1</v>
      </c>
      <c r="AJ180" s="90">
        <v>0</v>
      </c>
      <c r="AK180" s="92">
        <v>2024</v>
      </c>
      <c r="AL180" s="90" t="s">
        <v>218</v>
      </c>
      <c r="AM180" s="92">
        <v>420</v>
      </c>
      <c r="AN180" s="90" t="s">
        <v>195</v>
      </c>
      <c r="AO180" s="90">
        <v>0</v>
      </c>
      <c r="AP180" s="90" t="s">
        <v>79</v>
      </c>
      <c r="AQ180" s="30">
        <v>45.2</v>
      </c>
    </row>
    <row r="181" spans="1:43" ht="15" customHeight="1" outlineLevel="1" x14ac:dyDescent="0.3">
      <c r="A181" s="101" t="s">
        <v>654</v>
      </c>
      <c r="B181" s="90" t="s">
        <v>130</v>
      </c>
      <c r="C181" s="91">
        <v>44197</v>
      </c>
      <c r="D181" s="91">
        <v>45857</v>
      </c>
      <c r="E181" s="92">
        <v>2</v>
      </c>
      <c r="F181" s="90" t="s">
        <v>276</v>
      </c>
      <c r="G181" s="90"/>
      <c r="H181" s="90"/>
      <c r="I181" s="90">
        <v>0</v>
      </c>
      <c r="J181" s="91">
        <v>45934</v>
      </c>
      <c r="K181" s="90" t="s">
        <v>131</v>
      </c>
      <c r="L181" s="90" t="s">
        <v>125</v>
      </c>
      <c r="M181" s="90"/>
      <c r="N181" s="90" t="s">
        <v>133</v>
      </c>
      <c r="O181" s="90" t="s">
        <v>139</v>
      </c>
      <c r="P181" s="90" t="s">
        <v>596</v>
      </c>
      <c r="Q181" s="90" t="s">
        <v>130</v>
      </c>
      <c r="R181" s="92">
        <v>1</v>
      </c>
      <c r="S181" s="30"/>
      <c r="T181" s="91">
        <v>45968</v>
      </c>
      <c r="U181" s="90" t="s">
        <v>602</v>
      </c>
      <c r="V181" s="91"/>
      <c r="W181" s="90"/>
      <c r="X181" s="92">
        <v>45</v>
      </c>
      <c r="Y181" s="30"/>
      <c r="Z181" s="30">
        <v>8589</v>
      </c>
      <c r="AA181" s="30">
        <v>8665</v>
      </c>
      <c r="AB181" s="91">
        <v>45152</v>
      </c>
      <c r="AC181" s="91">
        <v>45827</v>
      </c>
      <c r="AD181" s="91"/>
      <c r="AE181" s="90"/>
      <c r="AF181" s="90"/>
      <c r="AG181" s="30"/>
      <c r="AH181" s="90">
        <v>0</v>
      </c>
      <c r="AI181" s="90">
        <v>1</v>
      </c>
      <c r="AJ181" s="90">
        <v>0</v>
      </c>
      <c r="AK181" s="92">
        <v>2025</v>
      </c>
      <c r="AL181" s="90" t="s">
        <v>229</v>
      </c>
      <c r="AM181" s="92">
        <v>77</v>
      </c>
      <c r="AN181" s="90" t="s">
        <v>140</v>
      </c>
      <c r="AO181" s="90">
        <v>0</v>
      </c>
      <c r="AP181" s="90" t="s">
        <v>79</v>
      </c>
      <c r="AQ181" s="30">
        <v>57.1</v>
      </c>
    </row>
    <row r="182" spans="1:43" ht="15" customHeight="1" x14ac:dyDescent="0.3">
      <c r="A182" s="101" t="s">
        <v>654</v>
      </c>
      <c r="B182" s="90" t="s">
        <v>130</v>
      </c>
      <c r="C182" s="91">
        <v>44197</v>
      </c>
      <c r="D182" s="91">
        <v>45857</v>
      </c>
      <c r="E182" s="92">
        <v>2</v>
      </c>
      <c r="F182" s="90" t="s">
        <v>276</v>
      </c>
      <c r="G182" s="90"/>
      <c r="H182" s="90"/>
      <c r="I182" s="90">
        <v>0</v>
      </c>
      <c r="J182" s="91">
        <v>45979</v>
      </c>
      <c r="K182" s="90" t="s">
        <v>131</v>
      </c>
      <c r="L182" s="90" t="s">
        <v>125</v>
      </c>
      <c r="M182" s="90"/>
      <c r="N182" s="90" t="s">
        <v>133</v>
      </c>
      <c r="O182" s="90" t="s">
        <v>139</v>
      </c>
      <c r="P182" s="90" t="s">
        <v>596</v>
      </c>
      <c r="Q182" s="90" t="s">
        <v>130</v>
      </c>
      <c r="R182" s="92">
        <v>2</v>
      </c>
      <c r="S182" s="30">
        <v>45</v>
      </c>
      <c r="T182" s="91">
        <v>46004</v>
      </c>
      <c r="U182" s="90" t="s">
        <v>602</v>
      </c>
      <c r="V182" s="91"/>
      <c r="W182" s="90"/>
      <c r="X182" s="92">
        <v>45</v>
      </c>
      <c r="Y182" s="30"/>
      <c r="Z182" s="30">
        <v>8589</v>
      </c>
      <c r="AA182" s="30">
        <v>8665</v>
      </c>
      <c r="AB182" s="91">
        <v>45152</v>
      </c>
      <c r="AC182" s="91">
        <v>45827</v>
      </c>
      <c r="AD182" s="91"/>
      <c r="AE182" s="90"/>
      <c r="AF182" s="90"/>
      <c r="AG182" s="30"/>
      <c r="AH182" s="90">
        <v>0</v>
      </c>
      <c r="AI182" s="90">
        <v>1</v>
      </c>
      <c r="AJ182" s="90">
        <v>0</v>
      </c>
      <c r="AK182" s="92">
        <v>2025</v>
      </c>
      <c r="AL182" s="90" t="s">
        <v>230</v>
      </c>
      <c r="AM182" s="92">
        <v>122</v>
      </c>
      <c r="AN182" s="90" t="s">
        <v>150</v>
      </c>
      <c r="AO182" s="90">
        <v>0</v>
      </c>
      <c r="AP182" s="90" t="s">
        <v>79</v>
      </c>
      <c r="AQ182" s="30">
        <v>58.6</v>
      </c>
    </row>
    <row r="183" spans="1:43" ht="15" customHeight="1" x14ac:dyDescent="0.3">
      <c r="A183" s="101" t="s">
        <v>654</v>
      </c>
      <c r="B183" s="90" t="s">
        <v>130</v>
      </c>
      <c r="C183" s="91">
        <v>44197</v>
      </c>
      <c r="D183" s="91">
        <v>45857</v>
      </c>
      <c r="E183" s="92">
        <v>2</v>
      </c>
      <c r="F183" s="90" t="s">
        <v>276</v>
      </c>
      <c r="G183" s="90"/>
      <c r="H183" s="90"/>
      <c r="I183" s="90">
        <v>0</v>
      </c>
      <c r="J183" s="91">
        <v>46004</v>
      </c>
      <c r="K183" s="90" t="s">
        <v>131</v>
      </c>
      <c r="L183" s="90" t="s">
        <v>125</v>
      </c>
      <c r="M183" s="90"/>
      <c r="N183" s="90" t="s">
        <v>133</v>
      </c>
      <c r="O183" s="90" t="s">
        <v>139</v>
      </c>
      <c r="P183" s="90" t="s">
        <v>596</v>
      </c>
      <c r="Q183" s="90" t="s">
        <v>130</v>
      </c>
      <c r="R183" s="92">
        <v>3</v>
      </c>
      <c r="S183" s="30">
        <v>25</v>
      </c>
      <c r="T183" s="91">
        <v>46058</v>
      </c>
      <c r="U183" s="90" t="s">
        <v>602</v>
      </c>
      <c r="V183" s="91"/>
      <c r="W183" s="90"/>
      <c r="X183" s="92">
        <v>45</v>
      </c>
      <c r="Y183" s="30">
        <v>352</v>
      </c>
      <c r="Z183" s="30">
        <v>8589</v>
      </c>
      <c r="AA183" s="30">
        <v>8665</v>
      </c>
      <c r="AB183" s="91">
        <v>45152</v>
      </c>
      <c r="AC183" s="91">
        <v>45827</v>
      </c>
      <c r="AD183" s="91"/>
      <c r="AE183" s="90"/>
      <c r="AF183" s="90"/>
      <c r="AG183" s="30"/>
      <c r="AH183" s="90">
        <v>0</v>
      </c>
      <c r="AI183" s="90">
        <v>1</v>
      </c>
      <c r="AJ183" s="90">
        <v>0</v>
      </c>
      <c r="AK183" s="92">
        <v>2025</v>
      </c>
      <c r="AL183" s="90" t="s">
        <v>231</v>
      </c>
      <c r="AM183" s="92">
        <v>147</v>
      </c>
      <c r="AN183" s="90" t="s">
        <v>155</v>
      </c>
      <c r="AO183" s="90">
        <v>0</v>
      </c>
      <c r="AP183" s="90" t="s">
        <v>79</v>
      </c>
      <c r="AQ183" s="30">
        <v>59.4</v>
      </c>
    </row>
    <row r="184" spans="1:43" ht="15" customHeight="1" outlineLevel="1" x14ac:dyDescent="0.3">
      <c r="A184" s="101" t="s">
        <v>654</v>
      </c>
      <c r="B184" s="90" t="s">
        <v>130</v>
      </c>
      <c r="C184" s="91">
        <v>44197</v>
      </c>
      <c r="D184" s="91">
        <v>45857</v>
      </c>
      <c r="E184" s="92">
        <v>2</v>
      </c>
      <c r="F184" s="90" t="s">
        <v>276</v>
      </c>
      <c r="G184" s="90"/>
      <c r="H184" s="90"/>
      <c r="I184" s="90">
        <v>0</v>
      </c>
      <c r="J184" s="91">
        <v>46069</v>
      </c>
      <c r="K184" s="90" t="s">
        <v>131</v>
      </c>
      <c r="L184" s="90" t="s">
        <v>132</v>
      </c>
      <c r="M184" s="90" t="s">
        <v>593</v>
      </c>
      <c r="N184" s="90" t="s">
        <v>133</v>
      </c>
      <c r="O184" s="90" t="s">
        <v>139</v>
      </c>
      <c r="P184" s="90" t="s">
        <v>596</v>
      </c>
      <c r="Q184" s="90" t="s">
        <v>130</v>
      </c>
      <c r="R184" s="92">
        <v>4</v>
      </c>
      <c r="S184" s="30">
        <v>65</v>
      </c>
      <c r="T184" s="91">
        <v>46101</v>
      </c>
      <c r="U184" s="90" t="s">
        <v>582</v>
      </c>
      <c r="V184" s="91"/>
      <c r="W184" s="90"/>
      <c r="X184" s="92">
        <v>45</v>
      </c>
      <c r="Y184" s="30"/>
      <c r="Z184" s="30">
        <v>8589</v>
      </c>
      <c r="AA184" s="30">
        <v>8665</v>
      </c>
      <c r="AB184" s="91">
        <v>45152</v>
      </c>
      <c r="AC184" s="91">
        <v>45827</v>
      </c>
      <c r="AD184" s="91"/>
      <c r="AE184" s="90"/>
      <c r="AF184" s="90"/>
      <c r="AG184" s="30"/>
      <c r="AH184" s="90">
        <v>1</v>
      </c>
      <c r="AI184" s="90">
        <v>1</v>
      </c>
      <c r="AJ184" s="90">
        <v>0</v>
      </c>
      <c r="AK184" s="92">
        <v>2026</v>
      </c>
      <c r="AL184" s="90" t="s">
        <v>233</v>
      </c>
      <c r="AM184" s="92">
        <v>212</v>
      </c>
      <c r="AN184" s="90" t="s">
        <v>172</v>
      </c>
      <c r="AO184" s="90">
        <v>1</v>
      </c>
      <c r="AP184" s="90" t="s">
        <v>79</v>
      </c>
      <c r="AQ184" s="30">
        <v>61.6</v>
      </c>
    </row>
    <row r="185" spans="1:43" ht="15" customHeight="1" outlineLevel="1" x14ac:dyDescent="0.3">
      <c r="A185" s="101" t="s">
        <v>655</v>
      </c>
      <c r="B185" s="90" t="s">
        <v>130</v>
      </c>
      <c r="C185" s="91">
        <v>44197</v>
      </c>
      <c r="D185" s="91"/>
      <c r="E185" s="92">
        <v>0</v>
      </c>
      <c r="F185" s="90"/>
      <c r="G185" s="90"/>
      <c r="H185" s="90"/>
      <c r="I185" s="90"/>
      <c r="J185" s="91">
        <v>44834</v>
      </c>
      <c r="K185" s="90" t="s">
        <v>124</v>
      </c>
      <c r="L185" s="90" t="s">
        <v>125</v>
      </c>
      <c r="M185" s="90"/>
      <c r="N185" s="90"/>
      <c r="O185" s="90" t="s">
        <v>186</v>
      </c>
      <c r="P185" s="90"/>
      <c r="Q185" s="90" t="s">
        <v>130</v>
      </c>
      <c r="R185" s="92">
        <v>1</v>
      </c>
      <c r="S185" s="30"/>
      <c r="T185" s="91">
        <v>44956</v>
      </c>
      <c r="U185" s="90" t="s">
        <v>582</v>
      </c>
      <c r="V185" s="91"/>
      <c r="W185" s="90"/>
      <c r="X185" s="92">
        <v>45</v>
      </c>
      <c r="Y185" s="30"/>
      <c r="Z185" s="30"/>
      <c r="AA185" s="30">
        <v>4524</v>
      </c>
      <c r="AB185" s="91">
        <v>45104</v>
      </c>
      <c r="AC185" s="91">
        <v>45470</v>
      </c>
      <c r="AD185" s="91"/>
      <c r="AE185" s="90"/>
      <c r="AF185" s="90"/>
      <c r="AG185" s="30"/>
      <c r="AH185" s="90">
        <v>1</v>
      </c>
      <c r="AI185" s="90">
        <v>1</v>
      </c>
      <c r="AJ185" s="90">
        <v>0</v>
      </c>
      <c r="AK185" s="92">
        <v>2022</v>
      </c>
      <c r="AL185" s="90" t="s">
        <v>188</v>
      </c>
      <c r="AM185" s="92"/>
      <c r="AN185" s="90"/>
      <c r="AO185" s="90">
        <v>0</v>
      </c>
      <c r="AP185" s="90" t="s">
        <v>80</v>
      </c>
      <c r="AQ185" s="30">
        <v>21</v>
      </c>
    </row>
    <row r="186" spans="1:43" ht="15" customHeight="1" outlineLevel="1" x14ac:dyDescent="0.3">
      <c r="A186" s="101" t="s">
        <v>655</v>
      </c>
      <c r="B186" s="90" t="s">
        <v>130</v>
      </c>
      <c r="C186" s="91">
        <v>44197</v>
      </c>
      <c r="D186" s="91">
        <v>45104</v>
      </c>
      <c r="E186" s="92">
        <v>1</v>
      </c>
      <c r="F186" s="90" t="s">
        <v>276</v>
      </c>
      <c r="G186" s="90" t="s">
        <v>656</v>
      </c>
      <c r="H186" s="90" t="s">
        <v>278</v>
      </c>
      <c r="I186" s="90">
        <v>0</v>
      </c>
      <c r="J186" s="91">
        <v>45166</v>
      </c>
      <c r="K186" s="90" t="s">
        <v>131</v>
      </c>
      <c r="L186" s="90" t="s">
        <v>125</v>
      </c>
      <c r="M186" s="90"/>
      <c r="N186" s="90" t="s">
        <v>126</v>
      </c>
      <c r="O186" s="90" t="s">
        <v>162</v>
      </c>
      <c r="P186" s="90" t="s">
        <v>596</v>
      </c>
      <c r="Q186" s="90" t="s">
        <v>130</v>
      </c>
      <c r="R186" s="92">
        <v>1</v>
      </c>
      <c r="S186" s="30"/>
      <c r="T186" s="91">
        <v>45186</v>
      </c>
      <c r="U186" s="90" t="s">
        <v>602</v>
      </c>
      <c r="V186" s="91"/>
      <c r="W186" s="90"/>
      <c r="X186" s="92">
        <v>45</v>
      </c>
      <c r="Y186" s="30"/>
      <c r="Z186" s="30">
        <v>5294.9660000000003</v>
      </c>
      <c r="AA186" s="30">
        <v>4524</v>
      </c>
      <c r="AB186" s="91">
        <v>45104</v>
      </c>
      <c r="AC186" s="91">
        <v>45470</v>
      </c>
      <c r="AD186" s="91"/>
      <c r="AE186" s="90"/>
      <c r="AF186" s="90"/>
      <c r="AG186" s="30"/>
      <c r="AH186" s="90">
        <v>0</v>
      </c>
      <c r="AI186" s="90">
        <v>1</v>
      </c>
      <c r="AJ186" s="90">
        <v>0</v>
      </c>
      <c r="AK186" s="92">
        <v>2023</v>
      </c>
      <c r="AL186" s="90" t="s">
        <v>204</v>
      </c>
      <c r="AM186" s="92">
        <v>62</v>
      </c>
      <c r="AN186" s="90" t="s">
        <v>135</v>
      </c>
      <c r="AO186" s="90">
        <v>0</v>
      </c>
      <c r="AP186" s="90" t="s">
        <v>79</v>
      </c>
      <c r="AQ186" s="30">
        <v>31.9</v>
      </c>
    </row>
    <row r="187" spans="1:43" ht="15" customHeight="1" outlineLevel="1" x14ac:dyDescent="0.3">
      <c r="A187" s="101" t="s">
        <v>655</v>
      </c>
      <c r="B187" s="90" t="s">
        <v>130</v>
      </c>
      <c r="C187" s="91">
        <v>44197</v>
      </c>
      <c r="D187" s="91">
        <v>45104</v>
      </c>
      <c r="E187" s="92">
        <v>1</v>
      </c>
      <c r="F187" s="90" t="s">
        <v>276</v>
      </c>
      <c r="G187" s="90" t="s">
        <v>656</v>
      </c>
      <c r="H187" s="90" t="s">
        <v>278</v>
      </c>
      <c r="I187" s="90">
        <v>0</v>
      </c>
      <c r="J187" s="91">
        <v>45187</v>
      </c>
      <c r="K187" s="90" t="s">
        <v>131</v>
      </c>
      <c r="L187" s="90" t="s">
        <v>125</v>
      </c>
      <c r="M187" s="90"/>
      <c r="N187" s="90" t="s">
        <v>126</v>
      </c>
      <c r="O187" s="90" t="s">
        <v>149</v>
      </c>
      <c r="P187" s="90" t="s">
        <v>596</v>
      </c>
      <c r="Q187" s="90" t="s">
        <v>130</v>
      </c>
      <c r="R187" s="92">
        <v>2</v>
      </c>
      <c r="S187" s="30">
        <v>21</v>
      </c>
      <c r="T187" s="91">
        <v>45240</v>
      </c>
      <c r="U187" s="90" t="s">
        <v>602</v>
      </c>
      <c r="V187" s="91"/>
      <c r="W187" s="90"/>
      <c r="X187" s="92">
        <v>45</v>
      </c>
      <c r="Y187" s="30"/>
      <c r="Z187" s="30">
        <v>5294.9660000000003</v>
      </c>
      <c r="AA187" s="30">
        <v>4524</v>
      </c>
      <c r="AB187" s="91">
        <v>45104</v>
      </c>
      <c r="AC187" s="91">
        <v>45470</v>
      </c>
      <c r="AD187" s="91"/>
      <c r="AE187" s="90"/>
      <c r="AF187" s="90"/>
      <c r="AG187" s="30"/>
      <c r="AH187" s="90">
        <v>0</v>
      </c>
      <c r="AI187" s="90">
        <v>1</v>
      </c>
      <c r="AJ187" s="90">
        <v>0</v>
      </c>
      <c r="AK187" s="92">
        <v>2023</v>
      </c>
      <c r="AL187" s="90" t="s">
        <v>205</v>
      </c>
      <c r="AM187" s="92">
        <v>83</v>
      </c>
      <c r="AN187" s="90" t="s">
        <v>140</v>
      </c>
      <c r="AO187" s="90">
        <v>0</v>
      </c>
      <c r="AP187" s="90" t="s">
        <v>79</v>
      </c>
      <c r="AQ187" s="30">
        <v>32.6</v>
      </c>
    </row>
    <row r="188" spans="1:43" ht="15" customHeight="1" outlineLevel="1" x14ac:dyDescent="0.3">
      <c r="A188" s="101" t="s">
        <v>655</v>
      </c>
      <c r="B188" s="90" t="s">
        <v>130</v>
      </c>
      <c r="C188" s="91">
        <v>44197</v>
      </c>
      <c r="D188" s="91">
        <v>45104</v>
      </c>
      <c r="E188" s="92">
        <v>1</v>
      </c>
      <c r="F188" s="90" t="s">
        <v>276</v>
      </c>
      <c r="G188" s="90" t="s">
        <v>656</v>
      </c>
      <c r="H188" s="90" t="s">
        <v>278</v>
      </c>
      <c r="I188" s="90">
        <v>0</v>
      </c>
      <c r="J188" s="91">
        <v>45251</v>
      </c>
      <c r="K188" s="90" t="s">
        <v>131</v>
      </c>
      <c r="L188" s="90" t="s">
        <v>125</v>
      </c>
      <c r="M188" s="90"/>
      <c r="N188" s="90" t="s">
        <v>126</v>
      </c>
      <c r="O188" s="90" t="s">
        <v>175</v>
      </c>
      <c r="P188" s="90" t="s">
        <v>596</v>
      </c>
      <c r="Q188" s="90" t="s">
        <v>130</v>
      </c>
      <c r="R188" s="92">
        <v>3</v>
      </c>
      <c r="S188" s="30">
        <v>64</v>
      </c>
      <c r="T188" s="91">
        <v>45330</v>
      </c>
      <c r="U188" s="90" t="s">
        <v>582</v>
      </c>
      <c r="V188" s="91"/>
      <c r="W188" s="90"/>
      <c r="X188" s="92">
        <v>45</v>
      </c>
      <c r="Y188" s="30"/>
      <c r="Z188" s="30">
        <v>5294.9660000000003</v>
      </c>
      <c r="AA188" s="30">
        <v>4524</v>
      </c>
      <c r="AB188" s="91">
        <v>45104</v>
      </c>
      <c r="AC188" s="91">
        <v>45470</v>
      </c>
      <c r="AD188" s="91"/>
      <c r="AE188" s="90"/>
      <c r="AF188" s="90"/>
      <c r="AG188" s="30"/>
      <c r="AH188" s="90">
        <v>1</v>
      </c>
      <c r="AI188" s="90">
        <v>1</v>
      </c>
      <c r="AJ188" s="90">
        <v>0</v>
      </c>
      <c r="AK188" s="92">
        <v>2023</v>
      </c>
      <c r="AL188" s="90" t="s">
        <v>207</v>
      </c>
      <c r="AM188" s="92">
        <v>147</v>
      </c>
      <c r="AN188" s="90" t="s">
        <v>155</v>
      </c>
      <c r="AO188" s="90">
        <v>0</v>
      </c>
      <c r="AP188" s="90" t="s">
        <v>79</v>
      </c>
      <c r="AQ188" s="30">
        <v>34.700000000000003</v>
      </c>
    </row>
    <row r="189" spans="1:43" ht="15" customHeight="1" outlineLevel="1" x14ac:dyDescent="0.3">
      <c r="A189" s="101" t="s">
        <v>655</v>
      </c>
      <c r="B189" s="90" t="s">
        <v>130</v>
      </c>
      <c r="C189" s="91">
        <v>44197</v>
      </c>
      <c r="D189" s="91">
        <v>45527</v>
      </c>
      <c r="E189" s="92">
        <v>2</v>
      </c>
      <c r="F189" s="90" t="s">
        <v>276</v>
      </c>
      <c r="G189" s="90" t="s">
        <v>601</v>
      </c>
      <c r="H189" s="90" t="s">
        <v>278</v>
      </c>
      <c r="I189" s="90">
        <v>0</v>
      </c>
      <c r="J189" s="91">
        <v>45556</v>
      </c>
      <c r="K189" s="90" t="s">
        <v>131</v>
      </c>
      <c r="L189" s="90" t="s">
        <v>125</v>
      </c>
      <c r="M189" s="90"/>
      <c r="N189" s="90" t="s">
        <v>126</v>
      </c>
      <c r="O189" s="90" t="s">
        <v>175</v>
      </c>
      <c r="P189" s="90" t="s">
        <v>596</v>
      </c>
      <c r="Q189" s="90" t="s">
        <v>130</v>
      </c>
      <c r="R189" s="92">
        <v>1</v>
      </c>
      <c r="S189" s="30"/>
      <c r="T189" s="91">
        <v>45575</v>
      </c>
      <c r="U189" s="90" t="s">
        <v>602</v>
      </c>
      <c r="V189" s="91"/>
      <c r="W189" s="90"/>
      <c r="X189" s="92">
        <v>45</v>
      </c>
      <c r="Y189" s="30"/>
      <c r="Z189" s="30">
        <v>6296.9</v>
      </c>
      <c r="AA189" s="30">
        <v>4524</v>
      </c>
      <c r="AB189" s="91">
        <v>45104</v>
      </c>
      <c r="AC189" s="91">
        <v>45470</v>
      </c>
      <c r="AD189" s="91"/>
      <c r="AE189" s="90"/>
      <c r="AF189" s="90"/>
      <c r="AG189" s="30"/>
      <c r="AH189" s="90">
        <v>0</v>
      </c>
      <c r="AI189" s="90">
        <v>1</v>
      </c>
      <c r="AJ189" s="90">
        <v>0</v>
      </c>
      <c r="AK189" s="92">
        <v>2024</v>
      </c>
      <c r="AL189" s="90" t="s">
        <v>217</v>
      </c>
      <c r="AM189" s="92">
        <v>29</v>
      </c>
      <c r="AN189" s="90" t="s">
        <v>128</v>
      </c>
      <c r="AO189" s="90">
        <v>0</v>
      </c>
      <c r="AP189" s="90" t="s">
        <v>79</v>
      </c>
      <c r="AQ189" s="30">
        <v>44.7</v>
      </c>
    </row>
    <row r="190" spans="1:43" ht="15" customHeight="1" outlineLevel="1" x14ac:dyDescent="0.3">
      <c r="A190" s="101" t="s">
        <v>655</v>
      </c>
      <c r="B190" s="90" t="s">
        <v>130</v>
      </c>
      <c r="C190" s="91">
        <v>44197</v>
      </c>
      <c r="D190" s="91">
        <v>45527</v>
      </c>
      <c r="E190" s="92">
        <v>2</v>
      </c>
      <c r="F190" s="90" t="s">
        <v>276</v>
      </c>
      <c r="G190" s="90" t="s">
        <v>601</v>
      </c>
      <c r="H190" s="90" t="s">
        <v>278</v>
      </c>
      <c r="I190" s="90">
        <v>0</v>
      </c>
      <c r="J190" s="91">
        <v>45576</v>
      </c>
      <c r="K190" s="90" t="s">
        <v>131</v>
      </c>
      <c r="L190" s="90" t="s">
        <v>125</v>
      </c>
      <c r="M190" s="90"/>
      <c r="N190" s="90" t="s">
        <v>126</v>
      </c>
      <c r="O190" s="90" t="s">
        <v>175</v>
      </c>
      <c r="P190" s="90" t="s">
        <v>596</v>
      </c>
      <c r="Q190" s="90" t="s">
        <v>130</v>
      </c>
      <c r="R190" s="92">
        <v>2</v>
      </c>
      <c r="S190" s="30">
        <v>20</v>
      </c>
      <c r="T190" s="91">
        <v>45603</v>
      </c>
      <c r="U190" s="90" t="s">
        <v>582</v>
      </c>
      <c r="V190" s="91"/>
      <c r="W190" s="90"/>
      <c r="X190" s="92">
        <v>45</v>
      </c>
      <c r="Y190" s="30"/>
      <c r="Z190" s="30">
        <v>6296.9</v>
      </c>
      <c r="AA190" s="30">
        <v>4524</v>
      </c>
      <c r="AB190" s="91">
        <v>45104</v>
      </c>
      <c r="AC190" s="91">
        <v>45470</v>
      </c>
      <c r="AD190" s="91"/>
      <c r="AE190" s="90"/>
      <c r="AF190" s="90"/>
      <c r="AG190" s="30"/>
      <c r="AH190" s="90">
        <v>1</v>
      </c>
      <c r="AI190" s="90">
        <v>1</v>
      </c>
      <c r="AJ190" s="90">
        <v>0</v>
      </c>
      <c r="AK190" s="92">
        <v>2024</v>
      </c>
      <c r="AL190" s="90" t="s">
        <v>218</v>
      </c>
      <c r="AM190" s="92">
        <v>49</v>
      </c>
      <c r="AN190" s="90" t="s">
        <v>135</v>
      </c>
      <c r="AO190" s="90">
        <v>0</v>
      </c>
      <c r="AP190" s="90" t="s">
        <v>79</v>
      </c>
      <c r="AQ190" s="30">
        <v>45.4</v>
      </c>
    </row>
    <row r="191" spans="1:43" ht="15" customHeight="1" outlineLevel="1" x14ac:dyDescent="0.3">
      <c r="A191" s="101" t="s">
        <v>655</v>
      </c>
      <c r="B191" s="90" t="s">
        <v>130</v>
      </c>
      <c r="C191" s="91">
        <v>44197</v>
      </c>
      <c r="D191" s="91">
        <v>45804</v>
      </c>
      <c r="E191" s="92">
        <v>3</v>
      </c>
      <c r="F191" s="90" t="s">
        <v>275</v>
      </c>
      <c r="G191" s="90"/>
      <c r="H191" s="90"/>
      <c r="I191" s="90">
        <v>0</v>
      </c>
      <c r="J191" s="91">
        <v>45888</v>
      </c>
      <c r="K191" s="90" t="s">
        <v>131</v>
      </c>
      <c r="L191" s="90" t="s">
        <v>125</v>
      </c>
      <c r="M191" s="90"/>
      <c r="N191" s="90" t="s">
        <v>133</v>
      </c>
      <c r="O191" s="90" t="s">
        <v>175</v>
      </c>
      <c r="P191" s="90" t="s">
        <v>596</v>
      </c>
      <c r="Q191" s="90" t="s">
        <v>130</v>
      </c>
      <c r="R191" s="92">
        <v>1</v>
      </c>
      <c r="S191" s="30"/>
      <c r="T191" s="91">
        <v>45923</v>
      </c>
      <c r="U191" s="90" t="s">
        <v>582</v>
      </c>
      <c r="V191" s="91"/>
      <c r="W191" s="90"/>
      <c r="X191" s="92">
        <v>45</v>
      </c>
      <c r="Y191" s="30"/>
      <c r="Z191" s="30">
        <v>1685.75</v>
      </c>
      <c r="AA191" s="30">
        <v>4524</v>
      </c>
      <c r="AB191" s="91">
        <v>45104</v>
      </c>
      <c r="AC191" s="91">
        <v>45470</v>
      </c>
      <c r="AD191" s="91"/>
      <c r="AE191" s="90"/>
      <c r="AF191" s="90"/>
      <c r="AG191" s="30"/>
      <c r="AH191" s="90">
        <v>1</v>
      </c>
      <c r="AI191" s="90">
        <v>1</v>
      </c>
      <c r="AJ191" s="90">
        <v>0</v>
      </c>
      <c r="AK191" s="92">
        <v>2025</v>
      </c>
      <c r="AL191" s="90" t="s">
        <v>227</v>
      </c>
      <c r="AM191" s="92">
        <v>84</v>
      </c>
      <c r="AN191" s="90" t="s">
        <v>140</v>
      </c>
      <c r="AO191" s="90">
        <v>1</v>
      </c>
      <c r="AP191" s="90" t="s">
        <v>79</v>
      </c>
      <c r="AQ191" s="30">
        <v>55.6</v>
      </c>
    </row>
    <row r="192" spans="1:43" ht="15" customHeight="1" outlineLevel="1" x14ac:dyDescent="0.3">
      <c r="A192" s="101" t="s">
        <v>657</v>
      </c>
      <c r="B192" s="90" t="s">
        <v>130</v>
      </c>
      <c r="C192" s="91">
        <v>43101</v>
      </c>
      <c r="D192" s="91"/>
      <c r="E192" s="92">
        <v>0</v>
      </c>
      <c r="F192" s="90"/>
      <c r="G192" s="90"/>
      <c r="H192" s="90"/>
      <c r="I192" s="90"/>
      <c r="J192" s="91">
        <v>44956</v>
      </c>
      <c r="K192" s="90" t="s">
        <v>124</v>
      </c>
      <c r="L192" s="90" t="s">
        <v>125</v>
      </c>
      <c r="M192" s="90"/>
      <c r="N192" s="90"/>
      <c r="O192" s="90" t="s">
        <v>186</v>
      </c>
      <c r="P192" s="90"/>
      <c r="Q192" s="90" t="s">
        <v>130</v>
      </c>
      <c r="R192" s="92">
        <v>1</v>
      </c>
      <c r="S192" s="30"/>
      <c r="T192" s="91">
        <v>44989</v>
      </c>
      <c r="U192" s="90" t="s">
        <v>582</v>
      </c>
      <c r="V192" s="91"/>
      <c r="W192" s="90"/>
      <c r="X192" s="92">
        <v>45</v>
      </c>
      <c r="Y192" s="30"/>
      <c r="Z192" s="30"/>
      <c r="AA192" s="30">
        <v>6552</v>
      </c>
      <c r="AB192" s="91">
        <v>45232</v>
      </c>
      <c r="AC192" s="91">
        <v>45679</v>
      </c>
      <c r="AD192" s="91"/>
      <c r="AE192" s="90"/>
      <c r="AF192" s="90"/>
      <c r="AG192" s="30"/>
      <c r="AH192" s="90">
        <v>1</v>
      </c>
      <c r="AI192" s="90">
        <v>1</v>
      </c>
      <c r="AJ192" s="90">
        <v>0</v>
      </c>
      <c r="AK192" s="92">
        <v>2023</v>
      </c>
      <c r="AL192" s="90" t="s">
        <v>196</v>
      </c>
      <c r="AM192" s="92"/>
      <c r="AN192" s="90"/>
      <c r="AO192" s="90">
        <v>0</v>
      </c>
      <c r="AP192" s="90" t="s">
        <v>80</v>
      </c>
      <c r="AQ192" s="30">
        <v>61</v>
      </c>
    </row>
    <row r="193" spans="1:43" ht="15" customHeight="1" outlineLevel="1" x14ac:dyDescent="0.3">
      <c r="A193" s="101" t="s">
        <v>657</v>
      </c>
      <c r="B193" s="90" t="s">
        <v>130</v>
      </c>
      <c r="C193" s="91">
        <v>43101</v>
      </c>
      <c r="D193" s="91">
        <v>45232</v>
      </c>
      <c r="E193" s="92">
        <v>1</v>
      </c>
      <c r="F193" s="90" t="s">
        <v>276</v>
      </c>
      <c r="G193" s="90"/>
      <c r="H193" s="90"/>
      <c r="I193" s="90">
        <v>0</v>
      </c>
      <c r="J193" s="91">
        <v>45311</v>
      </c>
      <c r="K193" s="90" t="s">
        <v>131</v>
      </c>
      <c r="L193" s="90" t="s">
        <v>125</v>
      </c>
      <c r="M193" s="90"/>
      <c r="N193" s="90" t="s">
        <v>126</v>
      </c>
      <c r="O193" s="90" t="s">
        <v>149</v>
      </c>
      <c r="P193" s="90" t="s">
        <v>596</v>
      </c>
      <c r="Q193" s="90" t="s">
        <v>130</v>
      </c>
      <c r="R193" s="92">
        <v>1</v>
      </c>
      <c r="S193" s="30"/>
      <c r="T193" s="91">
        <v>45377</v>
      </c>
      <c r="U193" s="90" t="s">
        <v>602</v>
      </c>
      <c r="V193" s="91"/>
      <c r="W193" s="90"/>
      <c r="X193" s="92">
        <v>45</v>
      </c>
      <c r="Y193" s="30"/>
      <c r="Z193" s="30">
        <v>10235.23</v>
      </c>
      <c r="AA193" s="30">
        <v>6552</v>
      </c>
      <c r="AB193" s="91">
        <v>45232</v>
      </c>
      <c r="AC193" s="91">
        <v>45679</v>
      </c>
      <c r="AD193" s="91"/>
      <c r="AE193" s="90"/>
      <c r="AF193" s="90"/>
      <c r="AG193" s="30"/>
      <c r="AH193" s="90">
        <v>0</v>
      </c>
      <c r="AI193" s="90">
        <v>1</v>
      </c>
      <c r="AJ193" s="90">
        <v>0</v>
      </c>
      <c r="AK193" s="92">
        <v>2024</v>
      </c>
      <c r="AL193" s="90" t="s">
        <v>209</v>
      </c>
      <c r="AM193" s="92">
        <v>79</v>
      </c>
      <c r="AN193" s="90" t="s">
        <v>140</v>
      </c>
      <c r="AO193" s="90">
        <v>0</v>
      </c>
      <c r="AP193" s="90" t="s">
        <v>79</v>
      </c>
      <c r="AQ193" s="30">
        <v>72.7</v>
      </c>
    </row>
    <row r="194" spans="1:43" ht="15" customHeight="1" outlineLevel="1" x14ac:dyDescent="0.3">
      <c r="A194" s="101" t="s">
        <v>657</v>
      </c>
      <c r="B194" s="90" t="s">
        <v>130</v>
      </c>
      <c r="C194" s="91">
        <v>43101</v>
      </c>
      <c r="D194" s="91">
        <v>45232</v>
      </c>
      <c r="E194" s="92">
        <v>1</v>
      </c>
      <c r="F194" s="90" t="s">
        <v>276</v>
      </c>
      <c r="G194" s="90"/>
      <c r="H194" s="90"/>
      <c r="I194" s="90">
        <v>0</v>
      </c>
      <c r="J194" s="91">
        <v>45388</v>
      </c>
      <c r="K194" s="90" t="s">
        <v>131</v>
      </c>
      <c r="L194" s="90" t="s">
        <v>125</v>
      </c>
      <c r="M194" s="90"/>
      <c r="N194" s="90" t="s">
        <v>126</v>
      </c>
      <c r="O194" s="90" t="s">
        <v>175</v>
      </c>
      <c r="P194" s="90" t="s">
        <v>596</v>
      </c>
      <c r="Q194" s="90" t="s">
        <v>130</v>
      </c>
      <c r="R194" s="92">
        <v>2</v>
      </c>
      <c r="S194" s="30">
        <v>77</v>
      </c>
      <c r="T194" s="91">
        <v>45428</v>
      </c>
      <c r="U194" s="90" t="s">
        <v>602</v>
      </c>
      <c r="V194" s="91"/>
      <c r="W194" s="90"/>
      <c r="X194" s="92">
        <v>45</v>
      </c>
      <c r="Y194" s="30"/>
      <c r="Z194" s="30">
        <v>10235.23</v>
      </c>
      <c r="AA194" s="30">
        <v>6552</v>
      </c>
      <c r="AB194" s="91">
        <v>45232</v>
      </c>
      <c r="AC194" s="91">
        <v>45679</v>
      </c>
      <c r="AD194" s="91"/>
      <c r="AE194" s="90"/>
      <c r="AF194" s="90"/>
      <c r="AG194" s="30"/>
      <c r="AH194" s="90">
        <v>0</v>
      </c>
      <c r="AI194" s="90">
        <v>1</v>
      </c>
      <c r="AJ194" s="90">
        <v>0</v>
      </c>
      <c r="AK194" s="92">
        <v>2024</v>
      </c>
      <c r="AL194" s="90" t="s">
        <v>212</v>
      </c>
      <c r="AM194" s="92">
        <v>156</v>
      </c>
      <c r="AN194" s="90" t="s">
        <v>158</v>
      </c>
      <c r="AO194" s="90">
        <v>0</v>
      </c>
      <c r="AP194" s="90" t="s">
        <v>79</v>
      </c>
      <c r="AQ194" s="30">
        <v>75.2</v>
      </c>
    </row>
    <row r="195" spans="1:43" ht="15" customHeight="1" x14ac:dyDescent="0.3">
      <c r="A195" s="101" t="s">
        <v>657</v>
      </c>
      <c r="B195" s="90" t="s">
        <v>130</v>
      </c>
      <c r="C195" s="91">
        <v>43101</v>
      </c>
      <c r="D195" s="91">
        <v>45232</v>
      </c>
      <c r="E195" s="92">
        <v>1</v>
      </c>
      <c r="F195" s="90" t="s">
        <v>276</v>
      </c>
      <c r="G195" s="90"/>
      <c r="H195" s="90"/>
      <c r="I195" s="90">
        <v>0</v>
      </c>
      <c r="J195" s="91">
        <v>45439</v>
      </c>
      <c r="K195" s="90" t="s">
        <v>131</v>
      </c>
      <c r="L195" s="90" t="s">
        <v>125</v>
      </c>
      <c r="M195" s="90"/>
      <c r="N195" s="90" t="s">
        <v>126</v>
      </c>
      <c r="O195" s="90" t="s">
        <v>175</v>
      </c>
      <c r="P195" s="90" t="s">
        <v>596</v>
      </c>
      <c r="Q195" s="90" t="s">
        <v>130</v>
      </c>
      <c r="R195" s="92">
        <v>3</v>
      </c>
      <c r="S195" s="30">
        <v>51</v>
      </c>
      <c r="T195" s="91">
        <v>45470</v>
      </c>
      <c r="U195" s="90" t="s">
        <v>582</v>
      </c>
      <c r="V195" s="91"/>
      <c r="W195" s="90"/>
      <c r="X195" s="92">
        <v>45</v>
      </c>
      <c r="Y195" s="30"/>
      <c r="Z195" s="30">
        <v>10235.23</v>
      </c>
      <c r="AA195" s="30">
        <v>6552</v>
      </c>
      <c r="AB195" s="91">
        <v>45232</v>
      </c>
      <c r="AC195" s="91">
        <v>45679</v>
      </c>
      <c r="AD195" s="91"/>
      <c r="AE195" s="90"/>
      <c r="AF195" s="90"/>
      <c r="AG195" s="30"/>
      <c r="AH195" s="90">
        <v>1</v>
      </c>
      <c r="AI195" s="90">
        <v>1</v>
      </c>
      <c r="AJ195" s="90">
        <v>0</v>
      </c>
      <c r="AK195" s="92">
        <v>2024</v>
      </c>
      <c r="AL195" s="90" t="s">
        <v>213</v>
      </c>
      <c r="AM195" s="92">
        <v>207</v>
      </c>
      <c r="AN195" s="90" t="s">
        <v>163</v>
      </c>
      <c r="AO195" s="90">
        <v>0</v>
      </c>
      <c r="AP195" s="90" t="s">
        <v>79</v>
      </c>
      <c r="AQ195" s="30">
        <v>76.900000000000006</v>
      </c>
    </row>
    <row r="196" spans="1:43" ht="15" customHeight="1" outlineLevel="1" x14ac:dyDescent="0.3">
      <c r="A196" s="101" t="s">
        <v>657</v>
      </c>
      <c r="B196" s="90" t="s">
        <v>130</v>
      </c>
      <c r="C196" s="91">
        <v>43101</v>
      </c>
      <c r="D196" s="91">
        <v>45716</v>
      </c>
      <c r="E196" s="92">
        <v>2</v>
      </c>
      <c r="F196" s="90" t="s">
        <v>276</v>
      </c>
      <c r="G196" s="90"/>
      <c r="H196" s="90"/>
      <c r="I196" s="90">
        <v>0</v>
      </c>
      <c r="J196" s="91">
        <v>45803</v>
      </c>
      <c r="K196" s="90" t="s">
        <v>131</v>
      </c>
      <c r="L196" s="90" t="s">
        <v>125</v>
      </c>
      <c r="M196" s="90"/>
      <c r="N196" s="90" t="s">
        <v>126</v>
      </c>
      <c r="O196" s="90">
        <v>-53431</v>
      </c>
      <c r="P196" s="90" t="s">
        <v>596</v>
      </c>
      <c r="Q196" s="90" t="s">
        <v>130</v>
      </c>
      <c r="R196" s="92">
        <v>1</v>
      </c>
      <c r="S196" s="30"/>
      <c r="T196" s="91">
        <v>45839</v>
      </c>
      <c r="U196" s="90" t="s">
        <v>602</v>
      </c>
      <c r="V196" s="91"/>
      <c r="W196" s="90"/>
      <c r="X196" s="92">
        <v>45</v>
      </c>
      <c r="Y196" s="30"/>
      <c r="Z196" s="30">
        <v>8695.7000000000007</v>
      </c>
      <c r="AA196" s="30">
        <v>6552</v>
      </c>
      <c r="AB196" s="91">
        <v>45232</v>
      </c>
      <c r="AC196" s="91">
        <v>45679</v>
      </c>
      <c r="AD196" s="91"/>
      <c r="AE196" s="90"/>
      <c r="AF196" s="90"/>
      <c r="AG196" s="30"/>
      <c r="AH196" s="90">
        <v>0</v>
      </c>
      <c r="AI196" s="90">
        <v>1</v>
      </c>
      <c r="AJ196" s="90">
        <v>0</v>
      </c>
      <c r="AK196" s="92">
        <v>2025</v>
      </c>
      <c r="AL196" s="90" t="s">
        <v>225</v>
      </c>
      <c r="AM196" s="92">
        <v>87</v>
      </c>
      <c r="AN196" s="90" t="s">
        <v>145</v>
      </c>
      <c r="AO196" s="90">
        <v>0</v>
      </c>
      <c r="AP196" s="90" t="s">
        <v>79</v>
      </c>
      <c r="AQ196" s="30">
        <v>88.9</v>
      </c>
    </row>
    <row r="197" spans="1:43" ht="15" customHeight="1" outlineLevel="1" x14ac:dyDescent="0.3">
      <c r="A197" s="101" t="s">
        <v>657</v>
      </c>
      <c r="B197" s="90" t="s">
        <v>130</v>
      </c>
      <c r="C197" s="91">
        <v>43101</v>
      </c>
      <c r="D197" s="91">
        <v>45716</v>
      </c>
      <c r="E197" s="92">
        <v>2</v>
      </c>
      <c r="F197" s="90" t="s">
        <v>276</v>
      </c>
      <c r="G197" s="90"/>
      <c r="H197" s="90"/>
      <c r="I197" s="90">
        <v>0</v>
      </c>
      <c r="J197" s="91">
        <v>45850</v>
      </c>
      <c r="K197" s="90" t="s">
        <v>131</v>
      </c>
      <c r="L197" s="90" t="s">
        <v>125</v>
      </c>
      <c r="M197" s="90"/>
      <c r="N197" s="90" t="s">
        <v>126</v>
      </c>
      <c r="O197" s="90">
        <v>-867</v>
      </c>
      <c r="P197" s="90" t="s">
        <v>596</v>
      </c>
      <c r="Q197" s="90" t="s">
        <v>130</v>
      </c>
      <c r="R197" s="92">
        <v>2</v>
      </c>
      <c r="S197" s="30">
        <v>47</v>
      </c>
      <c r="T197" s="91">
        <v>45877</v>
      </c>
      <c r="U197" s="90" t="s">
        <v>602</v>
      </c>
      <c r="V197" s="91"/>
      <c r="W197" s="90"/>
      <c r="X197" s="92">
        <v>45</v>
      </c>
      <c r="Y197" s="30"/>
      <c r="Z197" s="30">
        <v>8695.7000000000007</v>
      </c>
      <c r="AA197" s="30">
        <v>6552</v>
      </c>
      <c r="AB197" s="91">
        <v>45232</v>
      </c>
      <c r="AC197" s="91">
        <v>45679</v>
      </c>
      <c r="AD197" s="91"/>
      <c r="AE197" s="90"/>
      <c r="AF197" s="90"/>
      <c r="AG197" s="30"/>
      <c r="AH197" s="90">
        <v>0</v>
      </c>
      <c r="AI197" s="90">
        <v>1</v>
      </c>
      <c r="AJ197" s="90">
        <v>0</v>
      </c>
      <c r="AK197" s="92">
        <v>2025</v>
      </c>
      <c r="AL197" s="90" t="s">
        <v>226</v>
      </c>
      <c r="AM197" s="92">
        <v>134</v>
      </c>
      <c r="AN197" s="90" t="s">
        <v>155</v>
      </c>
      <c r="AO197" s="90">
        <v>0</v>
      </c>
      <c r="AP197" s="90" t="s">
        <v>79</v>
      </c>
      <c r="AQ197" s="30">
        <v>90.4</v>
      </c>
    </row>
    <row r="198" spans="1:43" ht="15" customHeight="1" outlineLevel="1" x14ac:dyDescent="0.3">
      <c r="A198" s="101" t="s">
        <v>657</v>
      </c>
      <c r="B198" s="90" t="s">
        <v>130</v>
      </c>
      <c r="C198" s="91">
        <v>43101</v>
      </c>
      <c r="D198" s="91">
        <v>45716</v>
      </c>
      <c r="E198" s="92">
        <v>2</v>
      </c>
      <c r="F198" s="90" t="s">
        <v>276</v>
      </c>
      <c r="G198" s="90"/>
      <c r="H198" s="90"/>
      <c r="I198" s="90">
        <v>0</v>
      </c>
      <c r="J198" s="91">
        <v>45888</v>
      </c>
      <c r="K198" s="90" t="s">
        <v>131</v>
      </c>
      <c r="L198" s="90" t="s">
        <v>125</v>
      </c>
      <c r="M198" s="90"/>
      <c r="N198" s="90" t="s">
        <v>133</v>
      </c>
      <c r="O198" s="90">
        <v>-867</v>
      </c>
      <c r="P198" s="90" t="s">
        <v>596</v>
      </c>
      <c r="Q198" s="90" t="s">
        <v>130</v>
      </c>
      <c r="R198" s="92">
        <v>3</v>
      </c>
      <c r="S198" s="30">
        <v>38</v>
      </c>
      <c r="T198" s="91">
        <v>45923</v>
      </c>
      <c r="U198" s="90" t="s">
        <v>582</v>
      </c>
      <c r="V198" s="91"/>
      <c r="W198" s="90"/>
      <c r="X198" s="92">
        <v>45</v>
      </c>
      <c r="Y198" s="30"/>
      <c r="Z198" s="30">
        <v>8695.7000000000007</v>
      </c>
      <c r="AA198" s="30">
        <v>6552</v>
      </c>
      <c r="AB198" s="91">
        <v>45232</v>
      </c>
      <c r="AC198" s="91">
        <v>45679</v>
      </c>
      <c r="AD198" s="91"/>
      <c r="AE198" s="90"/>
      <c r="AF198" s="90"/>
      <c r="AG198" s="30"/>
      <c r="AH198" s="90">
        <v>1</v>
      </c>
      <c r="AI198" s="90">
        <v>1</v>
      </c>
      <c r="AJ198" s="90">
        <v>0</v>
      </c>
      <c r="AK198" s="92">
        <v>2025</v>
      </c>
      <c r="AL198" s="90" t="s">
        <v>227</v>
      </c>
      <c r="AM198" s="92">
        <v>172</v>
      </c>
      <c r="AN198" s="90" t="s">
        <v>160</v>
      </c>
      <c r="AO198" s="90">
        <v>1</v>
      </c>
      <c r="AP198" s="90" t="s">
        <v>79</v>
      </c>
      <c r="AQ198" s="30">
        <v>91.7</v>
      </c>
    </row>
    <row r="199" spans="1:43" ht="15" customHeight="1" outlineLevel="1" x14ac:dyDescent="0.3">
      <c r="A199" s="101" t="s">
        <v>658</v>
      </c>
      <c r="B199" s="90" t="s">
        <v>130</v>
      </c>
      <c r="C199" s="91">
        <v>43101</v>
      </c>
      <c r="D199" s="91"/>
      <c r="E199" s="92">
        <v>0</v>
      </c>
      <c r="F199" s="90"/>
      <c r="G199" s="90"/>
      <c r="H199" s="90"/>
      <c r="I199" s="90"/>
      <c r="J199" s="91">
        <v>45045</v>
      </c>
      <c r="K199" s="90" t="s">
        <v>131</v>
      </c>
      <c r="L199" s="90" t="s">
        <v>125</v>
      </c>
      <c r="M199" s="90"/>
      <c r="N199" s="90" t="s">
        <v>126</v>
      </c>
      <c r="O199" s="90" t="s">
        <v>162</v>
      </c>
      <c r="P199" s="90" t="s">
        <v>596</v>
      </c>
      <c r="Q199" s="90" t="s">
        <v>130</v>
      </c>
      <c r="R199" s="92">
        <v>1</v>
      </c>
      <c r="S199" s="30"/>
      <c r="T199" s="91">
        <v>45063</v>
      </c>
      <c r="U199" s="90" t="s">
        <v>602</v>
      </c>
      <c r="V199" s="91"/>
      <c r="W199" s="90"/>
      <c r="X199" s="92">
        <v>45</v>
      </c>
      <c r="Y199" s="30"/>
      <c r="Z199" s="30"/>
      <c r="AA199" s="30">
        <v>0</v>
      </c>
      <c r="AB199" s="91">
        <v>45989</v>
      </c>
      <c r="AC199" s="91">
        <v>46004</v>
      </c>
      <c r="AD199" s="91">
        <v>46004</v>
      </c>
      <c r="AE199" s="90" t="s">
        <v>296</v>
      </c>
      <c r="AF199" s="90" t="s">
        <v>286</v>
      </c>
      <c r="AG199" s="30"/>
      <c r="AH199" s="90">
        <v>0</v>
      </c>
      <c r="AI199" s="90">
        <v>1</v>
      </c>
      <c r="AJ199" s="90">
        <v>0</v>
      </c>
      <c r="AK199" s="92">
        <v>2023</v>
      </c>
      <c r="AL199" s="90" t="s">
        <v>200</v>
      </c>
      <c r="AM199" s="92"/>
      <c r="AN199" s="90"/>
      <c r="AO199" s="90">
        <v>0</v>
      </c>
      <c r="AP199" s="90" t="s">
        <v>80</v>
      </c>
      <c r="AQ199" s="30">
        <v>63.9</v>
      </c>
    </row>
    <row r="200" spans="1:43" ht="15" customHeight="1" outlineLevel="1" x14ac:dyDescent="0.3">
      <c r="A200" s="101" t="s">
        <v>658</v>
      </c>
      <c r="B200" s="90" t="s">
        <v>130</v>
      </c>
      <c r="C200" s="91">
        <v>43101</v>
      </c>
      <c r="D200" s="91"/>
      <c r="E200" s="92">
        <v>0</v>
      </c>
      <c r="F200" s="90"/>
      <c r="G200" s="90"/>
      <c r="H200" s="90"/>
      <c r="I200" s="90"/>
      <c r="J200" s="91">
        <v>45064</v>
      </c>
      <c r="K200" s="90" t="s">
        <v>131</v>
      </c>
      <c r="L200" s="90" t="s">
        <v>125</v>
      </c>
      <c r="M200" s="90"/>
      <c r="N200" s="90" t="s">
        <v>126</v>
      </c>
      <c r="O200" s="90" t="s">
        <v>173</v>
      </c>
      <c r="P200" s="90" t="s">
        <v>596</v>
      </c>
      <c r="Q200" s="90" t="s">
        <v>130</v>
      </c>
      <c r="R200" s="92">
        <v>2</v>
      </c>
      <c r="S200" s="30">
        <v>19</v>
      </c>
      <c r="T200" s="91">
        <v>45114</v>
      </c>
      <c r="U200" s="90" t="s">
        <v>602</v>
      </c>
      <c r="V200" s="91"/>
      <c r="W200" s="90"/>
      <c r="X200" s="92">
        <v>45</v>
      </c>
      <c r="Y200" s="30"/>
      <c r="Z200" s="30"/>
      <c r="AA200" s="30">
        <v>0</v>
      </c>
      <c r="AB200" s="91">
        <v>45989</v>
      </c>
      <c r="AC200" s="91">
        <v>46004</v>
      </c>
      <c r="AD200" s="91">
        <v>46004</v>
      </c>
      <c r="AE200" s="90" t="s">
        <v>296</v>
      </c>
      <c r="AF200" s="90" t="s">
        <v>286</v>
      </c>
      <c r="AG200" s="30"/>
      <c r="AH200" s="90">
        <v>0</v>
      </c>
      <c r="AI200" s="90">
        <v>1</v>
      </c>
      <c r="AJ200" s="90">
        <v>0</v>
      </c>
      <c r="AK200" s="92">
        <v>2023</v>
      </c>
      <c r="AL200" s="90" t="s">
        <v>201</v>
      </c>
      <c r="AM200" s="92"/>
      <c r="AN200" s="90"/>
      <c r="AO200" s="90">
        <v>0</v>
      </c>
      <c r="AP200" s="90" t="s">
        <v>80</v>
      </c>
      <c r="AQ200" s="30">
        <v>64.599999999999994</v>
      </c>
    </row>
    <row r="201" spans="1:43" ht="15" customHeight="1" outlineLevel="1" x14ac:dyDescent="0.3">
      <c r="A201" s="101" t="s">
        <v>658</v>
      </c>
      <c r="B201" s="90" t="s">
        <v>130</v>
      </c>
      <c r="C201" s="91">
        <v>43101</v>
      </c>
      <c r="D201" s="91"/>
      <c r="E201" s="92">
        <v>0</v>
      </c>
      <c r="F201" s="90"/>
      <c r="G201" s="90"/>
      <c r="H201" s="90"/>
      <c r="I201" s="90"/>
      <c r="J201" s="91">
        <v>45115</v>
      </c>
      <c r="K201" s="90" t="s">
        <v>131</v>
      </c>
      <c r="L201" s="90" t="s">
        <v>125</v>
      </c>
      <c r="M201" s="90"/>
      <c r="N201" s="90" t="s">
        <v>126</v>
      </c>
      <c r="O201" s="90" t="s">
        <v>175</v>
      </c>
      <c r="P201" s="90" t="s">
        <v>596</v>
      </c>
      <c r="Q201" s="90" t="s">
        <v>130</v>
      </c>
      <c r="R201" s="92">
        <v>3</v>
      </c>
      <c r="S201" s="30">
        <v>51</v>
      </c>
      <c r="T201" s="91">
        <v>45155</v>
      </c>
      <c r="U201" s="90" t="s">
        <v>602</v>
      </c>
      <c r="V201" s="91"/>
      <c r="W201" s="90"/>
      <c r="X201" s="92">
        <v>45</v>
      </c>
      <c r="Y201" s="30"/>
      <c r="Z201" s="30"/>
      <c r="AA201" s="30">
        <v>0</v>
      </c>
      <c r="AB201" s="91">
        <v>45989</v>
      </c>
      <c r="AC201" s="91">
        <v>46004</v>
      </c>
      <c r="AD201" s="91">
        <v>46004</v>
      </c>
      <c r="AE201" s="90" t="s">
        <v>296</v>
      </c>
      <c r="AF201" s="90" t="s">
        <v>286</v>
      </c>
      <c r="AG201" s="30"/>
      <c r="AH201" s="90">
        <v>0</v>
      </c>
      <c r="AI201" s="90">
        <v>1</v>
      </c>
      <c r="AJ201" s="90">
        <v>0</v>
      </c>
      <c r="AK201" s="92">
        <v>2023</v>
      </c>
      <c r="AL201" s="90" t="s">
        <v>203</v>
      </c>
      <c r="AM201" s="92"/>
      <c r="AN201" s="90"/>
      <c r="AO201" s="90">
        <v>0</v>
      </c>
      <c r="AP201" s="90" t="s">
        <v>80</v>
      </c>
      <c r="AQ201" s="30">
        <v>66.2</v>
      </c>
    </row>
    <row r="202" spans="1:43" ht="15" customHeight="1" outlineLevel="1" x14ac:dyDescent="0.3">
      <c r="A202" s="101" t="s">
        <v>658</v>
      </c>
      <c r="B202" s="90" t="s">
        <v>130</v>
      </c>
      <c r="C202" s="91">
        <v>43101</v>
      </c>
      <c r="D202" s="91"/>
      <c r="E202" s="92">
        <v>0</v>
      </c>
      <c r="F202" s="90"/>
      <c r="G202" s="90"/>
      <c r="H202" s="90"/>
      <c r="I202" s="90"/>
      <c r="J202" s="91">
        <v>45166</v>
      </c>
      <c r="K202" s="90" t="s">
        <v>131</v>
      </c>
      <c r="L202" s="90" t="s">
        <v>125</v>
      </c>
      <c r="M202" s="90"/>
      <c r="N202" s="90" t="s">
        <v>126</v>
      </c>
      <c r="O202" s="90" t="s">
        <v>173</v>
      </c>
      <c r="P202" s="90" t="s">
        <v>596</v>
      </c>
      <c r="Q202" s="90" t="s">
        <v>130</v>
      </c>
      <c r="R202" s="92">
        <v>4</v>
      </c>
      <c r="S202" s="30">
        <v>51</v>
      </c>
      <c r="T202" s="91">
        <v>45197</v>
      </c>
      <c r="U202" s="90" t="s">
        <v>602</v>
      </c>
      <c r="V202" s="91"/>
      <c r="W202" s="90"/>
      <c r="X202" s="92">
        <v>45</v>
      </c>
      <c r="Y202" s="30"/>
      <c r="Z202" s="30"/>
      <c r="AA202" s="30">
        <v>0</v>
      </c>
      <c r="AB202" s="91">
        <v>45989</v>
      </c>
      <c r="AC202" s="91">
        <v>46004</v>
      </c>
      <c r="AD202" s="91">
        <v>46004</v>
      </c>
      <c r="AE202" s="90" t="s">
        <v>296</v>
      </c>
      <c r="AF202" s="90" t="s">
        <v>286</v>
      </c>
      <c r="AG202" s="30"/>
      <c r="AH202" s="90">
        <v>0</v>
      </c>
      <c r="AI202" s="90">
        <v>1</v>
      </c>
      <c r="AJ202" s="90">
        <v>0</v>
      </c>
      <c r="AK202" s="92">
        <v>2023</v>
      </c>
      <c r="AL202" s="90" t="s">
        <v>204</v>
      </c>
      <c r="AM202" s="92"/>
      <c r="AN202" s="90"/>
      <c r="AO202" s="90">
        <v>0</v>
      </c>
      <c r="AP202" s="90" t="s">
        <v>80</v>
      </c>
      <c r="AQ202" s="30">
        <v>67.900000000000006</v>
      </c>
    </row>
    <row r="203" spans="1:43" ht="15" customHeight="1" outlineLevel="1" x14ac:dyDescent="0.3">
      <c r="A203" s="101" t="s">
        <v>658</v>
      </c>
      <c r="B203" s="90" t="s">
        <v>130</v>
      </c>
      <c r="C203" s="91">
        <v>43101</v>
      </c>
      <c r="D203" s="91"/>
      <c r="E203" s="92">
        <v>0</v>
      </c>
      <c r="F203" s="90"/>
      <c r="G203" s="90"/>
      <c r="H203" s="90"/>
      <c r="I203" s="90"/>
      <c r="J203" s="91">
        <v>45208</v>
      </c>
      <c r="K203" s="90" t="s">
        <v>131</v>
      </c>
      <c r="L203" s="90" t="s">
        <v>125</v>
      </c>
      <c r="M203" s="90"/>
      <c r="N203" s="90" t="s">
        <v>126</v>
      </c>
      <c r="O203" s="90" t="s">
        <v>173</v>
      </c>
      <c r="P203" s="90" t="s">
        <v>596</v>
      </c>
      <c r="Q203" s="90" t="s">
        <v>130</v>
      </c>
      <c r="R203" s="92">
        <v>5</v>
      </c>
      <c r="S203" s="30">
        <v>42</v>
      </c>
      <c r="T203" s="91">
        <v>45233</v>
      </c>
      <c r="U203" s="90" t="s">
        <v>602</v>
      </c>
      <c r="V203" s="91"/>
      <c r="W203" s="90"/>
      <c r="X203" s="92">
        <v>45</v>
      </c>
      <c r="Y203" s="30"/>
      <c r="Z203" s="30"/>
      <c r="AA203" s="30">
        <v>0</v>
      </c>
      <c r="AB203" s="91">
        <v>45989</v>
      </c>
      <c r="AC203" s="91">
        <v>46004</v>
      </c>
      <c r="AD203" s="91">
        <v>46004</v>
      </c>
      <c r="AE203" s="90" t="s">
        <v>296</v>
      </c>
      <c r="AF203" s="90" t="s">
        <v>286</v>
      </c>
      <c r="AG203" s="30"/>
      <c r="AH203" s="90">
        <v>0</v>
      </c>
      <c r="AI203" s="90">
        <v>1</v>
      </c>
      <c r="AJ203" s="90">
        <v>0</v>
      </c>
      <c r="AK203" s="92">
        <v>2023</v>
      </c>
      <c r="AL203" s="90" t="s">
        <v>206</v>
      </c>
      <c r="AM203" s="92"/>
      <c r="AN203" s="90"/>
      <c r="AO203" s="90">
        <v>0</v>
      </c>
      <c r="AP203" s="90" t="s">
        <v>80</v>
      </c>
      <c r="AQ203" s="30">
        <v>69.3</v>
      </c>
    </row>
    <row r="204" spans="1:43" ht="15" customHeight="1" x14ac:dyDescent="0.3">
      <c r="A204" s="101" t="s">
        <v>658</v>
      </c>
      <c r="B204" s="90" t="s">
        <v>130</v>
      </c>
      <c r="C204" s="91">
        <v>43101</v>
      </c>
      <c r="D204" s="91"/>
      <c r="E204" s="92">
        <v>0</v>
      </c>
      <c r="F204" s="90"/>
      <c r="G204" s="90"/>
      <c r="H204" s="90"/>
      <c r="I204" s="90"/>
      <c r="J204" s="91">
        <v>45234</v>
      </c>
      <c r="K204" s="90" t="s">
        <v>131</v>
      </c>
      <c r="L204" s="90" t="s">
        <v>125</v>
      </c>
      <c r="M204" s="90"/>
      <c r="N204" s="90" t="s">
        <v>126</v>
      </c>
      <c r="O204" s="90" t="s">
        <v>175</v>
      </c>
      <c r="P204" s="90" t="s">
        <v>596</v>
      </c>
      <c r="Q204" s="90" t="s">
        <v>130</v>
      </c>
      <c r="R204" s="92">
        <v>6</v>
      </c>
      <c r="S204" s="30">
        <v>26</v>
      </c>
      <c r="T204" s="91">
        <v>45271</v>
      </c>
      <c r="U204" s="90" t="s">
        <v>602</v>
      </c>
      <c r="V204" s="91"/>
      <c r="W204" s="90"/>
      <c r="X204" s="92">
        <v>45</v>
      </c>
      <c r="Y204" s="30"/>
      <c r="Z204" s="30"/>
      <c r="AA204" s="30">
        <v>0</v>
      </c>
      <c r="AB204" s="91">
        <v>45989</v>
      </c>
      <c r="AC204" s="91">
        <v>46004</v>
      </c>
      <c r="AD204" s="91">
        <v>46004</v>
      </c>
      <c r="AE204" s="90" t="s">
        <v>296</v>
      </c>
      <c r="AF204" s="90" t="s">
        <v>286</v>
      </c>
      <c r="AG204" s="30"/>
      <c r="AH204" s="90">
        <v>0</v>
      </c>
      <c r="AI204" s="90">
        <v>1</v>
      </c>
      <c r="AJ204" s="90">
        <v>0</v>
      </c>
      <c r="AK204" s="92">
        <v>2023</v>
      </c>
      <c r="AL204" s="90" t="s">
        <v>207</v>
      </c>
      <c r="AM204" s="92"/>
      <c r="AN204" s="90"/>
      <c r="AO204" s="90">
        <v>0</v>
      </c>
      <c r="AP204" s="90" t="s">
        <v>80</v>
      </c>
      <c r="AQ204" s="30">
        <v>70.2</v>
      </c>
    </row>
    <row r="205" spans="1:43" ht="15" customHeight="1" outlineLevel="1" x14ac:dyDescent="0.3">
      <c r="A205" s="101" t="s">
        <v>658</v>
      </c>
      <c r="B205" s="90" t="s">
        <v>130</v>
      </c>
      <c r="C205" s="91">
        <v>43101</v>
      </c>
      <c r="D205" s="91"/>
      <c r="E205" s="92">
        <v>0</v>
      </c>
      <c r="F205" s="90"/>
      <c r="G205" s="90"/>
      <c r="H205" s="90"/>
      <c r="I205" s="90"/>
      <c r="J205" s="91">
        <v>45282</v>
      </c>
      <c r="K205" s="90" t="s">
        <v>131</v>
      </c>
      <c r="L205" s="90" t="s">
        <v>125</v>
      </c>
      <c r="M205" s="90"/>
      <c r="N205" s="90" t="s">
        <v>126</v>
      </c>
      <c r="O205" s="90" t="s">
        <v>180</v>
      </c>
      <c r="P205" s="90" t="s">
        <v>596</v>
      </c>
      <c r="Q205" s="90" t="s">
        <v>130</v>
      </c>
      <c r="R205" s="92">
        <v>7</v>
      </c>
      <c r="S205" s="30">
        <v>48</v>
      </c>
      <c r="T205" s="91">
        <v>45330</v>
      </c>
      <c r="U205" s="90" t="s">
        <v>602</v>
      </c>
      <c r="V205" s="91"/>
      <c r="W205" s="90"/>
      <c r="X205" s="92">
        <v>45</v>
      </c>
      <c r="Y205" s="30"/>
      <c r="Z205" s="30"/>
      <c r="AA205" s="30">
        <v>0</v>
      </c>
      <c r="AB205" s="91">
        <v>45989</v>
      </c>
      <c r="AC205" s="91">
        <v>46004</v>
      </c>
      <c r="AD205" s="91">
        <v>46004</v>
      </c>
      <c r="AE205" s="90" t="s">
        <v>296</v>
      </c>
      <c r="AF205" s="90" t="s">
        <v>286</v>
      </c>
      <c r="AG205" s="30"/>
      <c r="AH205" s="90">
        <v>0</v>
      </c>
      <c r="AI205" s="90">
        <v>1</v>
      </c>
      <c r="AJ205" s="90">
        <v>0</v>
      </c>
      <c r="AK205" s="92">
        <v>2023</v>
      </c>
      <c r="AL205" s="90" t="s">
        <v>208</v>
      </c>
      <c r="AM205" s="92"/>
      <c r="AN205" s="90"/>
      <c r="AO205" s="90">
        <v>0</v>
      </c>
      <c r="AP205" s="90" t="s">
        <v>80</v>
      </c>
      <c r="AQ205" s="30">
        <v>71.7</v>
      </c>
    </row>
    <row r="206" spans="1:43" ht="15" customHeight="1" outlineLevel="1" x14ac:dyDescent="0.3">
      <c r="A206" s="101" t="s">
        <v>658</v>
      </c>
      <c r="B206" s="90" t="s">
        <v>130</v>
      </c>
      <c r="C206" s="91">
        <v>43101</v>
      </c>
      <c r="D206" s="91"/>
      <c r="E206" s="92">
        <v>0</v>
      </c>
      <c r="F206" s="90"/>
      <c r="G206" s="90"/>
      <c r="H206" s="90"/>
      <c r="I206" s="90"/>
      <c r="J206" s="91">
        <v>45341</v>
      </c>
      <c r="K206" s="90" t="s">
        <v>131</v>
      </c>
      <c r="L206" s="90" t="s">
        <v>125</v>
      </c>
      <c r="M206" s="90"/>
      <c r="N206" s="90" t="s">
        <v>126</v>
      </c>
      <c r="O206" s="90" t="s">
        <v>175</v>
      </c>
      <c r="P206" s="90" t="s">
        <v>596</v>
      </c>
      <c r="Q206" s="90" t="s">
        <v>130</v>
      </c>
      <c r="R206" s="92">
        <v>8</v>
      </c>
      <c r="S206" s="30">
        <v>59</v>
      </c>
      <c r="T206" s="91">
        <v>45377</v>
      </c>
      <c r="U206" s="90" t="s">
        <v>582</v>
      </c>
      <c r="V206" s="91">
        <v>45711</v>
      </c>
      <c r="W206" s="90" t="s">
        <v>648</v>
      </c>
      <c r="X206" s="92">
        <v>45</v>
      </c>
      <c r="Y206" s="30"/>
      <c r="Z206" s="30"/>
      <c r="AA206" s="30">
        <v>0</v>
      </c>
      <c r="AB206" s="91">
        <v>45989</v>
      </c>
      <c r="AC206" s="91">
        <v>46004</v>
      </c>
      <c r="AD206" s="91">
        <v>46004</v>
      </c>
      <c r="AE206" s="90" t="s">
        <v>296</v>
      </c>
      <c r="AF206" s="90" t="s">
        <v>286</v>
      </c>
      <c r="AG206" s="30"/>
      <c r="AH206" s="90">
        <v>1</v>
      </c>
      <c r="AI206" s="90">
        <v>1</v>
      </c>
      <c r="AJ206" s="90">
        <v>1</v>
      </c>
      <c r="AK206" s="92">
        <v>2024</v>
      </c>
      <c r="AL206" s="90" t="s">
        <v>210</v>
      </c>
      <c r="AM206" s="92"/>
      <c r="AN206" s="90"/>
      <c r="AO206" s="90">
        <v>0</v>
      </c>
      <c r="AP206" s="90" t="s">
        <v>80</v>
      </c>
      <c r="AQ206" s="30">
        <v>73.7</v>
      </c>
    </row>
    <row r="207" spans="1:43" ht="15" customHeight="1" outlineLevel="1" x14ac:dyDescent="0.3">
      <c r="A207" s="101" t="s">
        <v>658</v>
      </c>
      <c r="B207" s="90" t="s">
        <v>130</v>
      </c>
      <c r="C207" s="91">
        <v>43101</v>
      </c>
      <c r="D207" s="91"/>
      <c r="E207" s="92">
        <v>0</v>
      </c>
      <c r="F207" s="90"/>
      <c r="G207" s="90"/>
      <c r="H207" s="90"/>
      <c r="I207" s="90"/>
      <c r="J207" s="91">
        <v>45711</v>
      </c>
      <c r="K207" s="90" t="s">
        <v>131</v>
      </c>
      <c r="L207" s="90" t="s">
        <v>125</v>
      </c>
      <c r="M207" s="90"/>
      <c r="N207" s="90" t="s">
        <v>126</v>
      </c>
      <c r="O207" s="90">
        <v>-53431</v>
      </c>
      <c r="P207" s="90" t="s">
        <v>596</v>
      </c>
      <c r="Q207" s="90" t="s">
        <v>130</v>
      </c>
      <c r="R207" s="92">
        <v>9</v>
      </c>
      <c r="S207" s="30">
        <v>370</v>
      </c>
      <c r="T207" s="91">
        <v>45743</v>
      </c>
      <c r="U207" s="90" t="s">
        <v>582</v>
      </c>
      <c r="V207" s="91"/>
      <c r="W207" s="90"/>
      <c r="X207" s="92">
        <v>45</v>
      </c>
      <c r="Y207" s="30"/>
      <c r="Z207" s="30"/>
      <c r="AA207" s="30">
        <v>0</v>
      </c>
      <c r="AB207" s="91">
        <v>45989</v>
      </c>
      <c r="AC207" s="91">
        <v>46004</v>
      </c>
      <c r="AD207" s="91">
        <v>46004</v>
      </c>
      <c r="AE207" s="90" t="s">
        <v>296</v>
      </c>
      <c r="AF207" s="90" t="s">
        <v>286</v>
      </c>
      <c r="AG207" s="30"/>
      <c r="AH207" s="90">
        <v>1</v>
      </c>
      <c r="AI207" s="90">
        <v>1</v>
      </c>
      <c r="AJ207" s="90">
        <v>0</v>
      </c>
      <c r="AK207" s="92">
        <v>2025</v>
      </c>
      <c r="AL207" s="90" t="s">
        <v>222</v>
      </c>
      <c r="AM207" s="92"/>
      <c r="AN207" s="90"/>
      <c r="AO207" s="90">
        <v>1</v>
      </c>
      <c r="AP207" s="90" t="s">
        <v>80</v>
      </c>
      <c r="AQ207" s="30">
        <v>85.9</v>
      </c>
    </row>
    <row r="208" spans="1:43" ht="15" customHeight="1" outlineLevel="1" x14ac:dyDescent="0.3">
      <c r="A208" s="101" t="s">
        <v>659</v>
      </c>
      <c r="B208" s="90" t="s">
        <v>130</v>
      </c>
      <c r="C208" s="91">
        <v>43101</v>
      </c>
      <c r="D208" s="91"/>
      <c r="E208" s="92">
        <v>0</v>
      </c>
      <c r="F208" s="90"/>
      <c r="G208" s="90"/>
      <c r="H208" s="90"/>
      <c r="I208" s="90"/>
      <c r="J208" s="91">
        <v>44834</v>
      </c>
      <c r="K208" s="90" t="s">
        <v>124</v>
      </c>
      <c r="L208" s="90" t="s">
        <v>125</v>
      </c>
      <c r="M208" s="90"/>
      <c r="N208" s="90"/>
      <c r="O208" s="90" t="s">
        <v>186</v>
      </c>
      <c r="P208" s="90"/>
      <c r="Q208" s="90" t="s">
        <v>130</v>
      </c>
      <c r="R208" s="92">
        <v>1</v>
      </c>
      <c r="S208" s="30"/>
      <c r="T208" s="91">
        <v>44956</v>
      </c>
      <c r="U208" s="90" t="s">
        <v>582</v>
      </c>
      <c r="V208" s="91"/>
      <c r="W208" s="90"/>
      <c r="X208" s="92">
        <v>45</v>
      </c>
      <c r="Y208" s="30"/>
      <c r="Z208" s="30"/>
      <c r="AA208" s="30">
        <v>6428</v>
      </c>
      <c r="AB208" s="91">
        <v>45092</v>
      </c>
      <c r="AC208" s="91">
        <v>45401</v>
      </c>
      <c r="AD208" s="91">
        <v>46019</v>
      </c>
      <c r="AE208" s="90" t="s">
        <v>297</v>
      </c>
      <c r="AF208" s="90" t="s">
        <v>284</v>
      </c>
      <c r="AG208" s="30"/>
      <c r="AH208" s="90">
        <v>1</v>
      </c>
      <c r="AI208" s="90">
        <v>1</v>
      </c>
      <c r="AJ208" s="90">
        <v>0</v>
      </c>
      <c r="AK208" s="92">
        <v>2022</v>
      </c>
      <c r="AL208" s="90" t="s">
        <v>188</v>
      </c>
      <c r="AM208" s="92"/>
      <c r="AN208" s="90"/>
      <c r="AO208" s="90">
        <v>0</v>
      </c>
      <c r="AP208" s="90" t="s">
        <v>80</v>
      </c>
      <c r="AQ208" s="30">
        <v>57</v>
      </c>
    </row>
    <row r="209" spans="1:43" ht="15" customHeight="1" x14ac:dyDescent="0.3">
      <c r="A209" s="101" t="s">
        <v>659</v>
      </c>
      <c r="B209" s="90" t="s">
        <v>130</v>
      </c>
      <c r="C209" s="91">
        <v>43101</v>
      </c>
      <c r="D209" s="91">
        <v>45092</v>
      </c>
      <c r="E209" s="92">
        <v>1</v>
      </c>
      <c r="F209" s="90" t="s">
        <v>276</v>
      </c>
      <c r="G209" s="90" t="s">
        <v>601</v>
      </c>
      <c r="H209" s="90" t="s">
        <v>279</v>
      </c>
      <c r="I209" s="90">
        <v>0</v>
      </c>
      <c r="J209" s="91">
        <v>45157</v>
      </c>
      <c r="K209" s="90" t="s">
        <v>131</v>
      </c>
      <c r="L209" s="90" t="s">
        <v>125</v>
      </c>
      <c r="M209" s="90"/>
      <c r="N209" s="90" t="s">
        <v>126</v>
      </c>
      <c r="O209" s="90" t="s">
        <v>162</v>
      </c>
      <c r="P209" s="90" t="s">
        <v>596</v>
      </c>
      <c r="Q209" s="90" t="s">
        <v>130</v>
      </c>
      <c r="R209" s="92">
        <v>1</v>
      </c>
      <c r="S209" s="30"/>
      <c r="T209" s="91">
        <v>45181</v>
      </c>
      <c r="U209" s="90" t="s">
        <v>602</v>
      </c>
      <c r="V209" s="91"/>
      <c r="W209" s="90"/>
      <c r="X209" s="92">
        <v>45</v>
      </c>
      <c r="Y209" s="30"/>
      <c r="Z209" s="30">
        <v>6859.7569999999996</v>
      </c>
      <c r="AA209" s="30">
        <v>6428</v>
      </c>
      <c r="AB209" s="91">
        <v>45092</v>
      </c>
      <c r="AC209" s="91">
        <v>45401</v>
      </c>
      <c r="AD209" s="91">
        <v>46019</v>
      </c>
      <c r="AE209" s="90" t="s">
        <v>297</v>
      </c>
      <c r="AF209" s="90" t="s">
        <v>284</v>
      </c>
      <c r="AG209" s="30"/>
      <c r="AH209" s="90">
        <v>0</v>
      </c>
      <c r="AI209" s="90">
        <v>1</v>
      </c>
      <c r="AJ209" s="90">
        <v>0</v>
      </c>
      <c r="AK209" s="92">
        <v>2023</v>
      </c>
      <c r="AL209" s="90" t="s">
        <v>204</v>
      </c>
      <c r="AM209" s="92">
        <v>65</v>
      </c>
      <c r="AN209" s="90" t="s">
        <v>140</v>
      </c>
      <c r="AO209" s="90">
        <v>0</v>
      </c>
      <c r="AP209" s="90" t="s">
        <v>79</v>
      </c>
      <c r="AQ209" s="30">
        <v>67.599999999999994</v>
      </c>
    </row>
    <row r="210" spans="1:43" ht="15" customHeight="1" outlineLevel="1" x14ac:dyDescent="0.3">
      <c r="A210" s="101" t="s">
        <v>659</v>
      </c>
      <c r="B210" s="90" t="s">
        <v>130</v>
      </c>
      <c r="C210" s="91">
        <v>43101</v>
      </c>
      <c r="D210" s="91">
        <v>45092</v>
      </c>
      <c r="E210" s="92">
        <v>1</v>
      </c>
      <c r="F210" s="90" t="s">
        <v>276</v>
      </c>
      <c r="G210" s="90" t="s">
        <v>601</v>
      </c>
      <c r="H210" s="90" t="s">
        <v>279</v>
      </c>
      <c r="I210" s="90">
        <v>0</v>
      </c>
      <c r="J210" s="91">
        <v>45182</v>
      </c>
      <c r="K210" s="90" t="s">
        <v>131</v>
      </c>
      <c r="L210" s="90" t="s">
        <v>125</v>
      </c>
      <c r="M210" s="90"/>
      <c r="N210" s="90" t="s">
        <v>126</v>
      </c>
      <c r="O210" s="90" t="s">
        <v>175</v>
      </c>
      <c r="P210" s="90" t="s">
        <v>596</v>
      </c>
      <c r="Q210" s="90" t="s">
        <v>130</v>
      </c>
      <c r="R210" s="92">
        <v>2</v>
      </c>
      <c r="S210" s="30">
        <v>25</v>
      </c>
      <c r="T210" s="91">
        <v>45240</v>
      </c>
      <c r="U210" s="90" t="s">
        <v>582</v>
      </c>
      <c r="V210" s="91"/>
      <c r="W210" s="90"/>
      <c r="X210" s="92">
        <v>45</v>
      </c>
      <c r="Y210" s="30"/>
      <c r="Z210" s="30">
        <v>6859.7569999999996</v>
      </c>
      <c r="AA210" s="30">
        <v>6428</v>
      </c>
      <c r="AB210" s="91">
        <v>45092</v>
      </c>
      <c r="AC210" s="91">
        <v>45401</v>
      </c>
      <c r="AD210" s="91">
        <v>46019</v>
      </c>
      <c r="AE210" s="90" t="s">
        <v>297</v>
      </c>
      <c r="AF210" s="90" t="s">
        <v>284</v>
      </c>
      <c r="AG210" s="30"/>
      <c r="AH210" s="90">
        <v>1</v>
      </c>
      <c r="AI210" s="90">
        <v>1</v>
      </c>
      <c r="AJ210" s="90">
        <v>0</v>
      </c>
      <c r="AK210" s="92">
        <v>2023</v>
      </c>
      <c r="AL210" s="90" t="s">
        <v>205</v>
      </c>
      <c r="AM210" s="92">
        <v>90</v>
      </c>
      <c r="AN210" s="90" t="s">
        <v>145</v>
      </c>
      <c r="AO210" s="90">
        <v>0</v>
      </c>
      <c r="AP210" s="90" t="s">
        <v>79</v>
      </c>
      <c r="AQ210" s="30">
        <v>68.5</v>
      </c>
    </row>
    <row r="211" spans="1:43" ht="15" customHeight="1" outlineLevel="1" x14ac:dyDescent="0.3">
      <c r="A211" s="101" t="s">
        <v>659</v>
      </c>
      <c r="B211" s="90" t="s">
        <v>130</v>
      </c>
      <c r="C211" s="91">
        <v>43101</v>
      </c>
      <c r="D211" s="91">
        <v>45461</v>
      </c>
      <c r="E211" s="92">
        <v>2</v>
      </c>
      <c r="F211" s="90" t="s">
        <v>276</v>
      </c>
      <c r="G211" s="90"/>
      <c r="H211" s="90"/>
      <c r="I211" s="90">
        <v>0</v>
      </c>
      <c r="J211" s="91">
        <v>45519</v>
      </c>
      <c r="K211" s="90" t="s">
        <v>131</v>
      </c>
      <c r="L211" s="90" t="s">
        <v>125</v>
      </c>
      <c r="M211" s="90"/>
      <c r="N211" s="90" t="s">
        <v>126</v>
      </c>
      <c r="O211" s="90" t="s">
        <v>175</v>
      </c>
      <c r="P211" s="90" t="s">
        <v>596</v>
      </c>
      <c r="Q211" s="90" t="s">
        <v>130</v>
      </c>
      <c r="R211" s="92">
        <v>1</v>
      </c>
      <c r="S211" s="30"/>
      <c r="T211" s="91">
        <v>45561</v>
      </c>
      <c r="U211" s="90" t="s">
        <v>602</v>
      </c>
      <c r="V211" s="91"/>
      <c r="W211" s="90"/>
      <c r="X211" s="92">
        <v>45</v>
      </c>
      <c r="Y211" s="30"/>
      <c r="Z211" s="30">
        <v>9408.8459999999995</v>
      </c>
      <c r="AA211" s="30">
        <v>6428</v>
      </c>
      <c r="AB211" s="91">
        <v>45092</v>
      </c>
      <c r="AC211" s="91">
        <v>45401</v>
      </c>
      <c r="AD211" s="91">
        <v>46019</v>
      </c>
      <c r="AE211" s="90" t="s">
        <v>297</v>
      </c>
      <c r="AF211" s="90" t="s">
        <v>284</v>
      </c>
      <c r="AG211" s="30"/>
      <c r="AH211" s="90">
        <v>0</v>
      </c>
      <c r="AI211" s="90">
        <v>1</v>
      </c>
      <c r="AJ211" s="90">
        <v>0</v>
      </c>
      <c r="AK211" s="92">
        <v>2024</v>
      </c>
      <c r="AL211" s="90" t="s">
        <v>216</v>
      </c>
      <c r="AM211" s="92">
        <v>58</v>
      </c>
      <c r="AN211" s="90" t="s">
        <v>135</v>
      </c>
      <c r="AO211" s="90">
        <v>0</v>
      </c>
      <c r="AP211" s="90" t="s">
        <v>79</v>
      </c>
      <c r="AQ211" s="30">
        <v>79.5</v>
      </c>
    </row>
    <row r="212" spans="1:43" ht="15" customHeight="1" x14ac:dyDescent="0.3">
      <c r="A212" s="101" t="s">
        <v>659</v>
      </c>
      <c r="B212" s="90" t="s">
        <v>130</v>
      </c>
      <c r="C212" s="91">
        <v>43101</v>
      </c>
      <c r="D212" s="91">
        <v>45461</v>
      </c>
      <c r="E212" s="92">
        <v>2</v>
      </c>
      <c r="F212" s="90" t="s">
        <v>276</v>
      </c>
      <c r="G212" s="90"/>
      <c r="H212" s="90"/>
      <c r="I212" s="90">
        <v>0</v>
      </c>
      <c r="J212" s="91">
        <v>45572</v>
      </c>
      <c r="K212" s="90" t="s">
        <v>131</v>
      </c>
      <c r="L212" s="90" t="s">
        <v>125</v>
      </c>
      <c r="M212" s="90"/>
      <c r="N212" s="90" t="s">
        <v>126</v>
      </c>
      <c r="O212" s="90" t="s">
        <v>175</v>
      </c>
      <c r="P212" s="90" t="s">
        <v>596</v>
      </c>
      <c r="Q212" s="90" t="s">
        <v>130</v>
      </c>
      <c r="R212" s="92">
        <v>2</v>
      </c>
      <c r="S212" s="30">
        <v>53</v>
      </c>
      <c r="T212" s="91">
        <v>45603</v>
      </c>
      <c r="U212" s="90" t="s">
        <v>582</v>
      </c>
      <c r="V212" s="91">
        <v>45711</v>
      </c>
      <c r="W212" s="90" t="s">
        <v>648</v>
      </c>
      <c r="X212" s="92">
        <v>45</v>
      </c>
      <c r="Y212" s="30"/>
      <c r="Z212" s="30">
        <v>9408.8459999999995</v>
      </c>
      <c r="AA212" s="30">
        <v>6428</v>
      </c>
      <c r="AB212" s="91">
        <v>45092</v>
      </c>
      <c r="AC212" s="91">
        <v>45401</v>
      </c>
      <c r="AD212" s="91">
        <v>46019</v>
      </c>
      <c r="AE212" s="90" t="s">
        <v>297</v>
      </c>
      <c r="AF212" s="90" t="s">
        <v>284</v>
      </c>
      <c r="AG212" s="30"/>
      <c r="AH212" s="90">
        <v>1</v>
      </c>
      <c r="AI212" s="90">
        <v>1</v>
      </c>
      <c r="AJ212" s="90">
        <v>1</v>
      </c>
      <c r="AK212" s="92">
        <v>2024</v>
      </c>
      <c r="AL212" s="90" t="s">
        <v>218</v>
      </c>
      <c r="AM212" s="92">
        <v>111</v>
      </c>
      <c r="AN212" s="90" t="s">
        <v>150</v>
      </c>
      <c r="AO212" s="90">
        <v>0</v>
      </c>
      <c r="AP212" s="90" t="s">
        <v>79</v>
      </c>
      <c r="AQ212" s="30">
        <v>81.3</v>
      </c>
    </row>
    <row r="213" spans="1:43" ht="15" customHeight="1" outlineLevel="1" x14ac:dyDescent="0.3">
      <c r="A213" s="101" t="s">
        <v>659</v>
      </c>
      <c r="B213" s="90" t="s">
        <v>130</v>
      </c>
      <c r="C213" s="91">
        <v>43101</v>
      </c>
      <c r="D213" s="91">
        <v>45461</v>
      </c>
      <c r="E213" s="92">
        <v>2</v>
      </c>
      <c r="F213" s="90" t="s">
        <v>276</v>
      </c>
      <c r="G213" s="90"/>
      <c r="H213" s="90"/>
      <c r="I213" s="90">
        <v>0</v>
      </c>
      <c r="J213" s="91">
        <v>45711</v>
      </c>
      <c r="K213" s="90" t="s">
        <v>131</v>
      </c>
      <c r="L213" s="90" t="s">
        <v>125</v>
      </c>
      <c r="M213" s="90"/>
      <c r="N213" s="90" t="s">
        <v>126</v>
      </c>
      <c r="O213" s="90">
        <v>-53431</v>
      </c>
      <c r="P213" s="90" t="s">
        <v>596</v>
      </c>
      <c r="Q213" s="90" t="s">
        <v>130</v>
      </c>
      <c r="R213" s="92">
        <v>3</v>
      </c>
      <c r="S213" s="30">
        <v>139</v>
      </c>
      <c r="T213" s="91">
        <v>45753</v>
      </c>
      <c r="U213" s="90" t="s">
        <v>602</v>
      </c>
      <c r="V213" s="91"/>
      <c r="W213" s="90"/>
      <c r="X213" s="92">
        <v>45</v>
      </c>
      <c r="Y213" s="30"/>
      <c r="Z213" s="30">
        <v>9408.8459999999995</v>
      </c>
      <c r="AA213" s="30">
        <v>6428</v>
      </c>
      <c r="AB213" s="91">
        <v>45092</v>
      </c>
      <c r="AC213" s="91">
        <v>45401</v>
      </c>
      <c r="AD213" s="91">
        <v>46019</v>
      </c>
      <c r="AE213" s="90" t="s">
        <v>297</v>
      </c>
      <c r="AF213" s="90" t="s">
        <v>284</v>
      </c>
      <c r="AG213" s="30"/>
      <c r="AH213" s="90">
        <v>0</v>
      </c>
      <c r="AI213" s="90">
        <v>1</v>
      </c>
      <c r="AJ213" s="90">
        <v>0</v>
      </c>
      <c r="AK213" s="92">
        <v>2025</v>
      </c>
      <c r="AL213" s="90" t="s">
        <v>222</v>
      </c>
      <c r="AM213" s="92">
        <v>250</v>
      </c>
      <c r="AN213" s="90" t="s">
        <v>174</v>
      </c>
      <c r="AO213" s="90">
        <v>0</v>
      </c>
      <c r="AP213" s="90" t="s">
        <v>79</v>
      </c>
      <c r="AQ213" s="30">
        <v>85.9</v>
      </c>
    </row>
    <row r="214" spans="1:43" ht="15" customHeight="1" outlineLevel="1" x14ac:dyDescent="0.3">
      <c r="A214" s="101" t="s">
        <v>659</v>
      </c>
      <c r="B214" s="90" t="s">
        <v>130</v>
      </c>
      <c r="C214" s="91">
        <v>43101</v>
      </c>
      <c r="D214" s="91">
        <v>45461</v>
      </c>
      <c r="E214" s="92">
        <v>2</v>
      </c>
      <c r="F214" s="90" t="s">
        <v>276</v>
      </c>
      <c r="G214" s="90"/>
      <c r="H214" s="90"/>
      <c r="I214" s="90">
        <v>0</v>
      </c>
      <c r="J214" s="91">
        <v>45754</v>
      </c>
      <c r="K214" s="90" t="s">
        <v>131</v>
      </c>
      <c r="L214" s="90" t="s">
        <v>125</v>
      </c>
      <c r="M214" s="90"/>
      <c r="N214" s="90" t="s">
        <v>126</v>
      </c>
      <c r="O214" s="90">
        <v>-53431</v>
      </c>
      <c r="P214" s="90" t="s">
        <v>596</v>
      </c>
      <c r="Q214" s="90" t="s">
        <v>130</v>
      </c>
      <c r="R214" s="92">
        <v>4</v>
      </c>
      <c r="S214" s="30">
        <v>43</v>
      </c>
      <c r="T214" s="91">
        <v>45792</v>
      </c>
      <c r="U214" s="90" t="s">
        <v>602</v>
      </c>
      <c r="V214" s="91"/>
      <c r="W214" s="90"/>
      <c r="X214" s="92">
        <v>45</v>
      </c>
      <c r="Y214" s="30"/>
      <c r="Z214" s="30">
        <v>9408.8459999999995</v>
      </c>
      <c r="AA214" s="30">
        <v>6428</v>
      </c>
      <c r="AB214" s="91">
        <v>45092</v>
      </c>
      <c r="AC214" s="91">
        <v>45401</v>
      </c>
      <c r="AD214" s="91">
        <v>46019</v>
      </c>
      <c r="AE214" s="90" t="s">
        <v>297</v>
      </c>
      <c r="AF214" s="90" t="s">
        <v>284</v>
      </c>
      <c r="AG214" s="30"/>
      <c r="AH214" s="90">
        <v>0</v>
      </c>
      <c r="AI214" s="90">
        <v>1</v>
      </c>
      <c r="AJ214" s="90">
        <v>0</v>
      </c>
      <c r="AK214" s="92">
        <v>2025</v>
      </c>
      <c r="AL214" s="90" t="s">
        <v>224</v>
      </c>
      <c r="AM214" s="92">
        <v>293</v>
      </c>
      <c r="AN214" s="90" t="s">
        <v>178</v>
      </c>
      <c r="AO214" s="90">
        <v>0</v>
      </c>
      <c r="AP214" s="90" t="s">
        <v>79</v>
      </c>
      <c r="AQ214" s="30">
        <v>87.3</v>
      </c>
    </row>
    <row r="215" spans="1:43" ht="15" customHeight="1" outlineLevel="1" x14ac:dyDescent="0.3">
      <c r="A215" s="101" t="s">
        <v>659</v>
      </c>
      <c r="B215" s="90" t="s">
        <v>130</v>
      </c>
      <c r="C215" s="91">
        <v>43101</v>
      </c>
      <c r="D215" s="91">
        <v>45461</v>
      </c>
      <c r="E215" s="92">
        <v>2</v>
      </c>
      <c r="F215" s="90" t="s">
        <v>276</v>
      </c>
      <c r="G215" s="90"/>
      <c r="H215" s="90"/>
      <c r="I215" s="90">
        <v>0</v>
      </c>
      <c r="J215" s="91">
        <v>45850</v>
      </c>
      <c r="K215" s="90" t="s">
        <v>131</v>
      </c>
      <c r="L215" s="90" t="s">
        <v>125</v>
      </c>
      <c r="M215" s="90"/>
      <c r="N215" s="90" t="s">
        <v>126</v>
      </c>
      <c r="O215" s="90">
        <v>-867</v>
      </c>
      <c r="P215" s="90" t="s">
        <v>596</v>
      </c>
      <c r="Q215" s="90" t="s">
        <v>130</v>
      </c>
      <c r="R215" s="92">
        <v>5</v>
      </c>
      <c r="S215" s="30">
        <v>96</v>
      </c>
      <c r="T215" s="91">
        <v>45877</v>
      </c>
      <c r="U215" s="90" t="s">
        <v>582</v>
      </c>
      <c r="V215" s="91"/>
      <c r="W215" s="90"/>
      <c r="X215" s="92">
        <v>45</v>
      </c>
      <c r="Y215" s="30"/>
      <c r="Z215" s="30">
        <v>9408.8459999999995</v>
      </c>
      <c r="AA215" s="30">
        <v>6428</v>
      </c>
      <c r="AB215" s="91">
        <v>45092</v>
      </c>
      <c r="AC215" s="91">
        <v>45401</v>
      </c>
      <c r="AD215" s="91">
        <v>46019</v>
      </c>
      <c r="AE215" s="90" t="s">
        <v>297</v>
      </c>
      <c r="AF215" s="90" t="s">
        <v>284</v>
      </c>
      <c r="AG215" s="30"/>
      <c r="AH215" s="90">
        <v>1</v>
      </c>
      <c r="AI215" s="90">
        <v>1</v>
      </c>
      <c r="AJ215" s="90">
        <v>0</v>
      </c>
      <c r="AK215" s="92">
        <v>2025</v>
      </c>
      <c r="AL215" s="90" t="s">
        <v>226</v>
      </c>
      <c r="AM215" s="92">
        <v>389</v>
      </c>
      <c r="AN215" s="90" t="s">
        <v>193</v>
      </c>
      <c r="AO215" s="90">
        <v>1</v>
      </c>
      <c r="AP215" s="90" t="s">
        <v>79</v>
      </c>
      <c r="AQ215" s="30">
        <v>90.4</v>
      </c>
    </row>
    <row r="216" spans="1:43" ht="15" customHeight="1" outlineLevel="1" x14ac:dyDescent="0.3">
      <c r="A216" s="101" t="s">
        <v>660</v>
      </c>
      <c r="B216" s="90" t="s">
        <v>130</v>
      </c>
      <c r="C216" s="91">
        <v>43101</v>
      </c>
      <c r="D216" s="91"/>
      <c r="E216" s="92">
        <v>0</v>
      </c>
      <c r="F216" s="90"/>
      <c r="G216" s="90"/>
      <c r="H216" s="90"/>
      <c r="I216" s="90"/>
      <c r="J216" s="91">
        <v>44834</v>
      </c>
      <c r="K216" s="90" t="s">
        <v>124</v>
      </c>
      <c r="L216" s="90" t="s">
        <v>125</v>
      </c>
      <c r="M216" s="90"/>
      <c r="N216" s="90"/>
      <c r="O216" s="90" t="s">
        <v>186</v>
      </c>
      <c r="P216" s="90"/>
      <c r="Q216" s="90" t="s">
        <v>130</v>
      </c>
      <c r="R216" s="92">
        <v>1</v>
      </c>
      <c r="S216" s="30"/>
      <c r="T216" s="91">
        <v>44956</v>
      </c>
      <c r="U216" s="90" t="s">
        <v>582</v>
      </c>
      <c r="V216" s="91"/>
      <c r="W216" s="90"/>
      <c r="X216" s="92">
        <v>45</v>
      </c>
      <c r="Y216" s="30"/>
      <c r="Z216" s="30"/>
      <c r="AA216" s="30">
        <v>8585</v>
      </c>
      <c r="AB216" s="91">
        <v>45082</v>
      </c>
      <c r="AC216" s="91">
        <v>45679</v>
      </c>
      <c r="AD216" s="91">
        <v>46019</v>
      </c>
      <c r="AE216" s="90" t="s">
        <v>297</v>
      </c>
      <c r="AF216" s="90" t="s">
        <v>284</v>
      </c>
      <c r="AG216" s="30"/>
      <c r="AH216" s="90">
        <v>1</v>
      </c>
      <c r="AI216" s="90">
        <v>1</v>
      </c>
      <c r="AJ216" s="90">
        <v>0</v>
      </c>
      <c r="AK216" s="92">
        <v>2022</v>
      </c>
      <c r="AL216" s="90" t="s">
        <v>188</v>
      </c>
      <c r="AM216" s="92"/>
      <c r="AN216" s="90"/>
      <c r="AO216" s="90">
        <v>0</v>
      </c>
      <c r="AP216" s="90" t="s">
        <v>80</v>
      </c>
      <c r="AQ216" s="30">
        <v>57</v>
      </c>
    </row>
    <row r="217" spans="1:43" ht="15" customHeight="1" outlineLevel="1" x14ac:dyDescent="0.3">
      <c r="A217" s="101" t="s">
        <v>660</v>
      </c>
      <c r="B217" s="90" t="s">
        <v>130</v>
      </c>
      <c r="C217" s="91">
        <v>43101</v>
      </c>
      <c r="D217" s="91">
        <v>45082</v>
      </c>
      <c r="E217" s="92">
        <v>1</v>
      </c>
      <c r="F217" s="90" t="s">
        <v>276</v>
      </c>
      <c r="G217" s="90" t="s">
        <v>601</v>
      </c>
      <c r="H217" s="90" t="s">
        <v>278</v>
      </c>
      <c r="I217" s="90">
        <v>0</v>
      </c>
      <c r="J217" s="91">
        <v>45115</v>
      </c>
      <c r="K217" s="90" t="s">
        <v>131</v>
      </c>
      <c r="L217" s="90" t="s">
        <v>125</v>
      </c>
      <c r="M217" s="90"/>
      <c r="N217" s="90" t="s">
        <v>126</v>
      </c>
      <c r="O217" s="90" t="s">
        <v>162</v>
      </c>
      <c r="P217" s="90" t="s">
        <v>596</v>
      </c>
      <c r="Q217" s="90" t="s">
        <v>130</v>
      </c>
      <c r="R217" s="92">
        <v>1</v>
      </c>
      <c r="S217" s="30"/>
      <c r="T217" s="91">
        <v>45155</v>
      </c>
      <c r="U217" s="90" t="s">
        <v>602</v>
      </c>
      <c r="V217" s="91"/>
      <c r="W217" s="90"/>
      <c r="X217" s="92">
        <v>45</v>
      </c>
      <c r="Y217" s="30"/>
      <c r="Z217" s="30">
        <v>13249.376</v>
      </c>
      <c r="AA217" s="30">
        <v>8585</v>
      </c>
      <c r="AB217" s="91">
        <v>45082</v>
      </c>
      <c r="AC217" s="91">
        <v>45679</v>
      </c>
      <c r="AD217" s="91">
        <v>46019</v>
      </c>
      <c r="AE217" s="90" t="s">
        <v>297</v>
      </c>
      <c r="AF217" s="90" t="s">
        <v>284</v>
      </c>
      <c r="AG217" s="30"/>
      <c r="AH217" s="90">
        <v>0</v>
      </c>
      <c r="AI217" s="90">
        <v>1</v>
      </c>
      <c r="AJ217" s="90">
        <v>0</v>
      </c>
      <c r="AK217" s="92">
        <v>2023</v>
      </c>
      <c r="AL217" s="90" t="s">
        <v>203</v>
      </c>
      <c r="AM217" s="92">
        <v>33</v>
      </c>
      <c r="AN217" s="90" t="s">
        <v>128</v>
      </c>
      <c r="AO217" s="90">
        <v>0</v>
      </c>
      <c r="AP217" s="90" t="s">
        <v>79</v>
      </c>
      <c r="AQ217" s="30">
        <v>66.2</v>
      </c>
    </row>
    <row r="218" spans="1:43" ht="15" customHeight="1" x14ac:dyDescent="0.3">
      <c r="A218" s="101" t="s">
        <v>660</v>
      </c>
      <c r="B218" s="90" t="s">
        <v>130</v>
      </c>
      <c r="C218" s="91">
        <v>43101</v>
      </c>
      <c r="D218" s="91">
        <v>45082</v>
      </c>
      <c r="E218" s="92">
        <v>1</v>
      </c>
      <c r="F218" s="90" t="s">
        <v>276</v>
      </c>
      <c r="G218" s="90" t="s">
        <v>601</v>
      </c>
      <c r="H218" s="90" t="s">
        <v>278</v>
      </c>
      <c r="I218" s="90">
        <v>0</v>
      </c>
      <c r="J218" s="91">
        <v>45166</v>
      </c>
      <c r="K218" s="90" t="s">
        <v>131</v>
      </c>
      <c r="L218" s="90" t="s">
        <v>125</v>
      </c>
      <c r="M218" s="90"/>
      <c r="N218" s="90" t="s">
        <v>126</v>
      </c>
      <c r="O218" s="90" t="s">
        <v>173</v>
      </c>
      <c r="P218" s="90" t="s">
        <v>596</v>
      </c>
      <c r="Q218" s="90" t="s">
        <v>130</v>
      </c>
      <c r="R218" s="92">
        <v>2</v>
      </c>
      <c r="S218" s="30">
        <v>51</v>
      </c>
      <c r="T218" s="91">
        <v>45190</v>
      </c>
      <c r="U218" s="90" t="s">
        <v>602</v>
      </c>
      <c r="V218" s="91"/>
      <c r="W218" s="90"/>
      <c r="X218" s="92">
        <v>45</v>
      </c>
      <c r="Y218" s="30"/>
      <c r="Z218" s="30">
        <v>13249.376</v>
      </c>
      <c r="AA218" s="30">
        <v>8585</v>
      </c>
      <c r="AB218" s="91">
        <v>45082</v>
      </c>
      <c r="AC218" s="91">
        <v>45679</v>
      </c>
      <c r="AD218" s="91">
        <v>46019</v>
      </c>
      <c r="AE218" s="90" t="s">
        <v>297</v>
      </c>
      <c r="AF218" s="90" t="s">
        <v>284</v>
      </c>
      <c r="AG218" s="30"/>
      <c r="AH218" s="90">
        <v>0</v>
      </c>
      <c r="AI218" s="90">
        <v>1</v>
      </c>
      <c r="AJ218" s="90">
        <v>0</v>
      </c>
      <c r="AK218" s="92">
        <v>2023</v>
      </c>
      <c r="AL218" s="90" t="s">
        <v>204</v>
      </c>
      <c r="AM218" s="92">
        <v>84</v>
      </c>
      <c r="AN218" s="90" t="s">
        <v>140</v>
      </c>
      <c r="AO218" s="90">
        <v>0</v>
      </c>
      <c r="AP218" s="90" t="s">
        <v>79</v>
      </c>
      <c r="AQ218" s="30">
        <v>67.900000000000006</v>
      </c>
    </row>
    <row r="219" spans="1:43" ht="15" customHeight="1" outlineLevel="1" x14ac:dyDescent="0.3">
      <c r="A219" s="101" t="s">
        <v>660</v>
      </c>
      <c r="B219" s="90" t="s">
        <v>130</v>
      </c>
      <c r="C219" s="91">
        <v>43101</v>
      </c>
      <c r="D219" s="91">
        <v>45082</v>
      </c>
      <c r="E219" s="92">
        <v>1</v>
      </c>
      <c r="F219" s="90" t="s">
        <v>276</v>
      </c>
      <c r="G219" s="90" t="s">
        <v>601</v>
      </c>
      <c r="H219" s="90" t="s">
        <v>278</v>
      </c>
      <c r="I219" s="90">
        <v>0</v>
      </c>
      <c r="J219" s="91">
        <v>45191</v>
      </c>
      <c r="K219" s="90" t="s">
        <v>131</v>
      </c>
      <c r="L219" s="90" t="s">
        <v>125</v>
      </c>
      <c r="M219" s="90"/>
      <c r="N219" s="90" t="s">
        <v>126</v>
      </c>
      <c r="O219" s="90" t="s">
        <v>162</v>
      </c>
      <c r="P219" s="90" t="s">
        <v>596</v>
      </c>
      <c r="Q219" s="90" t="s">
        <v>130</v>
      </c>
      <c r="R219" s="92">
        <v>3</v>
      </c>
      <c r="S219" s="30">
        <v>25</v>
      </c>
      <c r="T219" s="91">
        <v>45240</v>
      </c>
      <c r="U219" s="90" t="s">
        <v>602</v>
      </c>
      <c r="V219" s="91"/>
      <c r="W219" s="90"/>
      <c r="X219" s="92">
        <v>45</v>
      </c>
      <c r="Y219" s="30"/>
      <c r="Z219" s="30">
        <v>13249.376</v>
      </c>
      <c r="AA219" s="30">
        <v>8585</v>
      </c>
      <c r="AB219" s="91">
        <v>45082</v>
      </c>
      <c r="AC219" s="91">
        <v>45679</v>
      </c>
      <c r="AD219" s="91">
        <v>46019</v>
      </c>
      <c r="AE219" s="90" t="s">
        <v>297</v>
      </c>
      <c r="AF219" s="90" t="s">
        <v>284</v>
      </c>
      <c r="AG219" s="30"/>
      <c r="AH219" s="90">
        <v>0</v>
      </c>
      <c r="AI219" s="90">
        <v>1</v>
      </c>
      <c r="AJ219" s="90">
        <v>0</v>
      </c>
      <c r="AK219" s="92">
        <v>2023</v>
      </c>
      <c r="AL219" s="90" t="s">
        <v>205</v>
      </c>
      <c r="AM219" s="92">
        <v>109</v>
      </c>
      <c r="AN219" s="90" t="s">
        <v>150</v>
      </c>
      <c r="AO219" s="90">
        <v>0</v>
      </c>
      <c r="AP219" s="90" t="s">
        <v>79</v>
      </c>
      <c r="AQ219" s="30">
        <v>68.8</v>
      </c>
    </row>
    <row r="220" spans="1:43" ht="15" customHeight="1" outlineLevel="1" x14ac:dyDescent="0.3">
      <c r="A220" s="101" t="s">
        <v>660</v>
      </c>
      <c r="B220" s="90" t="s">
        <v>130</v>
      </c>
      <c r="C220" s="91">
        <v>43101</v>
      </c>
      <c r="D220" s="91">
        <v>45082</v>
      </c>
      <c r="E220" s="92">
        <v>1</v>
      </c>
      <c r="F220" s="90" t="s">
        <v>276</v>
      </c>
      <c r="G220" s="90" t="s">
        <v>601</v>
      </c>
      <c r="H220" s="90" t="s">
        <v>278</v>
      </c>
      <c r="I220" s="90">
        <v>0</v>
      </c>
      <c r="J220" s="91">
        <v>45264</v>
      </c>
      <c r="K220" s="90" t="s">
        <v>131</v>
      </c>
      <c r="L220" s="90" t="s">
        <v>125</v>
      </c>
      <c r="M220" s="90"/>
      <c r="N220" s="90" t="s">
        <v>126</v>
      </c>
      <c r="O220" s="90" t="s">
        <v>173</v>
      </c>
      <c r="P220" s="90" t="s">
        <v>596</v>
      </c>
      <c r="Q220" s="90" t="s">
        <v>130</v>
      </c>
      <c r="R220" s="92">
        <v>4</v>
      </c>
      <c r="S220" s="30">
        <v>73</v>
      </c>
      <c r="T220" s="91">
        <v>45286</v>
      </c>
      <c r="U220" s="90" t="s">
        <v>602</v>
      </c>
      <c r="V220" s="91"/>
      <c r="W220" s="90"/>
      <c r="X220" s="92">
        <v>45</v>
      </c>
      <c r="Y220" s="30"/>
      <c r="Z220" s="30">
        <v>13249.376</v>
      </c>
      <c r="AA220" s="30">
        <v>8585</v>
      </c>
      <c r="AB220" s="91">
        <v>45082</v>
      </c>
      <c r="AC220" s="91">
        <v>45679</v>
      </c>
      <c r="AD220" s="91">
        <v>46019</v>
      </c>
      <c r="AE220" s="90" t="s">
        <v>297</v>
      </c>
      <c r="AF220" s="90" t="s">
        <v>284</v>
      </c>
      <c r="AG220" s="30"/>
      <c r="AH220" s="90">
        <v>0</v>
      </c>
      <c r="AI220" s="90">
        <v>1</v>
      </c>
      <c r="AJ220" s="90">
        <v>0</v>
      </c>
      <c r="AK220" s="92">
        <v>2023</v>
      </c>
      <c r="AL220" s="90" t="s">
        <v>208</v>
      </c>
      <c r="AM220" s="92">
        <v>182</v>
      </c>
      <c r="AN220" s="90" t="s">
        <v>160</v>
      </c>
      <c r="AO220" s="90">
        <v>0</v>
      </c>
      <c r="AP220" s="90" t="s">
        <v>79</v>
      </c>
      <c r="AQ220" s="30">
        <v>71.2</v>
      </c>
    </row>
    <row r="221" spans="1:43" ht="15" customHeight="1" outlineLevel="1" x14ac:dyDescent="0.3">
      <c r="A221" s="101" t="s">
        <v>660</v>
      </c>
      <c r="B221" s="90" t="s">
        <v>130</v>
      </c>
      <c r="C221" s="91">
        <v>43101</v>
      </c>
      <c r="D221" s="91">
        <v>45082</v>
      </c>
      <c r="E221" s="92">
        <v>1</v>
      </c>
      <c r="F221" s="90" t="s">
        <v>276</v>
      </c>
      <c r="G221" s="90" t="s">
        <v>601</v>
      </c>
      <c r="H221" s="90" t="s">
        <v>278</v>
      </c>
      <c r="I221" s="90">
        <v>0</v>
      </c>
      <c r="J221" s="91">
        <v>45287</v>
      </c>
      <c r="K221" s="90" t="s">
        <v>131</v>
      </c>
      <c r="L221" s="90" t="s">
        <v>125</v>
      </c>
      <c r="M221" s="90"/>
      <c r="N221" s="90" t="s">
        <v>126</v>
      </c>
      <c r="O221" s="90" t="s">
        <v>175</v>
      </c>
      <c r="P221" s="90" t="s">
        <v>596</v>
      </c>
      <c r="Q221" s="90" t="s">
        <v>130</v>
      </c>
      <c r="R221" s="92">
        <v>5</v>
      </c>
      <c r="S221" s="30">
        <v>23</v>
      </c>
      <c r="T221" s="91">
        <v>45330</v>
      </c>
      <c r="U221" s="90" t="s">
        <v>602</v>
      </c>
      <c r="V221" s="91"/>
      <c r="W221" s="90"/>
      <c r="X221" s="92">
        <v>45</v>
      </c>
      <c r="Y221" s="30"/>
      <c r="Z221" s="30">
        <v>13249.376</v>
      </c>
      <c r="AA221" s="30">
        <v>8585</v>
      </c>
      <c r="AB221" s="91">
        <v>45082</v>
      </c>
      <c r="AC221" s="91">
        <v>45679</v>
      </c>
      <c r="AD221" s="91">
        <v>46019</v>
      </c>
      <c r="AE221" s="90" t="s">
        <v>297</v>
      </c>
      <c r="AF221" s="90" t="s">
        <v>284</v>
      </c>
      <c r="AG221" s="30"/>
      <c r="AH221" s="90">
        <v>0</v>
      </c>
      <c r="AI221" s="90">
        <v>1</v>
      </c>
      <c r="AJ221" s="90">
        <v>0</v>
      </c>
      <c r="AK221" s="92">
        <v>2023</v>
      </c>
      <c r="AL221" s="90" t="s">
        <v>208</v>
      </c>
      <c r="AM221" s="92">
        <v>205</v>
      </c>
      <c r="AN221" s="90" t="s">
        <v>163</v>
      </c>
      <c r="AO221" s="90">
        <v>0</v>
      </c>
      <c r="AP221" s="90" t="s">
        <v>79</v>
      </c>
      <c r="AQ221" s="30">
        <v>71.900000000000006</v>
      </c>
    </row>
    <row r="222" spans="1:43" ht="15" customHeight="1" x14ac:dyDescent="0.3">
      <c r="A222" s="101" t="s">
        <v>660</v>
      </c>
      <c r="B222" s="90" t="s">
        <v>130</v>
      </c>
      <c r="C222" s="91">
        <v>43101</v>
      </c>
      <c r="D222" s="91">
        <v>45082</v>
      </c>
      <c r="E222" s="92">
        <v>1</v>
      </c>
      <c r="F222" s="90" t="s">
        <v>276</v>
      </c>
      <c r="G222" s="90" t="s">
        <v>601</v>
      </c>
      <c r="H222" s="90" t="s">
        <v>278</v>
      </c>
      <c r="I222" s="90">
        <v>0</v>
      </c>
      <c r="J222" s="91">
        <v>45341</v>
      </c>
      <c r="K222" s="90" t="s">
        <v>131</v>
      </c>
      <c r="L222" s="90" t="s">
        <v>125</v>
      </c>
      <c r="M222" s="90"/>
      <c r="N222" s="90" t="s">
        <v>126</v>
      </c>
      <c r="O222" s="90" t="s">
        <v>175</v>
      </c>
      <c r="P222" s="90" t="s">
        <v>596</v>
      </c>
      <c r="Q222" s="90" t="s">
        <v>130</v>
      </c>
      <c r="R222" s="92">
        <v>6</v>
      </c>
      <c r="S222" s="30">
        <v>54</v>
      </c>
      <c r="T222" s="91">
        <v>45377</v>
      </c>
      <c r="U222" s="90" t="s">
        <v>602</v>
      </c>
      <c r="V222" s="91"/>
      <c r="W222" s="90"/>
      <c r="X222" s="92">
        <v>45</v>
      </c>
      <c r="Y222" s="30"/>
      <c r="Z222" s="30">
        <v>13249.376</v>
      </c>
      <c r="AA222" s="30">
        <v>8585</v>
      </c>
      <c r="AB222" s="91">
        <v>45082</v>
      </c>
      <c r="AC222" s="91">
        <v>45679</v>
      </c>
      <c r="AD222" s="91">
        <v>46019</v>
      </c>
      <c r="AE222" s="90" t="s">
        <v>297</v>
      </c>
      <c r="AF222" s="90" t="s">
        <v>284</v>
      </c>
      <c r="AG222" s="30"/>
      <c r="AH222" s="90">
        <v>0</v>
      </c>
      <c r="AI222" s="90">
        <v>1</v>
      </c>
      <c r="AJ222" s="90">
        <v>0</v>
      </c>
      <c r="AK222" s="92">
        <v>2024</v>
      </c>
      <c r="AL222" s="90" t="s">
        <v>210</v>
      </c>
      <c r="AM222" s="92">
        <v>259</v>
      </c>
      <c r="AN222" s="90" t="s">
        <v>176</v>
      </c>
      <c r="AO222" s="90">
        <v>0</v>
      </c>
      <c r="AP222" s="90" t="s">
        <v>79</v>
      </c>
      <c r="AQ222" s="30">
        <v>73.7</v>
      </c>
    </row>
    <row r="223" spans="1:43" ht="15" customHeight="1" outlineLevel="1" x14ac:dyDescent="0.3">
      <c r="A223" s="101" t="s">
        <v>660</v>
      </c>
      <c r="B223" s="90" t="s">
        <v>130</v>
      </c>
      <c r="C223" s="91">
        <v>43101</v>
      </c>
      <c r="D223" s="91">
        <v>45082</v>
      </c>
      <c r="E223" s="92">
        <v>1</v>
      </c>
      <c r="F223" s="90" t="s">
        <v>276</v>
      </c>
      <c r="G223" s="90" t="s">
        <v>601</v>
      </c>
      <c r="H223" s="90" t="s">
        <v>278</v>
      </c>
      <c r="I223" s="90">
        <v>0</v>
      </c>
      <c r="J223" s="91">
        <v>45388</v>
      </c>
      <c r="K223" s="90" t="s">
        <v>131</v>
      </c>
      <c r="L223" s="90" t="s">
        <v>125</v>
      </c>
      <c r="M223" s="90"/>
      <c r="N223" s="90" t="s">
        <v>126</v>
      </c>
      <c r="O223" s="90" t="s">
        <v>175</v>
      </c>
      <c r="P223" s="90" t="s">
        <v>596</v>
      </c>
      <c r="Q223" s="90" t="s">
        <v>130</v>
      </c>
      <c r="R223" s="92">
        <v>7</v>
      </c>
      <c r="S223" s="30">
        <v>47</v>
      </c>
      <c r="T223" s="91">
        <v>45428</v>
      </c>
      <c r="U223" s="90" t="s">
        <v>602</v>
      </c>
      <c r="V223" s="91"/>
      <c r="W223" s="90"/>
      <c r="X223" s="92">
        <v>45</v>
      </c>
      <c r="Y223" s="30"/>
      <c r="Z223" s="30">
        <v>13249.376</v>
      </c>
      <c r="AA223" s="30">
        <v>8585</v>
      </c>
      <c r="AB223" s="91">
        <v>45082</v>
      </c>
      <c r="AC223" s="91">
        <v>45679</v>
      </c>
      <c r="AD223" s="91">
        <v>46019</v>
      </c>
      <c r="AE223" s="90" t="s">
        <v>297</v>
      </c>
      <c r="AF223" s="90" t="s">
        <v>284</v>
      </c>
      <c r="AG223" s="30"/>
      <c r="AH223" s="90">
        <v>0</v>
      </c>
      <c r="AI223" s="90">
        <v>1</v>
      </c>
      <c r="AJ223" s="90">
        <v>0</v>
      </c>
      <c r="AK223" s="92">
        <v>2024</v>
      </c>
      <c r="AL223" s="90" t="s">
        <v>212</v>
      </c>
      <c r="AM223" s="92">
        <v>306</v>
      </c>
      <c r="AN223" s="90" t="s">
        <v>181</v>
      </c>
      <c r="AO223" s="90">
        <v>0</v>
      </c>
      <c r="AP223" s="90" t="s">
        <v>79</v>
      </c>
      <c r="AQ223" s="30">
        <v>75.2</v>
      </c>
    </row>
    <row r="224" spans="1:43" ht="15" customHeight="1" x14ac:dyDescent="0.3">
      <c r="A224" s="101" t="s">
        <v>660</v>
      </c>
      <c r="B224" s="90" t="s">
        <v>130</v>
      </c>
      <c r="C224" s="91">
        <v>43101</v>
      </c>
      <c r="D224" s="91">
        <v>45082</v>
      </c>
      <c r="E224" s="92">
        <v>1</v>
      </c>
      <c r="F224" s="90" t="s">
        <v>276</v>
      </c>
      <c r="G224" s="90" t="s">
        <v>601</v>
      </c>
      <c r="H224" s="90" t="s">
        <v>278</v>
      </c>
      <c r="I224" s="90">
        <v>0</v>
      </c>
      <c r="J224" s="91">
        <v>45439</v>
      </c>
      <c r="K224" s="90" t="s">
        <v>131</v>
      </c>
      <c r="L224" s="90" t="s">
        <v>125</v>
      </c>
      <c r="M224" s="90"/>
      <c r="N224" s="90" t="s">
        <v>126</v>
      </c>
      <c r="O224" s="90" t="s">
        <v>175</v>
      </c>
      <c r="P224" s="90" t="s">
        <v>596</v>
      </c>
      <c r="Q224" s="90" t="s">
        <v>130</v>
      </c>
      <c r="R224" s="92">
        <v>8</v>
      </c>
      <c r="S224" s="30">
        <v>51</v>
      </c>
      <c r="T224" s="91">
        <v>45470</v>
      </c>
      <c r="U224" s="90" t="s">
        <v>582</v>
      </c>
      <c r="V224" s="91"/>
      <c r="W224" s="90"/>
      <c r="X224" s="92">
        <v>45</v>
      </c>
      <c r="Y224" s="30"/>
      <c r="Z224" s="30">
        <v>13249.376</v>
      </c>
      <c r="AA224" s="30">
        <v>8585</v>
      </c>
      <c r="AB224" s="91">
        <v>45082</v>
      </c>
      <c r="AC224" s="91">
        <v>45679</v>
      </c>
      <c r="AD224" s="91">
        <v>46019</v>
      </c>
      <c r="AE224" s="90" t="s">
        <v>297</v>
      </c>
      <c r="AF224" s="90" t="s">
        <v>284</v>
      </c>
      <c r="AG224" s="30"/>
      <c r="AH224" s="90">
        <v>1</v>
      </c>
      <c r="AI224" s="90">
        <v>1</v>
      </c>
      <c r="AJ224" s="90">
        <v>0</v>
      </c>
      <c r="AK224" s="92">
        <v>2024</v>
      </c>
      <c r="AL224" s="90" t="s">
        <v>213</v>
      </c>
      <c r="AM224" s="92">
        <v>357</v>
      </c>
      <c r="AN224" s="90" t="s">
        <v>189</v>
      </c>
      <c r="AO224" s="90">
        <v>1</v>
      </c>
      <c r="AP224" s="90" t="s">
        <v>79</v>
      </c>
      <c r="AQ224" s="30">
        <v>76.900000000000006</v>
      </c>
    </row>
    <row r="225" spans="1:43" ht="15" customHeight="1" outlineLevel="1" x14ac:dyDescent="0.3">
      <c r="A225" s="101" t="s">
        <v>661</v>
      </c>
      <c r="B225" s="90" t="s">
        <v>130</v>
      </c>
      <c r="C225" s="91">
        <v>44197</v>
      </c>
      <c r="D225" s="91"/>
      <c r="E225" s="92">
        <v>0</v>
      </c>
      <c r="F225" s="90"/>
      <c r="G225" s="90"/>
      <c r="H225" s="90"/>
      <c r="I225" s="90"/>
      <c r="J225" s="91">
        <v>44985</v>
      </c>
      <c r="K225" s="90" t="s">
        <v>124</v>
      </c>
      <c r="L225" s="90" t="s">
        <v>125</v>
      </c>
      <c r="M225" s="90"/>
      <c r="N225" s="90"/>
      <c r="O225" s="90" t="s">
        <v>186</v>
      </c>
      <c r="P225" s="90"/>
      <c r="Q225" s="90" t="s">
        <v>130</v>
      </c>
      <c r="R225" s="92">
        <v>1</v>
      </c>
      <c r="S225" s="30"/>
      <c r="T225" s="91">
        <v>45015</v>
      </c>
      <c r="U225" s="90" t="s">
        <v>582</v>
      </c>
      <c r="V225" s="91"/>
      <c r="W225" s="90"/>
      <c r="X225" s="92">
        <v>45</v>
      </c>
      <c r="Y225" s="30"/>
      <c r="Z225" s="30"/>
      <c r="AA225" s="30">
        <v>791.56100000000004</v>
      </c>
      <c r="AB225" s="91">
        <v>45277</v>
      </c>
      <c r="AC225" s="91">
        <v>45409</v>
      </c>
      <c r="AD225" s="91">
        <v>45995</v>
      </c>
      <c r="AE225" s="90" t="s">
        <v>296</v>
      </c>
      <c r="AF225" s="90" t="s">
        <v>288</v>
      </c>
      <c r="AG225" s="30"/>
      <c r="AH225" s="90">
        <v>1</v>
      </c>
      <c r="AI225" s="90">
        <v>1</v>
      </c>
      <c r="AJ225" s="90">
        <v>0</v>
      </c>
      <c r="AK225" s="92">
        <v>2023</v>
      </c>
      <c r="AL225" s="90" t="s">
        <v>198</v>
      </c>
      <c r="AM225" s="92"/>
      <c r="AN225" s="90"/>
      <c r="AO225" s="90">
        <v>0</v>
      </c>
      <c r="AP225" s="90" t="s">
        <v>80</v>
      </c>
      <c r="AQ225" s="30">
        <v>25.9</v>
      </c>
    </row>
    <row r="226" spans="1:43" ht="15" customHeight="1" outlineLevel="1" x14ac:dyDescent="0.3">
      <c r="A226" s="101" t="s">
        <v>661</v>
      </c>
      <c r="B226" s="90" t="s">
        <v>130</v>
      </c>
      <c r="C226" s="91">
        <v>44197</v>
      </c>
      <c r="D226" s="91">
        <v>45277</v>
      </c>
      <c r="E226" s="92">
        <v>1</v>
      </c>
      <c r="F226" s="90" t="s">
        <v>276</v>
      </c>
      <c r="G226" s="90" t="s">
        <v>601</v>
      </c>
      <c r="H226" s="90" t="s">
        <v>278</v>
      </c>
      <c r="I226" s="90">
        <v>0</v>
      </c>
      <c r="J226" s="91">
        <v>45341</v>
      </c>
      <c r="K226" s="90" t="s">
        <v>131</v>
      </c>
      <c r="L226" s="90" t="s">
        <v>125</v>
      </c>
      <c r="M226" s="90"/>
      <c r="N226" s="90" t="s">
        <v>126</v>
      </c>
      <c r="O226" s="90" t="s">
        <v>180</v>
      </c>
      <c r="P226" s="90" t="s">
        <v>596</v>
      </c>
      <c r="Q226" s="90" t="s">
        <v>130</v>
      </c>
      <c r="R226" s="92">
        <v>1</v>
      </c>
      <c r="S226" s="30"/>
      <c r="T226" s="91">
        <v>45377</v>
      </c>
      <c r="U226" s="90" t="s">
        <v>582</v>
      </c>
      <c r="V226" s="91"/>
      <c r="W226" s="90"/>
      <c r="X226" s="92">
        <v>45</v>
      </c>
      <c r="Y226" s="30"/>
      <c r="Z226" s="30">
        <v>791.56100000000004</v>
      </c>
      <c r="AA226" s="30">
        <v>791.56100000000004</v>
      </c>
      <c r="AB226" s="91">
        <v>45277</v>
      </c>
      <c r="AC226" s="91">
        <v>45409</v>
      </c>
      <c r="AD226" s="91">
        <v>45995</v>
      </c>
      <c r="AE226" s="90" t="s">
        <v>296</v>
      </c>
      <c r="AF226" s="90" t="s">
        <v>288</v>
      </c>
      <c r="AG226" s="30"/>
      <c r="AH226" s="90">
        <v>1</v>
      </c>
      <c r="AI226" s="90">
        <v>1</v>
      </c>
      <c r="AJ226" s="90">
        <v>0</v>
      </c>
      <c r="AK226" s="92">
        <v>2024</v>
      </c>
      <c r="AL226" s="90" t="s">
        <v>210</v>
      </c>
      <c r="AM226" s="92">
        <v>64</v>
      </c>
      <c r="AN226" s="90" t="s">
        <v>140</v>
      </c>
      <c r="AO226" s="90">
        <v>1</v>
      </c>
      <c r="AP226" s="90" t="s">
        <v>79</v>
      </c>
      <c r="AQ226" s="30">
        <v>37.6</v>
      </c>
    </row>
    <row r="227" spans="1:43" ht="15" customHeight="1" outlineLevel="1" x14ac:dyDescent="0.3">
      <c r="A227" s="101" t="s">
        <v>662</v>
      </c>
      <c r="B227" s="90" t="s">
        <v>130</v>
      </c>
      <c r="C227" s="91">
        <v>44197</v>
      </c>
      <c r="D227" s="91"/>
      <c r="E227" s="92">
        <v>0</v>
      </c>
      <c r="F227" s="90"/>
      <c r="G227" s="90"/>
      <c r="H227" s="90"/>
      <c r="I227" s="90"/>
      <c r="J227" s="91">
        <v>44895</v>
      </c>
      <c r="K227" s="90" t="s">
        <v>124</v>
      </c>
      <c r="L227" s="90" t="s">
        <v>125</v>
      </c>
      <c r="M227" s="90"/>
      <c r="N227" s="90"/>
      <c r="O227" s="90" t="s">
        <v>186</v>
      </c>
      <c r="P227" s="90"/>
      <c r="Q227" s="90" t="s">
        <v>130</v>
      </c>
      <c r="R227" s="92">
        <v>1</v>
      </c>
      <c r="S227" s="30"/>
      <c r="T227" s="91">
        <v>44956</v>
      </c>
      <c r="U227" s="90" t="s">
        <v>582</v>
      </c>
      <c r="V227" s="91"/>
      <c r="W227" s="90"/>
      <c r="X227" s="92">
        <v>45</v>
      </c>
      <c r="Y227" s="30"/>
      <c r="Z227" s="30"/>
      <c r="AA227" s="30">
        <v>5552</v>
      </c>
      <c r="AB227" s="91">
        <v>45164</v>
      </c>
      <c r="AC227" s="91">
        <v>45601</v>
      </c>
      <c r="AD227" s="91">
        <v>46019</v>
      </c>
      <c r="AE227" s="90" t="s">
        <v>297</v>
      </c>
      <c r="AF227" s="90" t="s">
        <v>284</v>
      </c>
      <c r="AG227" s="30"/>
      <c r="AH227" s="90">
        <v>1</v>
      </c>
      <c r="AI227" s="90">
        <v>1</v>
      </c>
      <c r="AJ227" s="90">
        <v>0</v>
      </c>
      <c r="AK227" s="92">
        <v>2022</v>
      </c>
      <c r="AL227" s="90" t="s">
        <v>192</v>
      </c>
      <c r="AM227" s="92"/>
      <c r="AN227" s="90"/>
      <c r="AO227" s="90">
        <v>0</v>
      </c>
      <c r="AP227" s="90" t="s">
        <v>80</v>
      </c>
      <c r="AQ227" s="30">
        <v>23</v>
      </c>
    </row>
    <row r="228" spans="1:43" ht="15" customHeight="1" outlineLevel="1" x14ac:dyDescent="0.3">
      <c r="A228" s="101" t="s">
        <v>662</v>
      </c>
      <c r="B228" s="90" t="s">
        <v>130</v>
      </c>
      <c r="C228" s="91">
        <v>44197</v>
      </c>
      <c r="D228" s="91">
        <v>45164</v>
      </c>
      <c r="E228" s="92">
        <v>1</v>
      </c>
      <c r="F228" s="90" t="s">
        <v>276</v>
      </c>
      <c r="G228" s="90"/>
      <c r="H228" s="90"/>
      <c r="I228" s="90">
        <v>0</v>
      </c>
      <c r="J228" s="91">
        <v>45234</v>
      </c>
      <c r="K228" s="90" t="s">
        <v>131</v>
      </c>
      <c r="L228" s="90" t="s">
        <v>125</v>
      </c>
      <c r="M228" s="90"/>
      <c r="N228" s="90" t="s">
        <v>126</v>
      </c>
      <c r="O228" s="90" t="s">
        <v>175</v>
      </c>
      <c r="P228" s="90" t="s">
        <v>596</v>
      </c>
      <c r="Q228" s="90" t="s">
        <v>130</v>
      </c>
      <c r="R228" s="92">
        <v>1</v>
      </c>
      <c r="S228" s="30"/>
      <c r="T228" s="91">
        <v>45271</v>
      </c>
      <c r="U228" s="90" t="s">
        <v>602</v>
      </c>
      <c r="V228" s="91"/>
      <c r="W228" s="90"/>
      <c r="X228" s="92">
        <v>45</v>
      </c>
      <c r="Y228" s="30"/>
      <c r="Z228" s="30">
        <v>8285.5310000000009</v>
      </c>
      <c r="AA228" s="30">
        <v>5552</v>
      </c>
      <c r="AB228" s="91">
        <v>45164</v>
      </c>
      <c r="AC228" s="91">
        <v>45601</v>
      </c>
      <c r="AD228" s="91">
        <v>46019</v>
      </c>
      <c r="AE228" s="90" t="s">
        <v>297</v>
      </c>
      <c r="AF228" s="90" t="s">
        <v>284</v>
      </c>
      <c r="AG228" s="30"/>
      <c r="AH228" s="90">
        <v>0</v>
      </c>
      <c r="AI228" s="90">
        <v>1</v>
      </c>
      <c r="AJ228" s="90">
        <v>0</v>
      </c>
      <c r="AK228" s="92">
        <v>2023</v>
      </c>
      <c r="AL228" s="90" t="s">
        <v>207</v>
      </c>
      <c r="AM228" s="92">
        <v>70</v>
      </c>
      <c r="AN228" s="90" t="s">
        <v>140</v>
      </c>
      <c r="AO228" s="90">
        <v>0</v>
      </c>
      <c r="AP228" s="90" t="s">
        <v>79</v>
      </c>
      <c r="AQ228" s="30">
        <v>34.1</v>
      </c>
    </row>
    <row r="229" spans="1:43" ht="15" customHeight="1" outlineLevel="1" x14ac:dyDescent="0.3">
      <c r="A229" s="101" t="s">
        <v>662</v>
      </c>
      <c r="B229" s="90" t="s">
        <v>130</v>
      </c>
      <c r="C229" s="91">
        <v>44197</v>
      </c>
      <c r="D229" s="91">
        <v>45164</v>
      </c>
      <c r="E229" s="92">
        <v>1</v>
      </c>
      <c r="F229" s="90" t="s">
        <v>276</v>
      </c>
      <c r="G229" s="90"/>
      <c r="H229" s="90"/>
      <c r="I229" s="90">
        <v>0</v>
      </c>
      <c r="J229" s="91">
        <v>45282</v>
      </c>
      <c r="K229" s="90" t="s">
        <v>131</v>
      </c>
      <c r="L229" s="90" t="s">
        <v>125</v>
      </c>
      <c r="M229" s="90"/>
      <c r="N229" s="90" t="s">
        <v>126</v>
      </c>
      <c r="O229" s="90" t="s">
        <v>180</v>
      </c>
      <c r="P229" s="90" t="s">
        <v>596</v>
      </c>
      <c r="Q229" s="90" t="s">
        <v>130</v>
      </c>
      <c r="R229" s="92">
        <v>2</v>
      </c>
      <c r="S229" s="30">
        <v>48</v>
      </c>
      <c r="T229" s="91">
        <v>45330</v>
      </c>
      <c r="U229" s="90" t="s">
        <v>602</v>
      </c>
      <c r="V229" s="91"/>
      <c r="W229" s="90"/>
      <c r="X229" s="92">
        <v>45</v>
      </c>
      <c r="Y229" s="30"/>
      <c r="Z229" s="30">
        <v>8285.5310000000009</v>
      </c>
      <c r="AA229" s="30">
        <v>5552</v>
      </c>
      <c r="AB229" s="91">
        <v>45164</v>
      </c>
      <c r="AC229" s="91">
        <v>45601</v>
      </c>
      <c r="AD229" s="91">
        <v>46019</v>
      </c>
      <c r="AE229" s="90" t="s">
        <v>297</v>
      </c>
      <c r="AF229" s="90" t="s">
        <v>284</v>
      </c>
      <c r="AG229" s="30"/>
      <c r="AH229" s="90">
        <v>0</v>
      </c>
      <c r="AI229" s="90">
        <v>1</v>
      </c>
      <c r="AJ229" s="90">
        <v>0</v>
      </c>
      <c r="AK229" s="92">
        <v>2023</v>
      </c>
      <c r="AL229" s="90" t="s">
        <v>208</v>
      </c>
      <c r="AM229" s="92">
        <v>118</v>
      </c>
      <c r="AN229" s="90" t="s">
        <v>150</v>
      </c>
      <c r="AO229" s="90">
        <v>0</v>
      </c>
      <c r="AP229" s="90" t="s">
        <v>79</v>
      </c>
      <c r="AQ229" s="30">
        <v>35.700000000000003</v>
      </c>
    </row>
    <row r="230" spans="1:43" ht="15" customHeight="1" x14ac:dyDescent="0.3">
      <c r="A230" s="101" t="s">
        <v>662</v>
      </c>
      <c r="B230" s="90" t="s">
        <v>130</v>
      </c>
      <c r="C230" s="91">
        <v>44197</v>
      </c>
      <c r="D230" s="91">
        <v>45164</v>
      </c>
      <c r="E230" s="92">
        <v>1</v>
      </c>
      <c r="F230" s="90" t="s">
        <v>276</v>
      </c>
      <c r="G230" s="90"/>
      <c r="H230" s="90"/>
      <c r="I230" s="90">
        <v>0</v>
      </c>
      <c r="J230" s="91">
        <v>45341</v>
      </c>
      <c r="K230" s="90" t="s">
        <v>131</v>
      </c>
      <c r="L230" s="90" t="s">
        <v>125</v>
      </c>
      <c r="M230" s="90"/>
      <c r="N230" s="90" t="s">
        <v>126</v>
      </c>
      <c r="O230" s="90" t="s">
        <v>175</v>
      </c>
      <c r="P230" s="90" t="s">
        <v>596</v>
      </c>
      <c r="Q230" s="90" t="s">
        <v>130</v>
      </c>
      <c r="R230" s="92">
        <v>3</v>
      </c>
      <c r="S230" s="30">
        <v>59</v>
      </c>
      <c r="T230" s="91">
        <v>45377</v>
      </c>
      <c r="U230" s="90" t="s">
        <v>582</v>
      </c>
      <c r="V230" s="91"/>
      <c r="W230" s="90"/>
      <c r="X230" s="92">
        <v>45</v>
      </c>
      <c r="Y230" s="30"/>
      <c r="Z230" s="30">
        <v>8285.5310000000009</v>
      </c>
      <c r="AA230" s="30">
        <v>5552</v>
      </c>
      <c r="AB230" s="91">
        <v>45164</v>
      </c>
      <c r="AC230" s="91">
        <v>45601</v>
      </c>
      <c r="AD230" s="91">
        <v>46019</v>
      </c>
      <c r="AE230" s="90" t="s">
        <v>297</v>
      </c>
      <c r="AF230" s="90" t="s">
        <v>284</v>
      </c>
      <c r="AG230" s="30"/>
      <c r="AH230" s="90">
        <v>1</v>
      </c>
      <c r="AI230" s="90">
        <v>1</v>
      </c>
      <c r="AJ230" s="90">
        <v>0</v>
      </c>
      <c r="AK230" s="92">
        <v>2024</v>
      </c>
      <c r="AL230" s="90" t="s">
        <v>210</v>
      </c>
      <c r="AM230" s="92">
        <v>177</v>
      </c>
      <c r="AN230" s="90" t="s">
        <v>160</v>
      </c>
      <c r="AO230" s="90">
        <v>0</v>
      </c>
      <c r="AP230" s="90" t="s">
        <v>79</v>
      </c>
      <c r="AQ230" s="30">
        <v>37.6</v>
      </c>
    </row>
    <row r="231" spans="1:43" ht="15" customHeight="1" outlineLevel="1" x14ac:dyDescent="0.3">
      <c r="A231" s="101" t="s">
        <v>662</v>
      </c>
      <c r="B231" s="90" t="s">
        <v>130</v>
      </c>
      <c r="C231" s="91">
        <v>44197</v>
      </c>
      <c r="D231" s="91">
        <v>45619</v>
      </c>
      <c r="E231" s="92">
        <v>2</v>
      </c>
      <c r="F231" s="90" t="s">
        <v>276</v>
      </c>
      <c r="G231" s="90"/>
      <c r="H231" s="90"/>
      <c r="I231" s="90">
        <v>0</v>
      </c>
      <c r="J231" s="91">
        <v>45688</v>
      </c>
      <c r="K231" s="90" t="s">
        <v>131</v>
      </c>
      <c r="L231" s="90" t="s">
        <v>125</v>
      </c>
      <c r="M231" s="90"/>
      <c r="N231" s="90" t="s">
        <v>126</v>
      </c>
      <c r="O231" s="90">
        <v>-53431</v>
      </c>
      <c r="P231" s="90" t="s">
        <v>596</v>
      </c>
      <c r="Q231" s="90" t="s">
        <v>130</v>
      </c>
      <c r="R231" s="92">
        <v>1</v>
      </c>
      <c r="S231" s="30"/>
      <c r="T231" s="91">
        <v>45710</v>
      </c>
      <c r="U231" s="90" t="s">
        <v>602</v>
      </c>
      <c r="V231" s="91"/>
      <c r="W231" s="90"/>
      <c r="X231" s="92">
        <v>45</v>
      </c>
      <c r="Y231" s="30"/>
      <c r="Z231" s="30">
        <v>10734.023999999999</v>
      </c>
      <c r="AA231" s="30">
        <v>5552</v>
      </c>
      <c r="AB231" s="91">
        <v>45164</v>
      </c>
      <c r="AC231" s="91">
        <v>45601</v>
      </c>
      <c r="AD231" s="91">
        <v>46019</v>
      </c>
      <c r="AE231" s="90" t="s">
        <v>297</v>
      </c>
      <c r="AF231" s="90" t="s">
        <v>284</v>
      </c>
      <c r="AG231" s="30"/>
      <c r="AH231" s="90">
        <v>0</v>
      </c>
      <c r="AI231" s="90">
        <v>1</v>
      </c>
      <c r="AJ231" s="90">
        <v>0</v>
      </c>
      <c r="AK231" s="92">
        <v>2025</v>
      </c>
      <c r="AL231" s="90" t="s">
        <v>221</v>
      </c>
      <c r="AM231" s="92">
        <v>69</v>
      </c>
      <c r="AN231" s="90" t="s">
        <v>140</v>
      </c>
      <c r="AO231" s="90">
        <v>0</v>
      </c>
      <c r="AP231" s="90" t="s">
        <v>79</v>
      </c>
      <c r="AQ231" s="30">
        <v>49</v>
      </c>
    </row>
    <row r="232" spans="1:43" ht="15" customHeight="1" outlineLevel="1" x14ac:dyDescent="0.3">
      <c r="A232" s="101" t="s">
        <v>662</v>
      </c>
      <c r="B232" s="90" t="s">
        <v>130</v>
      </c>
      <c r="C232" s="91">
        <v>44197</v>
      </c>
      <c r="D232" s="91">
        <v>45619</v>
      </c>
      <c r="E232" s="92">
        <v>2</v>
      </c>
      <c r="F232" s="90" t="s">
        <v>276</v>
      </c>
      <c r="G232" s="90"/>
      <c r="H232" s="90"/>
      <c r="I232" s="90">
        <v>0</v>
      </c>
      <c r="J232" s="91">
        <v>45711</v>
      </c>
      <c r="K232" s="90" t="s">
        <v>131</v>
      </c>
      <c r="L232" s="90" t="s">
        <v>125</v>
      </c>
      <c r="M232" s="90"/>
      <c r="N232" s="90" t="s">
        <v>126</v>
      </c>
      <c r="O232" s="90">
        <v>-53431</v>
      </c>
      <c r="P232" s="90" t="s">
        <v>596</v>
      </c>
      <c r="Q232" s="90" t="s">
        <v>130</v>
      </c>
      <c r="R232" s="92">
        <v>2</v>
      </c>
      <c r="S232" s="30">
        <v>23</v>
      </c>
      <c r="T232" s="91">
        <v>45743</v>
      </c>
      <c r="U232" s="90" t="s">
        <v>582</v>
      </c>
      <c r="V232" s="91">
        <v>45934</v>
      </c>
      <c r="W232" s="90" t="s">
        <v>648</v>
      </c>
      <c r="X232" s="92">
        <v>45</v>
      </c>
      <c r="Y232" s="30"/>
      <c r="Z232" s="30">
        <v>10734.023999999999</v>
      </c>
      <c r="AA232" s="30">
        <v>5552</v>
      </c>
      <c r="AB232" s="91">
        <v>45164</v>
      </c>
      <c r="AC232" s="91">
        <v>45601</v>
      </c>
      <c r="AD232" s="91">
        <v>46019</v>
      </c>
      <c r="AE232" s="90" t="s">
        <v>297</v>
      </c>
      <c r="AF232" s="90" t="s">
        <v>284</v>
      </c>
      <c r="AG232" s="30"/>
      <c r="AH232" s="90">
        <v>1</v>
      </c>
      <c r="AI232" s="90">
        <v>1</v>
      </c>
      <c r="AJ232" s="90">
        <v>1</v>
      </c>
      <c r="AK232" s="92">
        <v>2025</v>
      </c>
      <c r="AL232" s="90" t="s">
        <v>222</v>
      </c>
      <c r="AM232" s="92">
        <v>92</v>
      </c>
      <c r="AN232" s="90" t="s">
        <v>145</v>
      </c>
      <c r="AO232" s="90">
        <v>0</v>
      </c>
      <c r="AP232" s="90" t="s">
        <v>79</v>
      </c>
      <c r="AQ232" s="30">
        <v>49.8</v>
      </c>
    </row>
    <row r="233" spans="1:43" ht="15" customHeight="1" outlineLevel="1" x14ac:dyDescent="0.3">
      <c r="A233" s="101" t="s">
        <v>662</v>
      </c>
      <c r="B233" s="90" t="s">
        <v>130</v>
      </c>
      <c r="C233" s="91">
        <v>44197</v>
      </c>
      <c r="D233" s="91">
        <v>45619</v>
      </c>
      <c r="E233" s="92">
        <v>2</v>
      </c>
      <c r="F233" s="90" t="s">
        <v>276</v>
      </c>
      <c r="G233" s="90"/>
      <c r="H233" s="90"/>
      <c r="I233" s="90">
        <v>0</v>
      </c>
      <c r="J233" s="91">
        <v>45934</v>
      </c>
      <c r="K233" s="90" t="s">
        <v>131</v>
      </c>
      <c r="L233" s="90" t="s">
        <v>125</v>
      </c>
      <c r="M233" s="90"/>
      <c r="N233" s="90" t="s">
        <v>133</v>
      </c>
      <c r="O233" s="90" t="s">
        <v>139</v>
      </c>
      <c r="P233" s="90" t="s">
        <v>596</v>
      </c>
      <c r="Q233" s="90" t="s">
        <v>130</v>
      </c>
      <c r="R233" s="92">
        <v>3</v>
      </c>
      <c r="S233" s="30">
        <v>223</v>
      </c>
      <c r="T233" s="91">
        <v>45941</v>
      </c>
      <c r="U233" s="90" t="s">
        <v>602</v>
      </c>
      <c r="V233" s="91"/>
      <c r="W233" s="90"/>
      <c r="X233" s="92">
        <v>45</v>
      </c>
      <c r="Y233" s="30"/>
      <c r="Z233" s="30">
        <v>10734.023999999999</v>
      </c>
      <c r="AA233" s="30">
        <v>5552</v>
      </c>
      <c r="AB233" s="91">
        <v>45164</v>
      </c>
      <c r="AC233" s="91">
        <v>45601</v>
      </c>
      <c r="AD233" s="91">
        <v>46019</v>
      </c>
      <c r="AE233" s="90" t="s">
        <v>297</v>
      </c>
      <c r="AF233" s="90" t="s">
        <v>284</v>
      </c>
      <c r="AG233" s="30"/>
      <c r="AH233" s="90">
        <v>0</v>
      </c>
      <c r="AI233" s="90">
        <v>1</v>
      </c>
      <c r="AJ233" s="90">
        <v>0</v>
      </c>
      <c r="AK233" s="92">
        <v>2025</v>
      </c>
      <c r="AL233" s="90" t="s">
        <v>229</v>
      </c>
      <c r="AM233" s="92">
        <v>315</v>
      </c>
      <c r="AN233" s="90" t="s">
        <v>181</v>
      </c>
      <c r="AO233" s="90">
        <v>0</v>
      </c>
      <c r="AP233" s="90" t="s">
        <v>79</v>
      </c>
      <c r="AQ233" s="30">
        <v>57.1</v>
      </c>
    </row>
    <row r="234" spans="1:43" ht="15" customHeight="1" outlineLevel="1" x14ac:dyDescent="0.3">
      <c r="A234" s="101" t="s">
        <v>662</v>
      </c>
      <c r="B234" s="90" t="s">
        <v>130</v>
      </c>
      <c r="C234" s="91">
        <v>44197</v>
      </c>
      <c r="D234" s="91">
        <v>45619</v>
      </c>
      <c r="E234" s="92">
        <v>2</v>
      </c>
      <c r="F234" s="90" t="s">
        <v>276</v>
      </c>
      <c r="G234" s="90"/>
      <c r="H234" s="90"/>
      <c r="I234" s="90">
        <v>0</v>
      </c>
      <c r="J234" s="91">
        <v>45942</v>
      </c>
      <c r="K234" s="90" t="s">
        <v>131</v>
      </c>
      <c r="L234" s="90" t="s">
        <v>125</v>
      </c>
      <c r="M234" s="90"/>
      <c r="N234" s="90" t="s">
        <v>133</v>
      </c>
      <c r="O234" s="90" t="s">
        <v>139</v>
      </c>
      <c r="P234" s="90" t="s">
        <v>596</v>
      </c>
      <c r="Q234" s="90" t="s">
        <v>130</v>
      </c>
      <c r="R234" s="92">
        <v>4</v>
      </c>
      <c r="S234" s="30">
        <v>8</v>
      </c>
      <c r="T234" s="91"/>
      <c r="U234" s="90" t="s">
        <v>611</v>
      </c>
      <c r="V234" s="91"/>
      <c r="W234" s="90"/>
      <c r="X234" s="92">
        <v>45</v>
      </c>
      <c r="Y234" s="30"/>
      <c r="Z234" s="30">
        <v>10734.023999999999</v>
      </c>
      <c r="AA234" s="30">
        <v>5552</v>
      </c>
      <c r="AB234" s="91">
        <v>45164</v>
      </c>
      <c r="AC234" s="91">
        <v>45601</v>
      </c>
      <c r="AD234" s="91">
        <v>46019</v>
      </c>
      <c r="AE234" s="90" t="s">
        <v>297</v>
      </c>
      <c r="AF234" s="90" t="s">
        <v>284</v>
      </c>
      <c r="AG234" s="30"/>
      <c r="AH234" s="90">
        <v>0</v>
      </c>
      <c r="AI234" s="90">
        <v>0</v>
      </c>
      <c r="AJ234" s="90">
        <v>0</v>
      </c>
      <c r="AK234" s="92">
        <v>2025</v>
      </c>
      <c r="AL234" s="90" t="s">
        <v>229</v>
      </c>
      <c r="AM234" s="92">
        <v>323</v>
      </c>
      <c r="AN234" s="90" t="s">
        <v>187</v>
      </c>
      <c r="AO234" s="90">
        <v>1</v>
      </c>
      <c r="AP234" s="90" t="s">
        <v>79</v>
      </c>
      <c r="AQ234" s="30">
        <v>57.4</v>
      </c>
    </row>
    <row r="235" spans="1:43" ht="15" customHeight="1" outlineLevel="1" x14ac:dyDescent="0.3">
      <c r="A235" s="101" t="s">
        <v>663</v>
      </c>
      <c r="B235" s="90" t="s">
        <v>130</v>
      </c>
      <c r="C235" s="91">
        <v>44197</v>
      </c>
      <c r="D235" s="91"/>
      <c r="E235" s="92">
        <v>0</v>
      </c>
      <c r="F235" s="90"/>
      <c r="G235" s="90"/>
      <c r="H235" s="90"/>
      <c r="I235" s="90"/>
      <c r="J235" s="91">
        <v>44982</v>
      </c>
      <c r="K235" s="90" t="s">
        <v>124</v>
      </c>
      <c r="L235" s="90" t="s">
        <v>125</v>
      </c>
      <c r="M235" s="90"/>
      <c r="N235" s="90"/>
      <c r="O235" s="90" t="s">
        <v>186</v>
      </c>
      <c r="P235" s="90"/>
      <c r="Q235" s="90" t="s">
        <v>130</v>
      </c>
      <c r="R235" s="92">
        <v>1</v>
      </c>
      <c r="S235" s="30"/>
      <c r="T235" s="91">
        <v>45015</v>
      </c>
      <c r="U235" s="90" t="s">
        <v>582</v>
      </c>
      <c r="V235" s="91"/>
      <c r="W235" s="90"/>
      <c r="X235" s="92">
        <v>45</v>
      </c>
      <c r="Y235" s="30"/>
      <c r="Z235" s="30"/>
      <c r="AA235" s="30">
        <v>4864</v>
      </c>
      <c r="AB235" s="91">
        <v>45273</v>
      </c>
      <c r="AC235" s="91">
        <v>45725</v>
      </c>
      <c r="AD235" s="91">
        <v>46034</v>
      </c>
      <c r="AE235" s="90" t="s">
        <v>295</v>
      </c>
      <c r="AF235" s="90" t="s">
        <v>287</v>
      </c>
      <c r="AG235" s="30"/>
      <c r="AH235" s="90">
        <v>1</v>
      </c>
      <c r="AI235" s="90">
        <v>1</v>
      </c>
      <c r="AJ235" s="90">
        <v>0</v>
      </c>
      <c r="AK235" s="92">
        <v>2023</v>
      </c>
      <c r="AL235" s="90" t="s">
        <v>198</v>
      </c>
      <c r="AM235" s="92"/>
      <c r="AN235" s="90"/>
      <c r="AO235" s="90">
        <v>0</v>
      </c>
      <c r="AP235" s="90" t="s">
        <v>80</v>
      </c>
      <c r="AQ235" s="30">
        <v>25.8</v>
      </c>
    </row>
    <row r="236" spans="1:43" ht="15" customHeight="1" outlineLevel="1" x14ac:dyDescent="0.3">
      <c r="A236" s="101" t="s">
        <v>663</v>
      </c>
      <c r="B236" s="90" t="s">
        <v>130</v>
      </c>
      <c r="C236" s="91">
        <v>44197</v>
      </c>
      <c r="D236" s="91">
        <v>45273</v>
      </c>
      <c r="E236" s="92">
        <v>1</v>
      </c>
      <c r="F236" s="90" t="s">
        <v>276</v>
      </c>
      <c r="G236" s="90"/>
      <c r="H236" s="90"/>
      <c r="I236" s="90">
        <v>0</v>
      </c>
      <c r="J236" s="91">
        <v>45341</v>
      </c>
      <c r="K236" s="90" t="s">
        <v>131</v>
      </c>
      <c r="L236" s="90" t="s">
        <v>125</v>
      </c>
      <c r="M236" s="90"/>
      <c r="N236" s="90" t="s">
        <v>126</v>
      </c>
      <c r="O236" s="90" t="s">
        <v>180</v>
      </c>
      <c r="P236" s="90" t="s">
        <v>596</v>
      </c>
      <c r="Q236" s="90" t="s">
        <v>130</v>
      </c>
      <c r="R236" s="92">
        <v>1</v>
      </c>
      <c r="S236" s="30"/>
      <c r="T236" s="91">
        <v>45377</v>
      </c>
      <c r="U236" s="90" t="s">
        <v>602</v>
      </c>
      <c r="V236" s="91"/>
      <c r="W236" s="90"/>
      <c r="X236" s="92">
        <v>45</v>
      </c>
      <c r="Y236" s="30"/>
      <c r="Z236" s="30">
        <v>7927.1329999999998</v>
      </c>
      <c r="AA236" s="30">
        <v>4864</v>
      </c>
      <c r="AB236" s="91">
        <v>45273</v>
      </c>
      <c r="AC236" s="91">
        <v>45725</v>
      </c>
      <c r="AD236" s="91">
        <v>46034</v>
      </c>
      <c r="AE236" s="90" t="s">
        <v>295</v>
      </c>
      <c r="AF236" s="90" t="s">
        <v>287</v>
      </c>
      <c r="AG236" s="30"/>
      <c r="AH236" s="90">
        <v>0</v>
      </c>
      <c r="AI236" s="90">
        <v>1</v>
      </c>
      <c r="AJ236" s="90">
        <v>0</v>
      </c>
      <c r="AK236" s="92">
        <v>2024</v>
      </c>
      <c r="AL236" s="90" t="s">
        <v>210</v>
      </c>
      <c r="AM236" s="92">
        <v>68</v>
      </c>
      <c r="AN236" s="90" t="s">
        <v>140</v>
      </c>
      <c r="AO236" s="90">
        <v>0</v>
      </c>
      <c r="AP236" s="90" t="s">
        <v>79</v>
      </c>
      <c r="AQ236" s="30">
        <v>37.6</v>
      </c>
    </row>
    <row r="237" spans="1:43" ht="15" customHeight="1" outlineLevel="1" x14ac:dyDescent="0.3">
      <c r="A237" s="101" t="s">
        <v>663</v>
      </c>
      <c r="B237" s="90" t="s">
        <v>130</v>
      </c>
      <c r="C237" s="91">
        <v>44197</v>
      </c>
      <c r="D237" s="91">
        <v>45273</v>
      </c>
      <c r="E237" s="92">
        <v>1</v>
      </c>
      <c r="F237" s="90" t="s">
        <v>276</v>
      </c>
      <c r="G237" s="90"/>
      <c r="H237" s="90"/>
      <c r="I237" s="90">
        <v>0</v>
      </c>
      <c r="J237" s="91">
        <v>45388</v>
      </c>
      <c r="K237" s="90" t="s">
        <v>131</v>
      </c>
      <c r="L237" s="90" t="s">
        <v>125</v>
      </c>
      <c r="M237" s="90"/>
      <c r="N237" s="90" t="s">
        <v>126</v>
      </c>
      <c r="O237" s="90" t="s">
        <v>175</v>
      </c>
      <c r="P237" s="90" t="s">
        <v>596</v>
      </c>
      <c r="Q237" s="90" t="s">
        <v>130</v>
      </c>
      <c r="R237" s="92">
        <v>2</v>
      </c>
      <c r="S237" s="30">
        <v>47</v>
      </c>
      <c r="T237" s="91">
        <v>45428</v>
      </c>
      <c r="U237" s="90" t="s">
        <v>602</v>
      </c>
      <c r="V237" s="91"/>
      <c r="W237" s="90"/>
      <c r="X237" s="92">
        <v>45</v>
      </c>
      <c r="Y237" s="30"/>
      <c r="Z237" s="30">
        <v>7927.1329999999998</v>
      </c>
      <c r="AA237" s="30">
        <v>4864</v>
      </c>
      <c r="AB237" s="91">
        <v>45273</v>
      </c>
      <c r="AC237" s="91">
        <v>45725</v>
      </c>
      <c r="AD237" s="91">
        <v>46034</v>
      </c>
      <c r="AE237" s="90" t="s">
        <v>295</v>
      </c>
      <c r="AF237" s="90" t="s">
        <v>287</v>
      </c>
      <c r="AG237" s="30"/>
      <c r="AH237" s="90">
        <v>0</v>
      </c>
      <c r="AI237" s="90">
        <v>1</v>
      </c>
      <c r="AJ237" s="90">
        <v>0</v>
      </c>
      <c r="AK237" s="92">
        <v>2024</v>
      </c>
      <c r="AL237" s="90" t="s">
        <v>212</v>
      </c>
      <c r="AM237" s="92">
        <v>115</v>
      </c>
      <c r="AN237" s="90" t="s">
        <v>150</v>
      </c>
      <c r="AO237" s="90">
        <v>0</v>
      </c>
      <c r="AP237" s="90" t="s">
        <v>79</v>
      </c>
      <c r="AQ237" s="30">
        <v>39.200000000000003</v>
      </c>
    </row>
    <row r="238" spans="1:43" ht="15" customHeight="1" outlineLevel="1" x14ac:dyDescent="0.3">
      <c r="A238" s="101" t="s">
        <v>663</v>
      </c>
      <c r="B238" s="90" t="s">
        <v>130</v>
      </c>
      <c r="C238" s="91">
        <v>44197</v>
      </c>
      <c r="D238" s="91">
        <v>45273</v>
      </c>
      <c r="E238" s="92">
        <v>1</v>
      </c>
      <c r="F238" s="90" t="s">
        <v>276</v>
      </c>
      <c r="G238" s="90"/>
      <c r="H238" s="90"/>
      <c r="I238" s="90">
        <v>0</v>
      </c>
      <c r="J238" s="91">
        <v>45439</v>
      </c>
      <c r="K238" s="90" t="s">
        <v>131</v>
      </c>
      <c r="L238" s="90" t="s">
        <v>125</v>
      </c>
      <c r="M238" s="90"/>
      <c r="N238" s="90" t="s">
        <v>126</v>
      </c>
      <c r="O238" s="90" t="s">
        <v>175</v>
      </c>
      <c r="P238" s="90" t="s">
        <v>596</v>
      </c>
      <c r="Q238" s="90" t="s">
        <v>130</v>
      </c>
      <c r="R238" s="92">
        <v>3</v>
      </c>
      <c r="S238" s="30">
        <v>51</v>
      </c>
      <c r="T238" s="91">
        <v>45470</v>
      </c>
      <c r="U238" s="90" t="s">
        <v>602</v>
      </c>
      <c r="V238" s="91"/>
      <c r="W238" s="90"/>
      <c r="X238" s="92">
        <v>45</v>
      </c>
      <c r="Y238" s="30"/>
      <c r="Z238" s="30">
        <v>7927.1329999999998</v>
      </c>
      <c r="AA238" s="30">
        <v>4864</v>
      </c>
      <c r="AB238" s="91">
        <v>45273</v>
      </c>
      <c r="AC238" s="91">
        <v>45725</v>
      </c>
      <c r="AD238" s="91">
        <v>46034</v>
      </c>
      <c r="AE238" s="90" t="s">
        <v>295</v>
      </c>
      <c r="AF238" s="90" t="s">
        <v>287</v>
      </c>
      <c r="AG238" s="30"/>
      <c r="AH238" s="90">
        <v>0</v>
      </c>
      <c r="AI238" s="90">
        <v>1</v>
      </c>
      <c r="AJ238" s="90">
        <v>0</v>
      </c>
      <c r="AK238" s="92">
        <v>2024</v>
      </c>
      <c r="AL238" s="90" t="s">
        <v>213</v>
      </c>
      <c r="AM238" s="92">
        <v>166</v>
      </c>
      <c r="AN238" s="90" t="s">
        <v>158</v>
      </c>
      <c r="AO238" s="90">
        <v>0</v>
      </c>
      <c r="AP238" s="90" t="s">
        <v>79</v>
      </c>
      <c r="AQ238" s="30">
        <v>40.9</v>
      </c>
    </row>
    <row r="239" spans="1:43" ht="15" customHeight="1" x14ac:dyDescent="0.3">
      <c r="A239" s="101" t="s">
        <v>663</v>
      </c>
      <c r="B239" s="90" t="s">
        <v>130</v>
      </c>
      <c r="C239" s="91">
        <v>44197</v>
      </c>
      <c r="D239" s="91">
        <v>45273</v>
      </c>
      <c r="E239" s="92">
        <v>1</v>
      </c>
      <c r="F239" s="90" t="s">
        <v>276</v>
      </c>
      <c r="G239" s="90"/>
      <c r="H239" s="90"/>
      <c r="I239" s="90">
        <v>0</v>
      </c>
      <c r="J239" s="91">
        <v>45481</v>
      </c>
      <c r="K239" s="90" t="s">
        <v>131</v>
      </c>
      <c r="L239" s="90" t="s">
        <v>125</v>
      </c>
      <c r="M239" s="90"/>
      <c r="N239" s="90" t="s">
        <v>126</v>
      </c>
      <c r="O239" s="90" t="s">
        <v>175</v>
      </c>
      <c r="P239" s="90" t="s">
        <v>596</v>
      </c>
      <c r="Q239" s="90" t="s">
        <v>130</v>
      </c>
      <c r="R239" s="92">
        <v>4</v>
      </c>
      <c r="S239" s="30">
        <v>42</v>
      </c>
      <c r="T239" s="91">
        <v>45512</v>
      </c>
      <c r="U239" s="90" t="s">
        <v>582</v>
      </c>
      <c r="V239" s="91"/>
      <c r="W239" s="90"/>
      <c r="X239" s="92">
        <v>45</v>
      </c>
      <c r="Y239" s="30"/>
      <c r="Z239" s="30">
        <v>7927.1329999999998</v>
      </c>
      <c r="AA239" s="30">
        <v>4864</v>
      </c>
      <c r="AB239" s="91">
        <v>45273</v>
      </c>
      <c r="AC239" s="91">
        <v>45725</v>
      </c>
      <c r="AD239" s="91">
        <v>46034</v>
      </c>
      <c r="AE239" s="90" t="s">
        <v>295</v>
      </c>
      <c r="AF239" s="90" t="s">
        <v>287</v>
      </c>
      <c r="AG239" s="30"/>
      <c r="AH239" s="90">
        <v>1</v>
      </c>
      <c r="AI239" s="90">
        <v>1</v>
      </c>
      <c r="AJ239" s="90">
        <v>0</v>
      </c>
      <c r="AK239" s="92">
        <v>2024</v>
      </c>
      <c r="AL239" s="90" t="s">
        <v>215</v>
      </c>
      <c r="AM239" s="92">
        <v>208</v>
      </c>
      <c r="AN239" s="90" t="s">
        <v>163</v>
      </c>
      <c r="AO239" s="90">
        <v>0</v>
      </c>
      <c r="AP239" s="90" t="s">
        <v>79</v>
      </c>
      <c r="AQ239" s="30">
        <v>42.2</v>
      </c>
    </row>
    <row r="240" spans="1:43" ht="15" customHeight="1" outlineLevel="1" x14ac:dyDescent="0.3">
      <c r="A240" s="101" t="s">
        <v>663</v>
      </c>
      <c r="B240" s="90" t="s">
        <v>130</v>
      </c>
      <c r="C240" s="91">
        <v>44197</v>
      </c>
      <c r="D240" s="91">
        <v>45766</v>
      </c>
      <c r="E240" s="92">
        <v>2</v>
      </c>
      <c r="F240" s="90" t="s">
        <v>275</v>
      </c>
      <c r="G240" s="90"/>
      <c r="H240" s="90"/>
      <c r="I240" s="90">
        <v>0</v>
      </c>
      <c r="J240" s="91">
        <v>45850</v>
      </c>
      <c r="K240" s="90" t="s">
        <v>131</v>
      </c>
      <c r="L240" s="90" t="s">
        <v>125</v>
      </c>
      <c r="M240" s="90"/>
      <c r="N240" s="90" t="s">
        <v>126</v>
      </c>
      <c r="O240" s="90">
        <v>-867</v>
      </c>
      <c r="P240" s="90" t="s">
        <v>596</v>
      </c>
      <c r="Q240" s="90" t="s">
        <v>130</v>
      </c>
      <c r="R240" s="92">
        <v>1</v>
      </c>
      <c r="S240" s="30"/>
      <c r="T240" s="91">
        <v>45877</v>
      </c>
      <c r="U240" s="90" t="s">
        <v>582</v>
      </c>
      <c r="V240" s="91">
        <v>45923</v>
      </c>
      <c r="W240" s="90" t="s">
        <v>569</v>
      </c>
      <c r="X240" s="92">
        <v>45</v>
      </c>
      <c r="Y240" s="30"/>
      <c r="Z240" s="30">
        <v>6643</v>
      </c>
      <c r="AA240" s="30">
        <v>4864</v>
      </c>
      <c r="AB240" s="91">
        <v>45273</v>
      </c>
      <c r="AC240" s="91">
        <v>45725</v>
      </c>
      <c r="AD240" s="91">
        <v>46034</v>
      </c>
      <c r="AE240" s="90" t="s">
        <v>295</v>
      </c>
      <c r="AF240" s="90" t="s">
        <v>287</v>
      </c>
      <c r="AG240" s="30"/>
      <c r="AH240" s="90">
        <v>1</v>
      </c>
      <c r="AI240" s="90">
        <v>1</v>
      </c>
      <c r="AJ240" s="90">
        <v>1</v>
      </c>
      <c r="AK240" s="92">
        <v>2025</v>
      </c>
      <c r="AL240" s="90" t="s">
        <v>226</v>
      </c>
      <c r="AM240" s="92">
        <v>84</v>
      </c>
      <c r="AN240" s="90" t="s">
        <v>140</v>
      </c>
      <c r="AO240" s="90">
        <v>0</v>
      </c>
      <c r="AP240" s="90" t="s">
        <v>79</v>
      </c>
      <c r="AQ240" s="30">
        <v>54.4</v>
      </c>
    </row>
    <row r="241" spans="1:43" ht="15" customHeight="1" outlineLevel="1" x14ac:dyDescent="0.3">
      <c r="A241" s="101" t="s">
        <v>663</v>
      </c>
      <c r="B241" s="90" t="s">
        <v>130</v>
      </c>
      <c r="C241" s="91">
        <v>44197</v>
      </c>
      <c r="D241" s="91">
        <v>45766</v>
      </c>
      <c r="E241" s="92">
        <v>2</v>
      </c>
      <c r="F241" s="90" t="s">
        <v>275</v>
      </c>
      <c r="G241" s="90"/>
      <c r="H241" s="90"/>
      <c r="I241" s="90">
        <v>0</v>
      </c>
      <c r="J241" s="91">
        <v>45934</v>
      </c>
      <c r="K241" s="90" t="s">
        <v>131</v>
      </c>
      <c r="L241" s="90" t="s">
        <v>125</v>
      </c>
      <c r="M241" s="90"/>
      <c r="N241" s="90" t="s">
        <v>133</v>
      </c>
      <c r="O241" s="90" t="s">
        <v>139</v>
      </c>
      <c r="P241" s="90" t="s">
        <v>596</v>
      </c>
      <c r="Q241" s="90" t="s">
        <v>130</v>
      </c>
      <c r="R241" s="92">
        <v>2</v>
      </c>
      <c r="S241" s="30">
        <v>84</v>
      </c>
      <c r="T241" s="91">
        <v>45968</v>
      </c>
      <c r="U241" s="90" t="s">
        <v>582</v>
      </c>
      <c r="V241" s="91"/>
      <c r="W241" s="90"/>
      <c r="X241" s="92">
        <v>45</v>
      </c>
      <c r="Y241" s="30"/>
      <c r="Z241" s="30">
        <v>6643</v>
      </c>
      <c r="AA241" s="30">
        <v>4864</v>
      </c>
      <c r="AB241" s="91">
        <v>45273</v>
      </c>
      <c r="AC241" s="91">
        <v>45725</v>
      </c>
      <c r="AD241" s="91">
        <v>46034</v>
      </c>
      <c r="AE241" s="90" t="s">
        <v>295</v>
      </c>
      <c r="AF241" s="90" t="s">
        <v>287</v>
      </c>
      <c r="AG241" s="30"/>
      <c r="AH241" s="90">
        <v>1</v>
      </c>
      <c r="AI241" s="90">
        <v>1</v>
      </c>
      <c r="AJ241" s="90">
        <v>0</v>
      </c>
      <c r="AK241" s="92">
        <v>2025</v>
      </c>
      <c r="AL241" s="90" t="s">
        <v>229</v>
      </c>
      <c r="AM241" s="92">
        <v>168</v>
      </c>
      <c r="AN241" s="90" t="s">
        <v>158</v>
      </c>
      <c r="AO241" s="90">
        <v>1</v>
      </c>
      <c r="AP241" s="90" t="s">
        <v>79</v>
      </c>
      <c r="AQ241" s="30">
        <v>57.1</v>
      </c>
    </row>
    <row r="242" spans="1:43" ht="15" customHeight="1" outlineLevel="1" x14ac:dyDescent="0.3">
      <c r="A242" s="101" t="s">
        <v>664</v>
      </c>
      <c r="B242" s="90" t="s">
        <v>130</v>
      </c>
      <c r="C242" s="91">
        <v>44197</v>
      </c>
      <c r="D242" s="91"/>
      <c r="E242" s="92">
        <v>0</v>
      </c>
      <c r="F242" s="90"/>
      <c r="G242" s="90"/>
      <c r="H242" s="90"/>
      <c r="I242" s="90"/>
      <c r="J242" s="91">
        <v>44956</v>
      </c>
      <c r="K242" s="90" t="s">
        <v>124</v>
      </c>
      <c r="L242" s="90" t="s">
        <v>125</v>
      </c>
      <c r="M242" s="90"/>
      <c r="N242" s="90"/>
      <c r="O242" s="90" t="s">
        <v>186</v>
      </c>
      <c r="P242" s="90"/>
      <c r="Q242" s="90" t="s">
        <v>130</v>
      </c>
      <c r="R242" s="92">
        <v>1</v>
      </c>
      <c r="S242" s="30"/>
      <c r="T242" s="91">
        <v>44985</v>
      </c>
      <c r="U242" s="90" t="s">
        <v>582</v>
      </c>
      <c r="V242" s="91"/>
      <c r="W242" s="90"/>
      <c r="X242" s="92">
        <v>45</v>
      </c>
      <c r="Y242" s="30"/>
      <c r="Z242" s="30"/>
      <c r="AA242" s="30">
        <v>0</v>
      </c>
      <c r="AB242" s="91">
        <v>45214</v>
      </c>
      <c r="AC242" s="91">
        <v>45231</v>
      </c>
      <c r="AD242" s="91">
        <v>45995</v>
      </c>
      <c r="AE242" s="90" t="s">
        <v>296</v>
      </c>
      <c r="AF242" s="90" t="s">
        <v>288</v>
      </c>
      <c r="AG242" s="30"/>
      <c r="AH242" s="90">
        <v>1</v>
      </c>
      <c r="AI242" s="90">
        <v>1</v>
      </c>
      <c r="AJ242" s="90">
        <v>0</v>
      </c>
      <c r="AK242" s="92">
        <v>2023</v>
      </c>
      <c r="AL242" s="90" t="s">
        <v>196</v>
      </c>
      <c r="AM242" s="92"/>
      <c r="AN242" s="90"/>
      <c r="AO242" s="90">
        <v>1</v>
      </c>
      <c r="AP242" s="90" t="s">
        <v>80</v>
      </c>
      <c r="AQ242" s="30">
        <v>25</v>
      </c>
    </row>
    <row r="243" spans="1:43" ht="15" customHeight="1" outlineLevel="1" x14ac:dyDescent="0.3">
      <c r="A243" s="101" t="s">
        <v>665</v>
      </c>
      <c r="B243" s="90" t="s">
        <v>130</v>
      </c>
      <c r="C243" s="91">
        <v>44197</v>
      </c>
      <c r="D243" s="91"/>
      <c r="E243" s="92">
        <v>0</v>
      </c>
      <c r="F243" s="90"/>
      <c r="G243" s="90"/>
      <c r="H243" s="90"/>
      <c r="I243" s="90"/>
      <c r="J243" s="91">
        <v>44925</v>
      </c>
      <c r="K243" s="90" t="s">
        <v>124</v>
      </c>
      <c r="L243" s="90" t="s">
        <v>125</v>
      </c>
      <c r="M243" s="90"/>
      <c r="N243" s="90"/>
      <c r="O243" s="90" t="s">
        <v>186</v>
      </c>
      <c r="P243" s="90"/>
      <c r="Q243" s="90" t="s">
        <v>130</v>
      </c>
      <c r="R243" s="92">
        <v>1</v>
      </c>
      <c r="S243" s="30"/>
      <c r="T243" s="91">
        <v>44956</v>
      </c>
      <c r="U243" s="90" t="s">
        <v>582</v>
      </c>
      <c r="V243" s="91"/>
      <c r="W243" s="90"/>
      <c r="X243" s="92">
        <v>45</v>
      </c>
      <c r="Y243" s="30"/>
      <c r="Z243" s="30"/>
      <c r="AA243" s="30">
        <v>5079</v>
      </c>
      <c r="AB243" s="91">
        <v>45216</v>
      </c>
      <c r="AC243" s="91">
        <v>45627</v>
      </c>
      <c r="AD243" s="91">
        <v>46034</v>
      </c>
      <c r="AE243" s="90" t="s">
        <v>295</v>
      </c>
      <c r="AF243" s="90" t="s">
        <v>287</v>
      </c>
      <c r="AG243" s="30"/>
      <c r="AH243" s="90">
        <v>1</v>
      </c>
      <c r="AI243" s="90">
        <v>1</v>
      </c>
      <c r="AJ243" s="90">
        <v>0</v>
      </c>
      <c r="AK243" s="92">
        <v>2022</v>
      </c>
      <c r="AL243" s="90" t="s">
        <v>194</v>
      </c>
      <c r="AM243" s="92"/>
      <c r="AN243" s="90"/>
      <c r="AO243" s="90">
        <v>0</v>
      </c>
      <c r="AP243" s="90" t="s">
        <v>80</v>
      </c>
      <c r="AQ243" s="30">
        <v>23.9</v>
      </c>
    </row>
    <row r="244" spans="1:43" ht="15" customHeight="1" outlineLevel="1" x14ac:dyDescent="0.3">
      <c r="A244" s="101" t="s">
        <v>665</v>
      </c>
      <c r="B244" s="90" t="s">
        <v>130</v>
      </c>
      <c r="C244" s="91">
        <v>44197</v>
      </c>
      <c r="D244" s="91">
        <v>45216</v>
      </c>
      <c r="E244" s="92">
        <v>1</v>
      </c>
      <c r="F244" s="90" t="s">
        <v>276</v>
      </c>
      <c r="G244" s="90"/>
      <c r="H244" s="90"/>
      <c r="I244" s="90">
        <v>0</v>
      </c>
      <c r="J244" s="91">
        <v>45282</v>
      </c>
      <c r="K244" s="90" t="s">
        <v>131</v>
      </c>
      <c r="L244" s="90" t="s">
        <v>125</v>
      </c>
      <c r="M244" s="90"/>
      <c r="N244" s="90" t="s">
        <v>126</v>
      </c>
      <c r="O244" s="90" t="s">
        <v>180</v>
      </c>
      <c r="P244" s="90" t="s">
        <v>596</v>
      </c>
      <c r="Q244" s="90" t="s">
        <v>130</v>
      </c>
      <c r="R244" s="92">
        <v>1</v>
      </c>
      <c r="S244" s="30"/>
      <c r="T244" s="91">
        <v>45330</v>
      </c>
      <c r="U244" s="90" t="s">
        <v>602</v>
      </c>
      <c r="V244" s="91"/>
      <c r="W244" s="90"/>
      <c r="X244" s="92">
        <v>45</v>
      </c>
      <c r="Y244" s="30"/>
      <c r="Z244" s="30">
        <v>7664.2349999999997</v>
      </c>
      <c r="AA244" s="30">
        <v>5079</v>
      </c>
      <c r="AB244" s="91">
        <v>45216</v>
      </c>
      <c r="AC244" s="91">
        <v>45627</v>
      </c>
      <c r="AD244" s="91">
        <v>46034</v>
      </c>
      <c r="AE244" s="90" t="s">
        <v>295</v>
      </c>
      <c r="AF244" s="90" t="s">
        <v>287</v>
      </c>
      <c r="AG244" s="30"/>
      <c r="AH244" s="90">
        <v>0</v>
      </c>
      <c r="AI244" s="90">
        <v>1</v>
      </c>
      <c r="AJ244" s="90">
        <v>0</v>
      </c>
      <c r="AK244" s="92">
        <v>2023</v>
      </c>
      <c r="AL244" s="90" t="s">
        <v>208</v>
      </c>
      <c r="AM244" s="92">
        <v>66</v>
      </c>
      <c r="AN244" s="90" t="s">
        <v>140</v>
      </c>
      <c r="AO244" s="90">
        <v>0</v>
      </c>
      <c r="AP244" s="90" t="s">
        <v>79</v>
      </c>
      <c r="AQ244" s="30">
        <v>35.700000000000003</v>
      </c>
    </row>
    <row r="245" spans="1:43" ht="15" customHeight="1" outlineLevel="1" x14ac:dyDescent="0.3">
      <c r="A245" s="101" t="s">
        <v>665</v>
      </c>
      <c r="B245" s="90" t="s">
        <v>130</v>
      </c>
      <c r="C245" s="91">
        <v>44197</v>
      </c>
      <c r="D245" s="91">
        <v>45216</v>
      </c>
      <c r="E245" s="92">
        <v>1</v>
      </c>
      <c r="F245" s="90" t="s">
        <v>276</v>
      </c>
      <c r="G245" s="90"/>
      <c r="H245" s="90"/>
      <c r="I245" s="90">
        <v>0</v>
      </c>
      <c r="J245" s="91">
        <v>45341</v>
      </c>
      <c r="K245" s="90" t="s">
        <v>131</v>
      </c>
      <c r="L245" s="90" t="s">
        <v>125</v>
      </c>
      <c r="M245" s="90"/>
      <c r="N245" s="90" t="s">
        <v>126</v>
      </c>
      <c r="O245" s="90" t="s">
        <v>175</v>
      </c>
      <c r="P245" s="90" t="s">
        <v>596</v>
      </c>
      <c r="Q245" s="90" t="s">
        <v>130</v>
      </c>
      <c r="R245" s="92">
        <v>2</v>
      </c>
      <c r="S245" s="30">
        <v>59</v>
      </c>
      <c r="T245" s="91">
        <v>45377</v>
      </c>
      <c r="U245" s="90" t="s">
        <v>602</v>
      </c>
      <c r="V245" s="91"/>
      <c r="W245" s="90"/>
      <c r="X245" s="92">
        <v>45</v>
      </c>
      <c r="Y245" s="30"/>
      <c r="Z245" s="30">
        <v>7664.2349999999997</v>
      </c>
      <c r="AA245" s="30">
        <v>5079</v>
      </c>
      <c r="AB245" s="91">
        <v>45216</v>
      </c>
      <c r="AC245" s="91">
        <v>45627</v>
      </c>
      <c r="AD245" s="91">
        <v>46034</v>
      </c>
      <c r="AE245" s="90" t="s">
        <v>295</v>
      </c>
      <c r="AF245" s="90" t="s">
        <v>287</v>
      </c>
      <c r="AG245" s="30"/>
      <c r="AH245" s="90">
        <v>0</v>
      </c>
      <c r="AI245" s="90">
        <v>1</v>
      </c>
      <c r="AJ245" s="90">
        <v>0</v>
      </c>
      <c r="AK245" s="92">
        <v>2024</v>
      </c>
      <c r="AL245" s="90" t="s">
        <v>210</v>
      </c>
      <c r="AM245" s="92">
        <v>125</v>
      </c>
      <c r="AN245" s="90" t="s">
        <v>150</v>
      </c>
      <c r="AO245" s="90">
        <v>0</v>
      </c>
      <c r="AP245" s="90" t="s">
        <v>79</v>
      </c>
      <c r="AQ245" s="30">
        <v>37.6</v>
      </c>
    </row>
    <row r="246" spans="1:43" ht="15" customHeight="1" outlineLevel="1" x14ac:dyDescent="0.3">
      <c r="A246" s="101" t="s">
        <v>665</v>
      </c>
      <c r="B246" s="90" t="s">
        <v>130</v>
      </c>
      <c r="C246" s="91">
        <v>44197</v>
      </c>
      <c r="D246" s="91">
        <v>45216</v>
      </c>
      <c r="E246" s="92">
        <v>1</v>
      </c>
      <c r="F246" s="90" t="s">
        <v>276</v>
      </c>
      <c r="G246" s="90"/>
      <c r="H246" s="90"/>
      <c r="I246" s="90">
        <v>0</v>
      </c>
      <c r="J246" s="91">
        <v>45388</v>
      </c>
      <c r="K246" s="90" t="s">
        <v>131</v>
      </c>
      <c r="L246" s="90" t="s">
        <v>125</v>
      </c>
      <c r="M246" s="90"/>
      <c r="N246" s="90" t="s">
        <v>126</v>
      </c>
      <c r="O246" s="90" t="s">
        <v>175</v>
      </c>
      <c r="P246" s="90" t="s">
        <v>596</v>
      </c>
      <c r="Q246" s="90" t="s">
        <v>130</v>
      </c>
      <c r="R246" s="92">
        <v>3</v>
      </c>
      <c r="S246" s="30">
        <v>47</v>
      </c>
      <c r="T246" s="91">
        <v>45428</v>
      </c>
      <c r="U246" s="90" t="s">
        <v>582</v>
      </c>
      <c r="V246" s="91"/>
      <c r="W246" s="90"/>
      <c r="X246" s="92">
        <v>45</v>
      </c>
      <c r="Y246" s="30"/>
      <c r="Z246" s="30">
        <v>7664.2349999999997</v>
      </c>
      <c r="AA246" s="30">
        <v>5079</v>
      </c>
      <c r="AB246" s="91">
        <v>45216</v>
      </c>
      <c r="AC246" s="91">
        <v>45627</v>
      </c>
      <c r="AD246" s="91">
        <v>46034</v>
      </c>
      <c r="AE246" s="90" t="s">
        <v>295</v>
      </c>
      <c r="AF246" s="90" t="s">
        <v>287</v>
      </c>
      <c r="AG246" s="30"/>
      <c r="AH246" s="90">
        <v>1</v>
      </c>
      <c r="AI246" s="90">
        <v>1</v>
      </c>
      <c r="AJ246" s="90">
        <v>0</v>
      </c>
      <c r="AK246" s="92">
        <v>2024</v>
      </c>
      <c r="AL246" s="90" t="s">
        <v>212</v>
      </c>
      <c r="AM246" s="92">
        <v>172</v>
      </c>
      <c r="AN246" s="90" t="s">
        <v>160</v>
      </c>
      <c r="AO246" s="90">
        <v>0</v>
      </c>
      <c r="AP246" s="90" t="s">
        <v>79</v>
      </c>
      <c r="AQ246" s="30">
        <v>39.200000000000003</v>
      </c>
    </row>
    <row r="247" spans="1:43" ht="15" customHeight="1" outlineLevel="1" x14ac:dyDescent="0.3">
      <c r="A247" s="101" t="s">
        <v>665</v>
      </c>
      <c r="B247" s="90" t="s">
        <v>130</v>
      </c>
      <c r="C247" s="91">
        <v>44197</v>
      </c>
      <c r="D247" s="91">
        <v>45662</v>
      </c>
      <c r="E247" s="92">
        <v>2</v>
      </c>
      <c r="F247" s="90" t="s">
        <v>276</v>
      </c>
      <c r="G247" s="90"/>
      <c r="H247" s="90"/>
      <c r="I247" s="90">
        <v>0</v>
      </c>
      <c r="J247" s="91">
        <v>45711</v>
      </c>
      <c r="K247" s="90" t="s">
        <v>131</v>
      </c>
      <c r="L247" s="90" t="s">
        <v>125</v>
      </c>
      <c r="M247" s="90"/>
      <c r="N247" s="90" t="s">
        <v>126</v>
      </c>
      <c r="O247" s="90">
        <v>-53431</v>
      </c>
      <c r="P247" s="90" t="s">
        <v>596</v>
      </c>
      <c r="Q247" s="90" t="s">
        <v>130</v>
      </c>
      <c r="R247" s="92">
        <v>1</v>
      </c>
      <c r="S247" s="30"/>
      <c r="T247" s="91">
        <v>45792</v>
      </c>
      <c r="U247" s="90" t="s">
        <v>602</v>
      </c>
      <c r="V247" s="91"/>
      <c r="W247" s="90"/>
      <c r="X247" s="92">
        <v>45</v>
      </c>
      <c r="Y247" s="30"/>
      <c r="Z247" s="30">
        <v>7201.174</v>
      </c>
      <c r="AA247" s="30">
        <v>5079</v>
      </c>
      <c r="AB247" s="91">
        <v>45216</v>
      </c>
      <c r="AC247" s="91">
        <v>45627</v>
      </c>
      <c r="AD247" s="91">
        <v>46034</v>
      </c>
      <c r="AE247" s="90" t="s">
        <v>295</v>
      </c>
      <c r="AF247" s="90" t="s">
        <v>287</v>
      </c>
      <c r="AG247" s="30"/>
      <c r="AH247" s="90">
        <v>0</v>
      </c>
      <c r="AI247" s="90">
        <v>1</v>
      </c>
      <c r="AJ247" s="90">
        <v>0</v>
      </c>
      <c r="AK247" s="92">
        <v>2025</v>
      </c>
      <c r="AL247" s="90" t="s">
        <v>222</v>
      </c>
      <c r="AM247" s="92">
        <v>49</v>
      </c>
      <c r="AN247" s="90" t="s">
        <v>135</v>
      </c>
      <c r="AO247" s="90">
        <v>0</v>
      </c>
      <c r="AP247" s="90" t="s">
        <v>79</v>
      </c>
      <c r="AQ247" s="30">
        <v>49.8</v>
      </c>
    </row>
    <row r="248" spans="1:43" ht="15" customHeight="1" outlineLevel="1" x14ac:dyDescent="0.3">
      <c r="A248" s="101" t="s">
        <v>665</v>
      </c>
      <c r="B248" s="90" t="s">
        <v>130</v>
      </c>
      <c r="C248" s="91">
        <v>44197</v>
      </c>
      <c r="D248" s="91">
        <v>45662</v>
      </c>
      <c r="E248" s="92">
        <v>2</v>
      </c>
      <c r="F248" s="90" t="s">
        <v>276</v>
      </c>
      <c r="G248" s="90"/>
      <c r="H248" s="90"/>
      <c r="I248" s="90">
        <v>0</v>
      </c>
      <c r="J248" s="91">
        <v>45803</v>
      </c>
      <c r="K248" s="90" t="s">
        <v>131</v>
      </c>
      <c r="L248" s="90" t="s">
        <v>125</v>
      </c>
      <c r="M248" s="90"/>
      <c r="N248" s="90" t="s">
        <v>126</v>
      </c>
      <c r="O248" s="90">
        <v>-53431</v>
      </c>
      <c r="P248" s="90" t="s">
        <v>596</v>
      </c>
      <c r="Q248" s="90" t="s">
        <v>130</v>
      </c>
      <c r="R248" s="92">
        <v>2</v>
      </c>
      <c r="S248" s="30">
        <v>92</v>
      </c>
      <c r="T248" s="91">
        <v>45839</v>
      </c>
      <c r="U248" s="90" t="s">
        <v>602</v>
      </c>
      <c r="V248" s="91"/>
      <c r="W248" s="90"/>
      <c r="X248" s="92">
        <v>45</v>
      </c>
      <c r="Y248" s="30"/>
      <c r="Z248" s="30">
        <v>7201.174</v>
      </c>
      <c r="AA248" s="30">
        <v>5079</v>
      </c>
      <c r="AB248" s="91">
        <v>45216</v>
      </c>
      <c r="AC248" s="91">
        <v>45627</v>
      </c>
      <c r="AD248" s="91">
        <v>46034</v>
      </c>
      <c r="AE248" s="90" t="s">
        <v>295</v>
      </c>
      <c r="AF248" s="90" t="s">
        <v>287</v>
      </c>
      <c r="AG248" s="30"/>
      <c r="AH248" s="90">
        <v>0</v>
      </c>
      <c r="AI248" s="90">
        <v>1</v>
      </c>
      <c r="AJ248" s="90">
        <v>0</v>
      </c>
      <c r="AK248" s="92">
        <v>2025</v>
      </c>
      <c r="AL248" s="90" t="s">
        <v>225</v>
      </c>
      <c r="AM248" s="92">
        <v>141</v>
      </c>
      <c r="AN248" s="90" t="s">
        <v>155</v>
      </c>
      <c r="AO248" s="90">
        <v>0</v>
      </c>
      <c r="AP248" s="90" t="s">
        <v>79</v>
      </c>
      <c r="AQ248" s="30">
        <v>52.8</v>
      </c>
    </row>
    <row r="249" spans="1:43" ht="15" customHeight="1" outlineLevel="1" x14ac:dyDescent="0.3">
      <c r="A249" s="101" t="s">
        <v>665</v>
      </c>
      <c r="B249" s="90" t="s">
        <v>130</v>
      </c>
      <c r="C249" s="91">
        <v>44197</v>
      </c>
      <c r="D249" s="91">
        <v>45662</v>
      </c>
      <c r="E249" s="92">
        <v>2</v>
      </c>
      <c r="F249" s="90" t="s">
        <v>276</v>
      </c>
      <c r="G249" s="90"/>
      <c r="H249" s="90"/>
      <c r="I249" s="90">
        <v>0</v>
      </c>
      <c r="J249" s="91">
        <v>45850</v>
      </c>
      <c r="K249" s="90" t="s">
        <v>131</v>
      </c>
      <c r="L249" s="90" t="s">
        <v>125</v>
      </c>
      <c r="M249" s="90"/>
      <c r="N249" s="90" t="s">
        <v>126</v>
      </c>
      <c r="O249" s="90">
        <v>-867</v>
      </c>
      <c r="P249" s="90" t="s">
        <v>596</v>
      </c>
      <c r="Q249" s="90" t="s">
        <v>130</v>
      </c>
      <c r="R249" s="92">
        <v>3</v>
      </c>
      <c r="S249" s="30">
        <v>47</v>
      </c>
      <c r="T249" s="91">
        <v>45877</v>
      </c>
      <c r="U249" s="90" t="s">
        <v>602</v>
      </c>
      <c r="V249" s="91"/>
      <c r="W249" s="90"/>
      <c r="X249" s="92">
        <v>45</v>
      </c>
      <c r="Y249" s="30"/>
      <c r="Z249" s="30">
        <v>7201.174</v>
      </c>
      <c r="AA249" s="30">
        <v>5079</v>
      </c>
      <c r="AB249" s="91">
        <v>45216</v>
      </c>
      <c r="AC249" s="91">
        <v>45627</v>
      </c>
      <c r="AD249" s="91">
        <v>46034</v>
      </c>
      <c r="AE249" s="90" t="s">
        <v>295</v>
      </c>
      <c r="AF249" s="90" t="s">
        <v>287</v>
      </c>
      <c r="AG249" s="30"/>
      <c r="AH249" s="90">
        <v>0</v>
      </c>
      <c r="AI249" s="90">
        <v>1</v>
      </c>
      <c r="AJ249" s="90">
        <v>0</v>
      </c>
      <c r="AK249" s="92">
        <v>2025</v>
      </c>
      <c r="AL249" s="90" t="s">
        <v>226</v>
      </c>
      <c r="AM249" s="92">
        <v>188</v>
      </c>
      <c r="AN249" s="90" t="s">
        <v>160</v>
      </c>
      <c r="AO249" s="90">
        <v>0</v>
      </c>
      <c r="AP249" s="90" t="s">
        <v>79</v>
      </c>
      <c r="AQ249" s="30">
        <v>54.4</v>
      </c>
    </row>
    <row r="250" spans="1:43" ht="15" customHeight="1" x14ac:dyDescent="0.3">
      <c r="A250" s="101" t="s">
        <v>665</v>
      </c>
      <c r="B250" s="90" t="s">
        <v>130</v>
      </c>
      <c r="C250" s="91">
        <v>44197</v>
      </c>
      <c r="D250" s="91">
        <v>45662</v>
      </c>
      <c r="E250" s="92">
        <v>2</v>
      </c>
      <c r="F250" s="90" t="s">
        <v>276</v>
      </c>
      <c r="G250" s="90"/>
      <c r="H250" s="90"/>
      <c r="I250" s="90">
        <v>0</v>
      </c>
      <c r="J250" s="91">
        <v>45888</v>
      </c>
      <c r="K250" s="90" t="s">
        <v>131</v>
      </c>
      <c r="L250" s="90" t="s">
        <v>125</v>
      </c>
      <c r="M250" s="90"/>
      <c r="N250" s="90" t="s">
        <v>133</v>
      </c>
      <c r="O250" s="90">
        <v>-867</v>
      </c>
      <c r="P250" s="90" t="s">
        <v>596</v>
      </c>
      <c r="Q250" s="90" t="s">
        <v>130</v>
      </c>
      <c r="R250" s="92">
        <v>4</v>
      </c>
      <c r="S250" s="30">
        <v>38</v>
      </c>
      <c r="T250" s="91">
        <v>45923</v>
      </c>
      <c r="U250" s="90" t="s">
        <v>602</v>
      </c>
      <c r="V250" s="91"/>
      <c r="W250" s="90"/>
      <c r="X250" s="92">
        <v>45</v>
      </c>
      <c r="Y250" s="30"/>
      <c r="Z250" s="30">
        <v>7201.174</v>
      </c>
      <c r="AA250" s="30">
        <v>5079</v>
      </c>
      <c r="AB250" s="91">
        <v>45216</v>
      </c>
      <c r="AC250" s="91">
        <v>45627</v>
      </c>
      <c r="AD250" s="91">
        <v>46034</v>
      </c>
      <c r="AE250" s="90" t="s">
        <v>295</v>
      </c>
      <c r="AF250" s="90" t="s">
        <v>287</v>
      </c>
      <c r="AG250" s="30"/>
      <c r="AH250" s="90">
        <v>0</v>
      </c>
      <c r="AI250" s="90">
        <v>1</v>
      </c>
      <c r="AJ250" s="90">
        <v>0</v>
      </c>
      <c r="AK250" s="92">
        <v>2025</v>
      </c>
      <c r="AL250" s="90" t="s">
        <v>227</v>
      </c>
      <c r="AM250" s="92">
        <v>226</v>
      </c>
      <c r="AN250" s="90" t="s">
        <v>172</v>
      </c>
      <c r="AO250" s="90">
        <v>0</v>
      </c>
      <c r="AP250" s="90" t="s">
        <v>79</v>
      </c>
      <c r="AQ250" s="30">
        <v>55.6</v>
      </c>
    </row>
    <row r="251" spans="1:43" ht="15" customHeight="1" x14ac:dyDescent="0.3">
      <c r="A251" s="101" t="s">
        <v>665</v>
      </c>
      <c r="B251" s="90" t="s">
        <v>130</v>
      </c>
      <c r="C251" s="91">
        <v>44197</v>
      </c>
      <c r="D251" s="91">
        <v>45662</v>
      </c>
      <c r="E251" s="92">
        <v>2</v>
      </c>
      <c r="F251" s="90" t="s">
        <v>276</v>
      </c>
      <c r="G251" s="90"/>
      <c r="H251" s="90"/>
      <c r="I251" s="90">
        <v>0</v>
      </c>
      <c r="J251" s="91">
        <v>45934</v>
      </c>
      <c r="K251" s="90" t="s">
        <v>131</v>
      </c>
      <c r="L251" s="90" t="s">
        <v>125</v>
      </c>
      <c r="M251" s="90"/>
      <c r="N251" s="90" t="s">
        <v>133</v>
      </c>
      <c r="O251" s="90" t="s">
        <v>139</v>
      </c>
      <c r="P251" s="90" t="s">
        <v>596</v>
      </c>
      <c r="Q251" s="90" t="s">
        <v>130</v>
      </c>
      <c r="R251" s="92">
        <v>5</v>
      </c>
      <c r="S251" s="30">
        <v>46</v>
      </c>
      <c r="T251" s="91">
        <v>45968</v>
      </c>
      <c r="U251" s="90" t="s">
        <v>602</v>
      </c>
      <c r="V251" s="91"/>
      <c r="W251" s="90"/>
      <c r="X251" s="92">
        <v>45</v>
      </c>
      <c r="Y251" s="30"/>
      <c r="Z251" s="30">
        <v>7201.174</v>
      </c>
      <c r="AA251" s="30">
        <v>5079</v>
      </c>
      <c r="AB251" s="91">
        <v>45216</v>
      </c>
      <c r="AC251" s="91">
        <v>45627</v>
      </c>
      <c r="AD251" s="91">
        <v>46034</v>
      </c>
      <c r="AE251" s="90" t="s">
        <v>295</v>
      </c>
      <c r="AF251" s="90" t="s">
        <v>287</v>
      </c>
      <c r="AG251" s="30"/>
      <c r="AH251" s="90">
        <v>0</v>
      </c>
      <c r="AI251" s="90">
        <v>1</v>
      </c>
      <c r="AJ251" s="90">
        <v>0</v>
      </c>
      <c r="AK251" s="92">
        <v>2025</v>
      </c>
      <c r="AL251" s="90" t="s">
        <v>229</v>
      </c>
      <c r="AM251" s="92">
        <v>272</v>
      </c>
      <c r="AN251" s="90" t="s">
        <v>176</v>
      </c>
      <c r="AO251" s="90">
        <v>0</v>
      </c>
      <c r="AP251" s="90" t="s">
        <v>79</v>
      </c>
      <c r="AQ251" s="30">
        <v>57.1</v>
      </c>
    </row>
    <row r="252" spans="1:43" ht="15" customHeight="1" x14ac:dyDescent="0.3">
      <c r="A252" s="101" t="s">
        <v>665</v>
      </c>
      <c r="B252" s="90" t="s">
        <v>130</v>
      </c>
      <c r="C252" s="91">
        <v>44197</v>
      </c>
      <c r="D252" s="91">
        <v>45662</v>
      </c>
      <c r="E252" s="92">
        <v>2</v>
      </c>
      <c r="F252" s="90" t="s">
        <v>276</v>
      </c>
      <c r="G252" s="90"/>
      <c r="H252" s="90"/>
      <c r="I252" s="90">
        <v>0</v>
      </c>
      <c r="J252" s="91">
        <v>45979</v>
      </c>
      <c r="K252" s="90" t="s">
        <v>131</v>
      </c>
      <c r="L252" s="90" t="s">
        <v>125</v>
      </c>
      <c r="M252" s="90"/>
      <c r="N252" s="90" t="s">
        <v>133</v>
      </c>
      <c r="O252" s="90" t="s">
        <v>139</v>
      </c>
      <c r="P252" s="90" t="s">
        <v>596</v>
      </c>
      <c r="Q252" s="90" t="s">
        <v>130</v>
      </c>
      <c r="R252" s="92">
        <v>6</v>
      </c>
      <c r="S252" s="30">
        <v>45</v>
      </c>
      <c r="T252" s="91">
        <v>46002</v>
      </c>
      <c r="U252" s="90" t="s">
        <v>602</v>
      </c>
      <c r="V252" s="91"/>
      <c r="W252" s="90"/>
      <c r="X252" s="92">
        <v>45</v>
      </c>
      <c r="Y252" s="30"/>
      <c r="Z252" s="30">
        <v>7201.174</v>
      </c>
      <c r="AA252" s="30">
        <v>5079</v>
      </c>
      <c r="AB252" s="91">
        <v>45216</v>
      </c>
      <c r="AC252" s="91">
        <v>45627</v>
      </c>
      <c r="AD252" s="91">
        <v>46034</v>
      </c>
      <c r="AE252" s="90" t="s">
        <v>295</v>
      </c>
      <c r="AF252" s="90" t="s">
        <v>287</v>
      </c>
      <c r="AG252" s="30"/>
      <c r="AH252" s="90">
        <v>0</v>
      </c>
      <c r="AI252" s="90">
        <v>1</v>
      </c>
      <c r="AJ252" s="90">
        <v>0</v>
      </c>
      <c r="AK252" s="92">
        <v>2025</v>
      </c>
      <c r="AL252" s="90" t="s">
        <v>230</v>
      </c>
      <c r="AM252" s="92">
        <v>317</v>
      </c>
      <c r="AN252" s="90" t="s">
        <v>187</v>
      </c>
      <c r="AO252" s="90">
        <v>0</v>
      </c>
      <c r="AP252" s="90" t="s">
        <v>79</v>
      </c>
      <c r="AQ252" s="30">
        <v>58.6</v>
      </c>
    </row>
    <row r="253" spans="1:43" ht="15" customHeight="1" outlineLevel="1" x14ac:dyDescent="0.3">
      <c r="A253" s="101" t="s">
        <v>665</v>
      </c>
      <c r="B253" s="90" t="s">
        <v>130</v>
      </c>
      <c r="C253" s="91">
        <v>44197</v>
      </c>
      <c r="D253" s="91">
        <v>45662</v>
      </c>
      <c r="E253" s="92">
        <v>2</v>
      </c>
      <c r="F253" s="90" t="s">
        <v>276</v>
      </c>
      <c r="G253" s="90"/>
      <c r="H253" s="90"/>
      <c r="I253" s="90">
        <v>0</v>
      </c>
      <c r="J253" s="91">
        <v>46002</v>
      </c>
      <c r="K253" s="90" t="s">
        <v>124</v>
      </c>
      <c r="L253" s="90" t="s">
        <v>125</v>
      </c>
      <c r="M253" s="90"/>
      <c r="N253" s="90"/>
      <c r="O253" s="90" t="s">
        <v>177</v>
      </c>
      <c r="P253" s="90"/>
      <c r="Q253" s="90" t="s">
        <v>137</v>
      </c>
      <c r="R253" s="92">
        <v>7</v>
      </c>
      <c r="S253" s="30">
        <v>23</v>
      </c>
      <c r="T253" s="91">
        <v>46003</v>
      </c>
      <c r="U253" s="90" t="s">
        <v>602</v>
      </c>
      <c r="V253" s="91"/>
      <c r="W253" s="90"/>
      <c r="X253" s="92">
        <v>45</v>
      </c>
      <c r="Y253" s="30">
        <v>352</v>
      </c>
      <c r="Z253" s="30">
        <v>7201.174</v>
      </c>
      <c r="AA253" s="30">
        <v>5079</v>
      </c>
      <c r="AB253" s="91">
        <v>45216</v>
      </c>
      <c r="AC253" s="91">
        <v>45627</v>
      </c>
      <c r="AD253" s="91">
        <v>46034</v>
      </c>
      <c r="AE253" s="90" t="s">
        <v>295</v>
      </c>
      <c r="AF253" s="90" t="s">
        <v>287</v>
      </c>
      <c r="AG253" s="30"/>
      <c r="AH253" s="90">
        <v>0</v>
      </c>
      <c r="AI253" s="90">
        <v>1</v>
      </c>
      <c r="AJ253" s="90">
        <v>0</v>
      </c>
      <c r="AK253" s="92">
        <v>2025</v>
      </c>
      <c r="AL253" s="90" t="s">
        <v>231</v>
      </c>
      <c r="AM253" s="92">
        <v>340</v>
      </c>
      <c r="AN253" s="90" t="s">
        <v>189</v>
      </c>
      <c r="AO253" s="90">
        <v>0</v>
      </c>
      <c r="AP253" s="90" t="s">
        <v>79</v>
      </c>
      <c r="AQ253" s="30">
        <v>59.4</v>
      </c>
    </row>
    <row r="254" spans="1:43" ht="15" customHeight="1" x14ac:dyDescent="0.3">
      <c r="A254" s="101" t="s">
        <v>665</v>
      </c>
      <c r="B254" s="90" t="s">
        <v>130</v>
      </c>
      <c r="C254" s="91">
        <v>44197</v>
      </c>
      <c r="D254" s="91">
        <v>45662</v>
      </c>
      <c r="E254" s="92">
        <v>2</v>
      </c>
      <c r="F254" s="90" t="s">
        <v>276</v>
      </c>
      <c r="G254" s="90"/>
      <c r="H254" s="90"/>
      <c r="I254" s="90">
        <v>0</v>
      </c>
      <c r="J254" s="91">
        <v>46003</v>
      </c>
      <c r="K254" s="90" t="s">
        <v>124</v>
      </c>
      <c r="L254" s="90" t="s">
        <v>125</v>
      </c>
      <c r="M254" s="90"/>
      <c r="N254" s="90"/>
      <c r="O254" s="90" t="s">
        <v>177</v>
      </c>
      <c r="P254" s="90"/>
      <c r="Q254" s="90" t="s">
        <v>137</v>
      </c>
      <c r="R254" s="92">
        <v>8</v>
      </c>
      <c r="S254" s="30">
        <v>1</v>
      </c>
      <c r="T254" s="91"/>
      <c r="U254" s="90" t="s">
        <v>611</v>
      </c>
      <c r="V254" s="91"/>
      <c r="W254" s="90"/>
      <c r="X254" s="92">
        <v>45</v>
      </c>
      <c r="Y254" s="30">
        <v>352</v>
      </c>
      <c r="Z254" s="30">
        <v>7201.174</v>
      </c>
      <c r="AA254" s="30">
        <v>5079</v>
      </c>
      <c r="AB254" s="91">
        <v>45216</v>
      </c>
      <c r="AC254" s="91">
        <v>45627</v>
      </c>
      <c r="AD254" s="91">
        <v>46034</v>
      </c>
      <c r="AE254" s="90" t="s">
        <v>295</v>
      </c>
      <c r="AF254" s="90" t="s">
        <v>287</v>
      </c>
      <c r="AG254" s="30"/>
      <c r="AH254" s="90">
        <v>0</v>
      </c>
      <c r="AI254" s="90">
        <v>0</v>
      </c>
      <c r="AJ254" s="90">
        <v>0</v>
      </c>
      <c r="AK254" s="92">
        <v>2025</v>
      </c>
      <c r="AL254" s="90" t="s">
        <v>231</v>
      </c>
      <c r="AM254" s="92">
        <v>341</v>
      </c>
      <c r="AN254" s="90" t="s">
        <v>189</v>
      </c>
      <c r="AO254" s="90">
        <v>1</v>
      </c>
      <c r="AP254" s="90" t="s">
        <v>79</v>
      </c>
      <c r="AQ254" s="30">
        <v>59.4</v>
      </c>
    </row>
    <row r="255" spans="1:43" ht="15" customHeight="1" outlineLevel="1" x14ac:dyDescent="0.3">
      <c r="A255" s="101" t="s">
        <v>666</v>
      </c>
      <c r="B255" s="90" t="s">
        <v>130</v>
      </c>
      <c r="C255" s="91">
        <v>44197</v>
      </c>
      <c r="D255" s="91"/>
      <c r="E255" s="92">
        <v>0</v>
      </c>
      <c r="F255" s="90"/>
      <c r="G255" s="90"/>
      <c r="H255" s="90"/>
      <c r="I255" s="90"/>
      <c r="J255" s="91">
        <v>44834</v>
      </c>
      <c r="K255" s="90" t="s">
        <v>124</v>
      </c>
      <c r="L255" s="90" t="s">
        <v>125</v>
      </c>
      <c r="M255" s="90"/>
      <c r="N255" s="90"/>
      <c r="O255" s="90" t="s">
        <v>186</v>
      </c>
      <c r="P255" s="90"/>
      <c r="Q255" s="90" t="s">
        <v>130</v>
      </c>
      <c r="R255" s="92">
        <v>1</v>
      </c>
      <c r="S255" s="30"/>
      <c r="T255" s="91">
        <v>44956</v>
      </c>
      <c r="U255" s="90" t="s">
        <v>582</v>
      </c>
      <c r="V255" s="91"/>
      <c r="W255" s="90"/>
      <c r="X255" s="92">
        <v>45</v>
      </c>
      <c r="Y255" s="30"/>
      <c r="Z255" s="30"/>
      <c r="AA255" s="30">
        <v>4424</v>
      </c>
      <c r="AB255" s="91">
        <v>45113</v>
      </c>
      <c r="AC255" s="91">
        <v>45505</v>
      </c>
      <c r="AD255" s="91"/>
      <c r="AE255" s="90"/>
      <c r="AF255" s="90"/>
      <c r="AG255" s="30"/>
      <c r="AH255" s="90">
        <v>1</v>
      </c>
      <c r="AI255" s="90">
        <v>1</v>
      </c>
      <c r="AJ255" s="90">
        <v>0</v>
      </c>
      <c r="AK255" s="92">
        <v>2022</v>
      </c>
      <c r="AL255" s="90" t="s">
        <v>188</v>
      </c>
      <c r="AM255" s="92"/>
      <c r="AN255" s="90"/>
      <c r="AO255" s="90">
        <v>0</v>
      </c>
      <c r="AP255" s="90" t="s">
        <v>80</v>
      </c>
      <c r="AQ255" s="30">
        <v>21</v>
      </c>
    </row>
    <row r="256" spans="1:43" ht="15" customHeight="1" outlineLevel="1" x14ac:dyDescent="0.3">
      <c r="A256" s="101" t="s">
        <v>666</v>
      </c>
      <c r="B256" s="90" t="s">
        <v>130</v>
      </c>
      <c r="C256" s="91">
        <v>44197</v>
      </c>
      <c r="D256" s="91">
        <v>45113</v>
      </c>
      <c r="E256" s="92">
        <v>1</v>
      </c>
      <c r="F256" s="90" t="s">
        <v>276</v>
      </c>
      <c r="G256" s="90"/>
      <c r="H256" s="90"/>
      <c r="I256" s="90">
        <v>0</v>
      </c>
      <c r="J256" s="91">
        <v>45208</v>
      </c>
      <c r="K256" s="90" t="s">
        <v>131</v>
      </c>
      <c r="L256" s="90" t="s">
        <v>125</v>
      </c>
      <c r="M256" s="90"/>
      <c r="N256" s="90" t="s">
        <v>126</v>
      </c>
      <c r="O256" s="90" t="s">
        <v>162</v>
      </c>
      <c r="P256" s="90" t="s">
        <v>596</v>
      </c>
      <c r="Q256" s="90" t="s">
        <v>130</v>
      </c>
      <c r="R256" s="92">
        <v>1</v>
      </c>
      <c r="S256" s="30"/>
      <c r="T256" s="91">
        <v>45226</v>
      </c>
      <c r="U256" s="90" t="s">
        <v>602</v>
      </c>
      <c r="V256" s="91"/>
      <c r="W256" s="90"/>
      <c r="X256" s="92">
        <v>45</v>
      </c>
      <c r="Y256" s="30"/>
      <c r="Z256" s="30">
        <v>5418.6959999999999</v>
      </c>
      <c r="AA256" s="30">
        <v>4424</v>
      </c>
      <c r="AB256" s="91">
        <v>45113</v>
      </c>
      <c r="AC256" s="91">
        <v>45505</v>
      </c>
      <c r="AD256" s="91"/>
      <c r="AE256" s="90"/>
      <c r="AF256" s="90"/>
      <c r="AG256" s="30"/>
      <c r="AH256" s="90">
        <v>0</v>
      </c>
      <c r="AI256" s="90">
        <v>1</v>
      </c>
      <c r="AJ256" s="90">
        <v>0</v>
      </c>
      <c r="AK256" s="92">
        <v>2023</v>
      </c>
      <c r="AL256" s="90" t="s">
        <v>206</v>
      </c>
      <c r="AM256" s="92">
        <v>95</v>
      </c>
      <c r="AN256" s="90" t="s">
        <v>145</v>
      </c>
      <c r="AO256" s="90">
        <v>0</v>
      </c>
      <c r="AP256" s="90" t="s">
        <v>79</v>
      </c>
      <c r="AQ256" s="30">
        <v>33.299999999999997</v>
      </c>
    </row>
    <row r="257" spans="1:43" ht="15" customHeight="1" outlineLevel="1" x14ac:dyDescent="0.3">
      <c r="A257" s="101" t="s">
        <v>666</v>
      </c>
      <c r="B257" s="90" t="s">
        <v>130</v>
      </c>
      <c r="C257" s="91">
        <v>44197</v>
      </c>
      <c r="D257" s="91">
        <v>45113</v>
      </c>
      <c r="E257" s="92">
        <v>1</v>
      </c>
      <c r="F257" s="90" t="s">
        <v>276</v>
      </c>
      <c r="G257" s="90"/>
      <c r="H257" s="90"/>
      <c r="I257" s="90">
        <v>0</v>
      </c>
      <c r="J257" s="91">
        <v>45227</v>
      </c>
      <c r="K257" s="90" t="s">
        <v>131</v>
      </c>
      <c r="L257" s="90" t="s">
        <v>125</v>
      </c>
      <c r="M257" s="90"/>
      <c r="N257" s="90" t="s">
        <v>126</v>
      </c>
      <c r="O257" s="90" t="s">
        <v>149</v>
      </c>
      <c r="P257" s="90" t="s">
        <v>596</v>
      </c>
      <c r="Q257" s="90" t="s">
        <v>130</v>
      </c>
      <c r="R257" s="92">
        <v>2</v>
      </c>
      <c r="S257" s="30">
        <v>19</v>
      </c>
      <c r="T257" s="91">
        <v>45271</v>
      </c>
      <c r="U257" s="90" t="s">
        <v>602</v>
      </c>
      <c r="V257" s="91"/>
      <c r="W257" s="90"/>
      <c r="X257" s="92">
        <v>45</v>
      </c>
      <c r="Y257" s="30"/>
      <c r="Z257" s="30">
        <v>5418.6959999999999</v>
      </c>
      <c r="AA257" s="30">
        <v>4424</v>
      </c>
      <c r="AB257" s="91">
        <v>45113</v>
      </c>
      <c r="AC257" s="91">
        <v>45505</v>
      </c>
      <c r="AD257" s="91"/>
      <c r="AE257" s="90"/>
      <c r="AF257" s="90"/>
      <c r="AG257" s="30"/>
      <c r="AH257" s="90">
        <v>0</v>
      </c>
      <c r="AI257" s="90">
        <v>1</v>
      </c>
      <c r="AJ257" s="90">
        <v>0</v>
      </c>
      <c r="AK257" s="92">
        <v>2023</v>
      </c>
      <c r="AL257" s="90" t="s">
        <v>206</v>
      </c>
      <c r="AM257" s="92">
        <v>114</v>
      </c>
      <c r="AN257" s="90" t="s">
        <v>150</v>
      </c>
      <c r="AO257" s="90">
        <v>0</v>
      </c>
      <c r="AP257" s="90" t="s">
        <v>79</v>
      </c>
      <c r="AQ257" s="30">
        <v>33.9</v>
      </c>
    </row>
    <row r="258" spans="1:43" ht="15" customHeight="1" outlineLevel="1" x14ac:dyDescent="0.3">
      <c r="A258" s="101" t="s">
        <v>666</v>
      </c>
      <c r="B258" s="90" t="s">
        <v>130</v>
      </c>
      <c r="C258" s="91">
        <v>44197</v>
      </c>
      <c r="D258" s="91">
        <v>45113</v>
      </c>
      <c r="E258" s="92">
        <v>1</v>
      </c>
      <c r="F258" s="90" t="s">
        <v>276</v>
      </c>
      <c r="G258" s="90"/>
      <c r="H258" s="90"/>
      <c r="I258" s="90">
        <v>0</v>
      </c>
      <c r="J258" s="91">
        <v>45282</v>
      </c>
      <c r="K258" s="90" t="s">
        <v>131</v>
      </c>
      <c r="L258" s="90" t="s">
        <v>125</v>
      </c>
      <c r="M258" s="90"/>
      <c r="N258" s="90" t="s">
        <v>126</v>
      </c>
      <c r="O258" s="90" t="s">
        <v>175</v>
      </c>
      <c r="P258" s="90" t="s">
        <v>596</v>
      </c>
      <c r="Q258" s="90" t="s">
        <v>130</v>
      </c>
      <c r="R258" s="92">
        <v>3</v>
      </c>
      <c r="S258" s="30">
        <v>55</v>
      </c>
      <c r="T258" s="91">
        <v>45330</v>
      </c>
      <c r="U258" s="90" t="s">
        <v>582</v>
      </c>
      <c r="V258" s="91"/>
      <c r="W258" s="90"/>
      <c r="X258" s="92">
        <v>45</v>
      </c>
      <c r="Y258" s="30"/>
      <c r="Z258" s="30">
        <v>5418.6959999999999</v>
      </c>
      <c r="AA258" s="30">
        <v>4424</v>
      </c>
      <c r="AB258" s="91">
        <v>45113</v>
      </c>
      <c r="AC258" s="91">
        <v>45505</v>
      </c>
      <c r="AD258" s="91"/>
      <c r="AE258" s="90"/>
      <c r="AF258" s="90"/>
      <c r="AG258" s="30"/>
      <c r="AH258" s="90">
        <v>1</v>
      </c>
      <c r="AI258" s="90">
        <v>1</v>
      </c>
      <c r="AJ258" s="90">
        <v>0</v>
      </c>
      <c r="AK258" s="92">
        <v>2023</v>
      </c>
      <c r="AL258" s="90" t="s">
        <v>208</v>
      </c>
      <c r="AM258" s="92">
        <v>169</v>
      </c>
      <c r="AN258" s="90" t="s">
        <v>160</v>
      </c>
      <c r="AO258" s="90">
        <v>0</v>
      </c>
      <c r="AP258" s="90" t="s">
        <v>79</v>
      </c>
      <c r="AQ258" s="30">
        <v>35.700000000000003</v>
      </c>
    </row>
    <row r="259" spans="1:43" ht="15" customHeight="1" outlineLevel="1" x14ac:dyDescent="0.3">
      <c r="A259" s="101" t="s">
        <v>666</v>
      </c>
      <c r="B259" s="90" t="s">
        <v>130</v>
      </c>
      <c r="C259" s="91">
        <v>44197</v>
      </c>
      <c r="D259" s="91">
        <v>45557</v>
      </c>
      <c r="E259" s="92">
        <v>2</v>
      </c>
      <c r="F259" s="90" t="s">
        <v>276</v>
      </c>
      <c r="G259" s="90" t="s">
        <v>601</v>
      </c>
      <c r="H259" s="90" t="s">
        <v>278</v>
      </c>
      <c r="I259" s="90">
        <v>0</v>
      </c>
      <c r="J259" s="91">
        <v>45585</v>
      </c>
      <c r="K259" s="90" t="s">
        <v>131</v>
      </c>
      <c r="L259" s="90" t="s">
        <v>125</v>
      </c>
      <c r="M259" s="90"/>
      <c r="N259" s="90" t="s">
        <v>126</v>
      </c>
      <c r="O259" s="90" t="s">
        <v>175</v>
      </c>
      <c r="P259" s="90" t="s">
        <v>596</v>
      </c>
      <c r="Q259" s="90" t="s">
        <v>130</v>
      </c>
      <c r="R259" s="92">
        <v>1</v>
      </c>
      <c r="S259" s="30"/>
      <c r="T259" s="91">
        <v>45645</v>
      </c>
      <c r="U259" s="90" t="s">
        <v>602</v>
      </c>
      <c r="V259" s="91"/>
      <c r="W259" s="90"/>
      <c r="X259" s="92">
        <v>45</v>
      </c>
      <c r="Y259" s="30"/>
      <c r="Z259" s="30">
        <v>6915.3</v>
      </c>
      <c r="AA259" s="30">
        <v>4424</v>
      </c>
      <c r="AB259" s="91">
        <v>45113</v>
      </c>
      <c r="AC259" s="91">
        <v>45505</v>
      </c>
      <c r="AD259" s="91"/>
      <c r="AE259" s="90"/>
      <c r="AF259" s="90"/>
      <c r="AG259" s="30"/>
      <c r="AH259" s="90">
        <v>0</v>
      </c>
      <c r="AI259" s="90">
        <v>1</v>
      </c>
      <c r="AJ259" s="90">
        <v>0</v>
      </c>
      <c r="AK259" s="92">
        <v>2024</v>
      </c>
      <c r="AL259" s="90" t="s">
        <v>218</v>
      </c>
      <c r="AM259" s="92">
        <v>28</v>
      </c>
      <c r="AN259" s="90" t="s">
        <v>128</v>
      </c>
      <c r="AO259" s="90">
        <v>0</v>
      </c>
      <c r="AP259" s="90" t="s">
        <v>79</v>
      </c>
      <c r="AQ259" s="30">
        <v>45.7</v>
      </c>
    </row>
    <row r="260" spans="1:43" ht="15" customHeight="1" x14ac:dyDescent="0.3">
      <c r="A260" s="101" t="s">
        <v>666</v>
      </c>
      <c r="B260" s="90" t="s">
        <v>130</v>
      </c>
      <c r="C260" s="91">
        <v>44197</v>
      </c>
      <c r="D260" s="91">
        <v>45557</v>
      </c>
      <c r="E260" s="92">
        <v>2</v>
      </c>
      <c r="F260" s="90" t="s">
        <v>276</v>
      </c>
      <c r="G260" s="90" t="s">
        <v>601</v>
      </c>
      <c r="H260" s="90" t="s">
        <v>278</v>
      </c>
      <c r="I260" s="90">
        <v>0</v>
      </c>
      <c r="J260" s="91">
        <v>45656</v>
      </c>
      <c r="K260" s="90" t="s">
        <v>131</v>
      </c>
      <c r="L260" s="90" t="s">
        <v>125</v>
      </c>
      <c r="M260" s="90"/>
      <c r="N260" s="90" t="s">
        <v>126</v>
      </c>
      <c r="O260" s="90" t="s">
        <v>175</v>
      </c>
      <c r="P260" s="90" t="s">
        <v>596</v>
      </c>
      <c r="Q260" s="90" t="s">
        <v>130</v>
      </c>
      <c r="R260" s="92">
        <v>2</v>
      </c>
      <c r="S260" s="30">
        <v>71</v>
      </c>
      <c r="T260" s="91">
        <v>45698</v>
      </c>
      <c r="U260" s="90" t="s">
        <v>582</v>
      </c>
      <c r="V260" s="91"/>
      <c r="W260" s="90"/>
      <c r="X260" s="92">
        <v>45</v>
      </c>
      <c r="Y260" s="30"/>
      <c r="Z260" s="30">
        <v>6915.3</v>
      </c>
      <c r="AA260" s="30">
        <v>4424</v>
      </c>
      <c r="AB260" s="91">
        <v>45113</v>
      </c>
      <c r="AC260" s="91">
        <v>45505</v>
      </c>
      <c r="AD260" s="91"/>
      <c r="AE260" s="90"/>
      <c r="AF260" s="90"/>
      <c r="AG260" s="30"/>
      <c r="AH260" s="90">
        <v>1</v>
      </c>
      <c r="AI260" s="90">
        <v>1</v>
      </c>
      <c r="AJ260" s="90">
        <v>0</v>
      </c>
      <c r="AK260" s="92">
        <v>2024</v>
      </c>
      <c r="AL260" s="90" t="s">
        <v>220</v>
      </c>
      <c r="AM260" s="92">
        <v>99</v>
      </c>
      <c r="AN260" s="90" t="s">
        <v>145</v>
      </c>
      <c r="AO260" s="90">
        <v>0</v>
      </c>
      <c r="AP260" s="90" t="s">
        <v>79</v>
      </c>
      <c r="AQ260" s="30">
        <v>48</v>
      </c>
    </row>
    <row r="261" spans="1:43" ht="15" customHeight="1" outlineLevel="1" x14ac:dyDescent="0.3">
      <c r="A261" s="101" t="s">
        <v>666</v>
      </c>
      <c r="B261" s="90" t="s">
        <v>130</v>
      </c>
      <c r="C261" s="91">
        <v>44197</v>
      </c>
      <c r="D261" s="91">
        <v>45931</v>
      </c>
      <c r="E261" s="92">
        <v>3</v>
      </c>
      <c r="F261" s="90" t="s">
        <v>276</v>
      </c>
      <c r="G261" s="90" t="s">
        <v>601</v>
      </c>
      <c r="H261" s="90" t="s">
        <v>278</v>
      </c>
      <c r="I261" s="90">
        <v>0</v>
      </c>
      <c r="J261" s="91">
        <v>45995</v>
      </c>
      <c r="K261" s="90" t="s">
        <v>131</v>
      </c>
      <c r="L261" s="90" t="s">
        <v>125</v>
      </c>
      <c r="M261" s="90"/>
      <c r="N261" s="90" t="s">
        <v>133</v>
      </c>
      <c r="O261" s="90" t="s">
        <v>139</v>
      </c>
      <c r="P261" s="90" t="s">
        <v>596</v>
      </c>
      <c r="Q261" s="90" t="s">
        <v>130</v>
      </c>
      <c r="R261" s="92">
        <v>1</v>
      </c>
      <c r="S261" s="30"/>
      <c r="T261" s="91">
        <v>46037</v>
      </c>
      <c r="U261" s="90" t="s">
        <v>602</v>
      </c>
      <c r="V261" s="91"/>
      <c r="W261" s="90"/>
      <c r="X261" s="92">
        <v>45</v>
      </c>
      <c r="Y261" s="30">
        <v>352</v>
      </c>
      <c r="Z261" s="30">
        <v>4432</v>
      </c>
      <c r="AA261" s="30">
        <v>4424</v>
      </c>
      <c r="AB261" s="91">
        <v>45113</v>
      </c>
      <c r="AC261" s="91">
        <v>45505</v>
      </c>
      <c r="AD261" s="91"/>
      <c r="AE261" s="90"/>
      <c r="AF261" s="90"/>
      <c r="AG261" s="30"/>
      <c r="AH261" s="90">
        <v>0</v>
      </c>
      <c r="AI261" s="90">
        <v>1</v>
      </c>
      <c r="AJ261" s="90">
        <v>0</v>
      </c>
      <c r="AK261" s="92">
        <v>2025</v>
      </c>
      <c r="AL261" s="90" t="s">
        <v>231</v>
      </c>
      <c r="AM261" s="92">
        <v>64</v>
      </c>
      <c r="AN261" s="90" t="s">
        <v>140</v>
      </c>
      <c r="AO261" s="90">
        <v>0</v>
      </c>
      <c r="AP261" s="90" t="s">
        <v>79</v>
      </c>
      <c r="AQ261" s="30">
        <v>59.1</v>
      </c>
    </row>
    <row r="262" spans="1:43" ht="15" customHeight="1" outlineLevel="1" x14ac:dyDescent="0.3">
      <c r="A262" s="101" t="s">
        <v>666</v>
      </c>
      <c r="B262" s="90" t="s">
        <v>130</v>
      </c>
      <c r="C262" s="91">
        <v>44197</v>
      </c>
      <c r="D262" s="91">
        <v>45931</v>
      </c>
      <c r="E262" s="92">
        <v>3</v>
      </c>
      <c r="F262" s="90" t="s">
        <v>276</v>
      </c>
      <c r="G262" s="90" t="s">
        <v>601</v>
      </c>
      <c r="H262" s="90" t="s">
        <v>278</v>
      </c>
      <c r="I262" s="90">
        <v>0</v>
      </c>
      <c r="J262" s="91">
        <v>46048</v>
      </c>
      <c r="K262" s="90" t="s">
        <v>131</v>
      </c>
      <c r="L262" s="90" t="s">
        <v>132</v>
      </c>
      <c r="M262" s="90" t="s">
        <v>593</v>
      </c>
      <c r="N262" s="90" t="s">
        <v>133</v>
      </c>
      <c r="O262" s="90" t="s">
        <v>139</v>
      </c>
      <c r="P262" s="90" t="s">
        <v>596</v>
      </c>
      <c r="Q262" s="90" t="s">
        <v>130</v>
      </c>
      <c r="R262" s="92">
        <v>2</v>
      </c>
      <c r="S262" s="30">
        <v>53</v>
      </c>
      <c r="T262" s="91">
        <v>46069</v>
      </c>
      <c r="U262" s="90" t="s">
        <v>602</v>
      </c>
      <c r="V262" s="91"/>
      <c r="W262" s="90"/>
      <c r="X262" s="92">
        <v>45</v>
      </c>
      <c r="Y262" s="30">
        <v>352</v>
      </c>
      <c r="Z262" s="30">
        <v>4432</v>
      </c>
      <c r="AA262" s="30">
        <v>4424</v>
      </c>
      <c r="AB262" s="91">
        <v>45113</v>
      </c>
      <c r="AC262" s="91">
        <v>45505</v>
      </c>
      <c r="AD262" s="91"/>
      <c r="AE262" s="90"/>
      <c r="AF262" s="90"/>
      <c r="AG262" s="30"/>
      <c r="AH262" s="90">
        <v>0</v>
      </c>
      <c r="AI262" s="90">
        <v>1</v>
      </c>
      <c r="AJ262" s="90">
        <v>0</v>
      </c>
      <c r="AK262" s="92">
        <v>2026</v>
      </c>
      <c r="AL262" s="90" t="s">
        <v>232</v>
      </c>
      <c r="AM262" s="92">
        <v>117</v>
      </c>
      <c r="AN262" s="90" t="s">
        <v>150</v>
      </c>
      <c r="AO262" s="90">
        <v>0</v>
      </c>
      <c r="AP262" s="90" t="s">
        <v>79</v>
      </c>
      <c r="AQ262" s="30">
        <v>60.9</v>
      </c>
    </row>
    <row r="263" spans="1:43" ht="15" customHeight="1" outlineLevel="1" x14ac:dyDescent="0.3">
      <c r="A263" s="101" t="s">
        <v>666</v>
      </c>
      <c r="B263" s="90" t="s">
        <v>130</v>
      </c>
      <c r="C263" s="91">
        <v>44197</v>
      </c>
      <c r="D263" s="91">
        <v>45931</v>
      </c>
      <c r="E263" s="92">
        <v>3</v>
      </c>
      <c r="F263" s="90" t="s">
        <v>276</v>
      </c>
      <c r="G263" s="90" t="s">
        <v>601</v>
      </c>
      <c r="H263" s="90" t="s">
        <v>278</v>
      </c>
      <c r="I263" s="90">
        <v>0</v>
      </c>
      <c r="J263" s="91">
        <v>46069</v>
      </c>
      <c r="K263" s="90" t="s">
        <v>131</v>
      </c>
      <c r="L263" s="90"/>
      <c r="M263" s="90"/>
      <c r="N263" s="90" t="s">
        <v>133</v>
      </c>
      <c r="O263" s="90" t="s">
        <v>139</v>
      </c>
      <c r="P263" s="90" t="s">
        <v>596</v>
      </c>
      <c r="Q263" s="90" t="s">
        <v>130</v>
      </c>
      <c r="R263" s="92">
        <v>3</v>
      </c>
      <c r="S263" s="30">
        <v>21</v>
      </c>
      <c r="T263" s="91">
        <v>46122</v>
      </c>
      <c r="U263" s="90" t="s">
        <v>582</v>
      </c>
      <c r="V263" s="91"/>
      <c r="W263" s="90"/>
      <c r="X263" s="92">
        <v>45</v>
      </c>
      <c r="Y263" s="30"/>
      <c r="Z263" s="30">
        <v>4432</v>
      </c>
      <c r="AA263" s="30">
        <v>4424</v>
      </c>
      <c r="AB263" s="91">
        <v>45113</v>
      </c>
      <c r="AC263" s="91">
        <v>45505</v>
      </c>
      <c r="AD263" s="91"/>
      <c r="AE263" s="90"/>
      <c r="AF263" s="90"/>
      <c r="AG263" s="30"/>
      <c r="AH263" s="90">
        <v>1</v>
      </c>
      <c r="AI263" s="90">
        <v>1</v>
      </c>
      <c r="AJ263" s="90">
        <v>0</v>
      </c>
      <c r="AK263" s="92">
        <v>2026</v>
      </c>
      <c r="AL263" s="90" t="s">
        <v>233</v>
      </c>
      <c r="AM263" s="92">
        <v>138</v>
      </c>
      <c r="AN263" s="90" t="s">
        <v>155</v>
      </c>
      <c r="AO263" s="90">
        <v>1</v>
      </c>
      <c r="AP263" s="90" t="s">
        <v>79</v>
      </c>
      <c r="AQ263" s="30">
        <v>61.6</v>
      </c>
    </row>
    <row r="264" spans="1:43" ht="15" customHeight="1" outlineLevel="1" x14ac:dyDescent="0.3">
      <c r="A264" s="101" t="s">
        <v>667</v>
      </c>
      <c r="B264" s="90" t="s">
        <v>130</v>
      </c>
      <c r="C264" s="91">
        <v>44197</v>
      </c>
      <c r="D264" s="91"/>
      <c r="E264" s="92">
        <v>0</v>
      </c>
      <c r="F264" s="90"/>
      <c r="G264" s="90"/>
      <c r="H264" s="90"/>
      <c r="I264" s="90"/>
      <c r="J264" s="91">
        <v>44834</v>
      </c>
      <c r="K264" s="90" t="s">
        <v>124</v>
      </c>
      <c r="L264" s="90" t="s">
        <v>125</v>
      </c>
      <c r="M264" s="90"/>
      <c r="N264" s="90"/>
      <c r="O264" s="90" t="s">
        <v>186</v>
      </c>
      <c r="P264" s="90"/>
      <c r="Q264" s="90" t="s">
        <v>130</v>
      </c>
      <c r="R264" s="92">
        <v>1</v>
      </c>
      <c r="S264" s="30"/>
      <c r="T264" s="91">
        <v>44956</v>
      </c>
      <c r="U264" s="90" t="s">
        <v>582</v>
      </c>
      <c r="V264" s="91"/>
      <c r="W264" s="90"/>
      <c r="X264" s="92">
        <v>45</v>
      </c>
      <c r="Y264" s="30"/>
      <c r="Z264" s="30"/>
      <c r="AA264" s="30">
        <v>4226.3950000000004</v>
      </c>
      <c r="AB264" s="91">
        <v>45091</v>
      </c>
      <c r="AC264" s="91">
        <v>45356</v>
      </c>
      <c r="AD264" s="91">
        <v>45995</v>
      </c>
      <c r="AE264" s="90" t="s">
        <v>297</v>
      </c>
      <c r="AF264" s="90" t="s">
        <v>293</v>
      </c>
      <c r="AG264" s="30"/>
      <c r="AH264" s="90">
        <v>1</v>
      </c>
      <c r="AI264" s="90">
        <v>1</v>
      </c>
      <c r="AJ264" s="90">
        <v>0</v>
      </c>
      <c r="AK264" s="92">
        <v>2022</v>
      </c>
      <c r="AL264" s="90" t="s">
        <v>188</v>
      </c>
      <c r="AM264" s="92"/>
      <c r="AN264" s="90"/>
      <c r="AO264" s="90">
        <v>0</v>
      </c>
      <c r="AP264" s="90" t="s">
        <v>80</v>
      </c>
      <c r="AQ264" s="30">
        <v>21</v>
      </c>
    </row>
    <row r="265" spans="1:43" ht="15" customHeight="1" outlineLevel="1" x14ac:dyDescent="0.3">
      <c r="A265" s="101" t="s">
        <v>667</v>
      </c>
      <c r="B265" s="90" t="s">
        <v>130</v>
      </c>
      <c r="C265" s="91">
        <v>44197</v>
      </c>
      <c r="D265" s="91">
        <v>45091</v>
      </c>
      <c r="E265" s="92">
        <v>1</v>
      </c>
      <c r="F265" s="90" t="s">
        <v>276</v>
      </c>
      <c r="G265" s="90" t="s">
        <v>601</v>
      </c>
      <c r="H265" s="90" t="s">
        <v>279</v>
      </c>
      <c r="I265" s="90">
        <v>0</v>
      </c>
      <c r="J265" s="91">
        <v>45128</v>
      </c>
      <c r="K265" s="90" t="s">
        <v>124</v>
      </c>
      <c r="L265" s="90" t="s">
        <v>125</v>
      </c>
      <c r="M265" s="90"/>
      <c r="N265" s="90"/>
      <c r="O265" s="90" t="s">
        <v>162</v>
      </c>
      <c r="P265" s="90"/>
      <c r="Q265" s="90" t="s">
        <v>130</v>
      </c>
      <c r="R265" s="92">
        <v>1</v>
      </c>
      <c r="S265" s="30"/>
      <c r="T265" s="91">
        <v>45155</v>
      </c>
      <c r="U265" s="90" t="s">
        <v>582</v>
      </c>
      <c r="V265" s="91"/>
      <c r="W265" s="90"/>
      <c r="X265" s="92">
        <v>45</v>
      </c>
      <c r="Y265" s="30"/>
      <c r="Z265" s="30">
        <v>4226.3950000000004</v>
      </c>
      <c r="AA265" s="30">
        <v>4226.3950000000004</v>
      </c>
      <c r="AB265" s="91">
        <v>45091</v>
      </c>
      <c r="AC265" s="91">
        <v>45356</v>
      </c>
      <c r="AD265" s="91">
        <v>45995</v>
      </c>
      <c r="AE265" s="90" t="s">
        <v>297</v>
      </c>
      <c r="AF265" s="90" t="s">
        <v>293</v>
      </c>
      <c r="AG265" s="30"/>
      <c r="AH265" s="90">
        <v>1</v>
      </c>
      <c r="AI265" s="90">
        <v>1</v>
      </c>
      <c r="AJ265" s="90">
        <v>0</v>
      </c>
      <c r="AK265" s="92">
        <v>2023</v>
      </c>
      <c r="AL265" s="90" t="s">
        <v>203</v>
      </c>
      <c r="AM265" s="92">
        <v>37</v>
      </c>
      <c r="AN265" s="90" t="s">
        <v>128</v>
      </c>
      <c r="AO265" s="90">
        <v>0</v>
      </c>
      <c r="AP265" s="90" t="s">
        <v>79</v>
      </c>
      <c r="AQ265" s="30">
        <v>30.6</v>
      </c>
    </row>
    <row r="266" spans="1:43" ht="15" customHeight="1" outlineLevel="1" x14ac:dyDescent="0.3">
      <c r="A266" s="101" t="s">
        <v>667</v>
      </c>
      <c r="B266" s="90" t="s">
        <v>130</v>
      </c>
      <c r="C266" s="91">
        <v>44197</v>
      </c>
      <c r="D266" s="91">
        <v>45408</v>
      </c>
      <c r="E266" s="92">
        <v>2</v>
      </c>
      <c r="F266" s="90" t="s">
        <v>276</v>
      </c>
      <c r="G266" s="90" t="s">
        <v>601</v>
      </c>
      <c r="H266" s="90" t="s">
        <v>278</v>
      </c>
      <c r="I266" s="90">
        <v>0</v>
      </c>
      <c r="J266" s="91">
        <v>45467</v>
      </c>
      <c r="K266" s="90" t="s">
        <v>131</v>
      </c>
      <c r="L266" s="90" t="s">
        <v>125</v>
      </c>
      <c r="M266" s="90"/>
      <c r="N266" s="90" t="s">
        <v>126</v>
      </c>
      <c r="O266" s="90" t="s">
        <v>175</v>
      </c>
      <c r="P266" s="90" t="s">
        <v>596</v>
      </c>
      <c r="Q266" s="90" t="s">
        <v>130</v>
      </c>
      <c r="R266" s="92">
        <v>1</v>
      </c>
      <c r="S266" s="30"/>
      <c r="T266" s="91">
        <v>45512</v>
      </c>
      <c r="U266" s="90" t="s">
        <v>582</v>
      </c>
      <c r="V266" s="91"/>
      <c r="W266" s="90"/>
      <c r="X266" s="92">
        <v>45</v>
      </c>
      <c r="Y266" s="30"/>
      <c r="Z266" s="30">
        <v>3732.3119999999999</v>
      </c>
      <c r="AA266" s="30">
        <v>4226.3950000000004</v>
      </c>
      <c r="AB266" s="91">
        <v>45091</v>
      </c>
      <c r="AC266" s="91">
        <v>45356</v>
      </c>
      <c r="AD266" s="91">
        <v>45995</v>
      </c>
      <c r="AE266" s="90" t="s">
        <v>297</v>
      </c>
      <c r="AF266" s="90" t="s">
        <v>293</v>
      </c>
      <c r="AG266" s="30"/>
      <c r="AH266" s="90">
        <v>1</v>
      </c>
      <c r="AI266" s="90">
        <v>1</v>
      </c>
      <c r="AJ266" s="90">
        <v>0</v>
      </c>
      <c r="AK266" s="92">
        <v>2024</v>
      </c>
      <c r="AL266" s="90" t="s">
        <v>214</v>
      </c>
      <c r="AM266" s="92">
        <v>59</v>
      </c>
      <c r="AN266" s="90" t="s">
        <v>135</v>
      </c>
      <c r="AO266" s="90">
        <v>0</v>
      </c>
      <c r="AP266" s="90" t="s">
        <v>79</v>
      </c>
      <c r="AQ266" s="30">
        <v>41.8</v>
      </c>
    </row>
    <row r="267" spans="1:43" ht="15" customHeight="1" outlineLevel="1" x14ac:dyDescent="0.3">
      <c r="A267" s="101" t="s">
        <v>667</v>
      </c>
      <c r="B267" s="90" t="s">
        <v>130</v>
      </c>
      <c r="C267" s="91">
        <v>44197</v>
      </c>
      <c r="D267" s="91">
        <v>45755</v>
      </c>
      <c r="E267" s="92">
        <v>3</v>
      </c>
      <c r="F267" s="90" t="s">
        <v>276</v>
      </c>
      <c r="G267" s="90"/>
      <c r="H267" s="90"/>
      <c r="I267" s="90">
        <v>0</v>
      </c>
      <c r="J267" s="91">
        <v>45850</v>
      </c>
      <c r="K267" s="90" t="s">
        <v>131</v>
      </c>
      <c r="L267" s="90" t="s">
        <v>125</v>
      </c>
      <c r="M267" s="90"/>
      <c r="N267" s="90" t="s">
        <v>126</v>
      </c>
      <c r="O267" s="90">
        <v>-867</v>
      </c>
      <c r="P267" s="90" t="s">
        <v>596</v>
      </c>
      <c r="Q267" s="90" t="s">
        <v>130</v>
      </c>
      <c r="R267" s="92">
        <v>1</v>
      </c>
      <c r="S267" s="30"/>
      <c r="T267" s="91">
        <v>45877</v>
      </c>
      <c r="U267" s="90" t="s">
        <v>602</v>
      </c>
      <c r="V267" s="91"/>
      <c r="W267" s="90"/>
      <c r="X267" s="92">
        <v>45</v>
      </c>
      <c r="Y267" s="30"/>
      <c r="Z267" s="30">
        <v>3112</v>
      </c>
      <c r="AA267" s="30">
        <v>4226.3950000000004</v>
      </c>
      <c r="AB267" s="91">
        <v>45091</v>
      </c>
      <c r="AC267" s="91">
        <v>45356</v>
      </c>
      <c r="AD267" s="91">
        <v>45995</v>
      </c>
      <c r="AE267" s="90" t="s">
        <v>297</v>
      </c>
      <c r="AF267" s="90" t="s">
        <v>293</v>
      </c>
      <c r="AG267" s="30"/>
      <c r="AH267" s="90">
        <v>0</v>
      </c>
      <c r="AI267" s="90">
        <v>1</v>
      </c>
      <c r="AJ267" s="90">
        <v>0</v>
      </c>
      <c r="AK267" s="92">
        <v>2025</v>
      </c>
      <c r="AL267" s="90" t="s">
        <v>226</v>
      </c>
      <c r="AM267" s="92">
        <v>95</v>
      </c>
      <c r="AN267" s="90" t="s">
        <v>145</v>
      </c>
      <c r="AO267" s="90">
        <v>0</v>
      </c>
      <c r="AP267" s="90" t="s">
        <v>79</v>
      </c>
      <c r="AQ267" s="30">
        <v>54.4</v>
      </c>
    </row>
    <row r="268" spans="1:43" ht="15" customHeight="1" outlineLevel="1" x14ac:dyDescent="0.3">
      <c r="A268" s="101" t="s">
        <v>667</v>
      </c>
      <c r="B268" s="90" t="s">
        <v>130</v>
      </c>
      <c r="C268" s="91">
        <v>44197</v>
      </c>
      <c r="D268" s="91">
        <v>45755</v>
      </c>
      <c r="E268" s="92">
        <v>3</v>
      </c>
      <c r="F268" s="90" t="s">
        <v>276</v>
      </c>
      <c r="G268" s="90"/>
      <c r="H268" s="90"/>
      <c r="I268" s="90">
        <v>0</v>
      </c>
      <c r="J268" s="91">
        <v>45888</v>
      </c>
      <c r="K268" s="90" t="s">
        <v>131</v>
      </c>
      <c r="L268" s="90" t="s">
        <v>125</v>
      </c>
      <c r="M268" s="90"/>
      <c r="N268" s="90" t="s">
        <v>133</v>
      </c>
      <c r="O268" s="90" t="s">
        <v>175</v>
      </c>
      <c r="P268" s="90" t="s">
        <v>596</v>
      </c>
      <c r="Q268" s="90" t="s">
        <v>130</v>
      </c>
      <c r="R268" s="92">
        <v>2</v>
      </c>
      <c r="S268" s="30">
        <v>38</v>
      </c>
      <c r="T268" s="91"/>
      <c r="U268" s="90" t="s">
        <v>611</v>
      </c>
      <c r="V268" s="91"/>
      <c r="W268" s="90"/>
      <c r="X268" s="92">
        <v>45</v>
      </c>
      <c r="Y268" s="30"/>
      <c r="Z268" s="30">
        <v>3112</v>
      </c>
      <c r="AA268" s="30">
        <v>4226.3950000000004</v>
      </c>
      <c r="AB268" s="91">
        <v>45091</v>
      </c>
      <c r="AC268" s="91">
        <v>45356</v>
      </c>
      <c r="AD268" s="91">
        <v>45995</v>
      </c>
      <c r="AE268" s="90" t="s">
        <v>297</v>
      </c>
      <c r="AF268" s="90" t="s">
        <v>293</v>
      </c>
      <c r="AG268" s="30"/>
      <c r="AH268" s="90">
        <v>0</v>
      </c>
      <c r="AI268" s="90">
        <v>0</v>
      </c>
      <c r="AJ268" s="90">
        <v>0</v>
      </c>
      <c r="AK268" s="92">
        <v>2025</v>
      </c>
      <c r="AL268" s="90" t="s">
        <v>227</v>
      </c>
      <c r="AM268" s="92">
        <v>133</v>
      </c>
      <c r="AN268" s="90" t="s">
        <v>155</v>
      </c>
      <c r="AO268" s="90">
        <v>1</v>
      </c>
      <c r="AP268" s="90" t="s">
        <v>79</v>
      </c>
      <c r="AQ268" s="30">
        <v>55.6</v>
      </c>
    </row>
    <row r="269" spans="1:43" ht="15" customHeight="1" outlineLevel="1" x14ac:dyDescent="0.3">
      <c r="A269" s="101" t="s">
        <v>668</v>
      </c>
      <c r="B269" s="90" t="s">
        <v>130</v>
      </c>
      <c r="C269" s="91">
        <v>44197</v>
      </c>
      <c r="D269" s="91"/>
      <c r="E269" s="92">
        <v>0</v>
      </c>
      <c r="F269" s="90"/>
      <c r="G269" s="90"/>
      <c r="H269" s="90"/>
      <c r="I269" s="90"/>
      <c r="J269" s="91">
        <v>44864</v>
      </c>
      <c r="K269" s="90" t="s">
        <v>124</v>
      </c>
      <c r="L269" s="90" t="s">
        <v>125</v>
      </c>
      <c r="M269" s="90"/>
      <c r="N269" s="90"/>
      <c r="O269" s="90" t="s">
        <v>186</v>
      </c>
      <c r="P269" s="90"/>
      <c r="Q269" s="90" t="s">
        <v>130</v>
      </c>
      <c r="R269" s="92">
        <v>1</v>
      </c>
      <c r="S269" s="30"/>
      <c r="T269" s="91">
        <v>44956</v>
      </c>
      <c r="U269" s="90" t="s">
        <v>582</v>
      </c>
      <c r="V269" s="91"/>
      <c r="W269" s="90"/>
      <c r="X269" s="92">
        <v>45</v>
      </c>
      <c r="Y269" s="30"/>
      <c r="Z269" s="30"/>
      <c r="AA269" s="30">
        <v>2492</v>
      </c>
      <c r="AB269" s="91">
        <v>45142</v>
      </c>
      <c r="AC269" s="91"/>
      <c r="AD269" s="91">
        <v>45995</v>
      </c>
      <c r="AE269" s="90" t="s">
        <v>297</v>
      </c>
      <c r="AF269" s="90" t="s">
        <v>293</v>
      </c>
      <c r="AG269" s="30"/>
      <c r="AH269" s="90">
        <v>1</v>
      </c>
      <c r="AI269" s="90">
        <v>1</v>
      </c>
      <c r="AJ269" s="90">
        <v>0</v>
      </c>
      <c r="AK269" s="92">
        <v>2022</v>
      </c>
      <c r="AL269" s="90" t="s">
        <v>190</v>
      </c>
      <c r="AM269" s="92"/>
      <c r="AN269" s="90"/>
      <c r="AO269" s="90">
        <v>0</v>
      </c>
      <c r="AP269" s="90" t="s">
        <v>80</v>
      </c>
      <c r="AQ269" s="30">
        <v>21.9</v>
      </c>
    </row>
    <row r="270" spans="1:43" ht="15" customHeight="1" x14ac:dyDescent="0.3">
      <c r="A270" s="101" t="s">
        <v>668</v>
      </c>
      <c r="B270" s="90" t="s">
        <v>130</v>
      </c>
      <c r="C270" s="91">
        <v>44197</v>
      </c>
      <c r="D270" s="91">
        <v>45142</v>
      </c>
      <c r="E270" s="92">
        <v>1</v>
      </c>
      <c r="F270" s="90" t="s">
        <v>275</v>
      </c>
      <c r="G270" s="90"/>
      <c r="H270" s="90"/>
      <c r="I270" s="90">
        <v>0</v>
      </c>
      <c r="J270" s="91">
        <v>45208</v>
      </c>
      <c r="K270" s="90" t="s">
        <v>131</v>
      </c>
      <c r="L270" s="90" t="s">
        <v>125</v>
      </c>
      <c r="M270" s="90"/>
      <c r="N270" s="90" t="s">
        <v>126</v>
      </c>
      <c r="O270" s="90" t="s">
        <v>162</v>
      </c>
      <c r="P270" s="90" t="s">
        <v>596</v>
      </c>
      <c r="Q270" s="90" t="s">
        <v>130</v>
      </c>
      <c r="R270" s="92">
        <v>1</v>
      </c>
      <c r="S270" s="30"/>
      <c r="T270" s="91">
        <v>45233</v>
      </c>
      <c r="U270" s="90" t="s">
        <v>602</v>
      </c>
      <c r="V270" s="91"/>
      <c r="W270" s="90"/>
      <c r="X270" s="92">
        <v>45</v>
      </c>
      <c r="Y270" s="30"/>
      <c r="Z270" s="30">
        <v>2492</v>
      </c>
      <c r="AA270" s="30">
        <v>2492</v>
      </c>
      <c r="AB270" s="91">
        <v>45142</v>
      </c>
      <c r="AC270" s="91"/>
      <c r="AD270" s="91">
        <v>45995</v>
      </c>
      <c r="AE270" s="90" t="s">
        <v>297</v>
      </c>
      <c r="AF270" s="90" t="s">
        <v>293</v>
      </c>
      <c r="AG270" s="30"/>
      <c r="AH270" s="90">
        <v>0</v>
      </c>
      <c r="AI270" s="90">
        <v>1</v>
      </c>
      <c r="AJ270" s="90">
        <v>0</v>
      </c>
      <c r="AK270" s="92">
        <v>2023</v>
      </c>
      <c r="AL270" s="90" t="s">
        <v>206</v>
      </c>
      <c r="AM270" s="92">
        <v>66</v>
      </c>
      <c r="AN270" s="90" t="s">
        <v>140</v>
      </c>
      <c r="AO270" s="90">
        <v>0</v>
      </c>
      <c r="AP270" s="90" t="s">
        <v>79</v>
      </c>
      <c r="AQ270" s="30">
        <v>33.299999999999997</v>
      </c>
    </row>
    <row r="271" spans="1:43" ht="15" customHeight="1" outlineLevel="1" x14ac:dyDescent="0.3">
      <c r="A271" s="101" t="s">
        <v>668</v>
      </c>
      <c r="B271" s="90" t="s">
        <v>130</v>
      </c>
      <c r="C271" s="91">
        <v>44197</v>
      </c>
      <c r="D271" s="91">
        <v>45142</v>
      </c>
      <c r="E271" s="92">
        <v>1</v>
      </c>
      <c r="F271" s="90" t="s">
        <v>275</v>
      </c>
      <c r="G271" s="90"/>
      <c r="H271" s="90"/>
      <c r="I271" s="90">
        <v>0</v>
      </c>
      <c r="J271" s="91">
        <v>45234</v>
      </c>
      <c r="K271" s="90" t="s">
        <v>131</v>
      </c>
      <c r="L271" s="90" t="s">
        <v>125</v>
      </c>
      <c r="M271" s="90"/>
      <c r="N271" s="90" t="s">
        <v>126</v>
      </c>
      <c r="O271" s="90" t="s">
        <v>175</v>
      </c>
      <c r="P271" s="90" t="s">
        <v>596</v>
      </c>
      <c r="Q271" s="90" t="s">
        <v>130</v>
      </c>
      <c r="R271" s="92">
        <v>2</v>
      </c>
      <c r="S271" s="30">
        <v>26</v>
      </c>
      <c r="T271" s="91">
        <v>45271</v>
      </c>
      <c r="U271" s="90" t="s">
        <v>582</v>
      </c>
      <c r="V271" s="91"/>
      <c r="W271" s="90"/>
      <c r="X271" s="92">
        <v>45</v>
      </c>
      <c r="Y271" s="30"/>
      <c r="Z271" s="30">
        <v>2492</v>
      </c>
      <c r="AA271" s="30">
        <v>2492</v>
      </c>
      <c r="AB271" s="91">
        <v>45142</v>
      </c>
      <c r="AC271" s="91"/>
      <c r="AD271" s="91">
        <v>45995</v>
      </c>
      <c r="AE271" s="90" t="s">
        <v>297</v>
      </c>
      <c r="AF271" s="90" t="s">
        <v>293</v>
      </c>
      <c r="AG271" s="30"/>
      <c r="AH271" s="90">
        <v>1</v>
      </c>
      <c r="AI271" s="90">
        <v>1</v>
      </c>
      <c r="AJ271" s="90">
        <v>0</v>
      </c>
      <c r="AK271" s="92">
        <v>2023</v>
      </c>
      <c r="AL271" s="90" t="s">
        <v>207</v>
      </c>
      <c r="AM271" s="92">
        <v>92</v>
      </c>
      <c r="AN271" s="90" t="s">
        <v>145</v>
      </c>
      <c r="AO271" s="90">
        <v>1</v>
      </c>
      <c r="AP271" s="90" t="s">
        <v>79</v>
      </c>
      <c r="AQ271" s="30">
        <v>34.1</v>
      </c>
    </row>
    <row r="272" spans="1:43" ht="15" customHeight="1" x14ac:dyDescent="0.3">
      <c r="A272" s="101" t="s">
        <v>669</v>
      </c>
      <c r="B272" s="90" t="s">
        <v>130</v>
      </c>
      <c r="C272" s="91">
        <v>43101</v>
      </c>
      <c r="D272" s="91"/>
      <c r="E272" s="92">
        <v>0</v>
      </c>
      <c r="F272" s="90"/>
      <c r="G272" s="90"/>
      <c r="H272" s="90"/>
      <c r="I272" s="90"/>
      <c r="J272" s="91">
        <v>44972</v>
      </c>
      <c r="K272" s="90" t="s">
        <v>124</v>
      </c>
      <c r="L272" s="90" t="s">
        <v>125</v>
      </c>
      <c r="M272" s="90"/>
      <c r="N272" s="90"/>
      <c r="O272" s="90" t="s">
        <v>186</v>
      </c>
      <c r="P272" s="90"/>
      <c r="Q272" s="90" t="s">
        <v>130</v>
      </c>
      <c r="R272" s="92">
        <v>1</v>
      </c>
      <c r="S272" s="30"/>
      <c r="T272" s="91">
        <v>45015</v>
      </c>
      <c r="U272" s="90" t="s">
        <v>582</v>
      </c>
      <c r="V272" s="91"/>
      <c r="W272" s="90"/>
      <c r="X272" s="92">
        <v>45</v>
      </c>
      <c r="Y272" s="30"/>
      <c r="Z272" s="30"/>
      <c r="AA272" s="30">
        <v>8111</v>
      </c>
      <c r="AB272" s="91">
        <v>45250</v>
      </c>
      <c r="AC272" s="91">
        <v>45743</v>
      </c>
      <c r="AD272" s="91">
        <v>46019</v>
      </c>
      <c r="AE272" s="90" t="s">
        <v>297</v>
      </c>
      <c r="AF272" s="90" t="s">
        <v>284</v>
      </c>
      <c r="AG272" s="30"/>
      <c r="AH272" s="90">
        <v>1</v>
      </c>
      <c r="AI272" s="90">
        <v>1</v>
      </c>
      <c r="AJ272" s="90">
        <v>0</v>
      </c>
      <c r="AK272" s="92">
        <v>2023</v>
      </c>
      <c r="AL272" s="90" t="s">
        <v>198</v>
      </c>
      <c r="AM272" s="92"/>
      <c r="AN272" s="90"/>
      <c r="AO272" s="90">
        <v>0</v>
      </c>
      <c r="AP272" s="90" t="s">
        <v>80</v>
      </c>
      <c r="AQ272" s="30">
        <v>61.5</v>
      </c>
    </row>
    <row r="273" spans="1:43" ht="15" customHeight="1" outlineLevel="1" x14ac:dyDescent="0.3">
      <c r="A273" s="101" t="s">
        <v>669</v>
      </c>
      <c r="B273" s="90" t="s">
        <v>130</v>
      </c>
      <c r="C273" s="91">
        <v>43101</v>
      </c>
      <c r="D273" s="91">
        <v>45250</v>
      </c>
      <c r="E273" s="92">
        <v>1</v>
      </c>
      <c r="F273" s="90" t="s">
        <v>276</v>
      </c>
      <c r="G273" s="90"/>
      <c r="H273" s="90"/>
      <c r="I273" s="90">
        <v>0</v>
      </c>
      <c r="J273" s="91">
        <v>45274</v>
      </c>
      <c r="K273" s="90" t="s">
        <v>131</v>
      </c>
      <c r="L273" s="90" t="s">
        <v>125</v>
      </c>
      <c r="M273" s="90"/>
      <c r="N273" s="90" t="s">
        <v>126</v>
      </c>
      <c r="O273" s="90" t="s">
        <v>149</v>
      </c>
      <c r="P273" s="90" t="s">
        <v>596</v>
      </c>
      <c r="Q273" s="90" t="s">
        <v>130</v>
      </c>
      <c r="R273" s="92">
        <v>1</v>
      </c>
      <c r="S273" s="30"/>
      <c r="T273" s="91">
        <v>45330</v>
      </c>
      <c r="U273" s="90" t="s">
        <v>602</v>
      </c>
      <c r="V273" s="91"/>
      <c r="W273" s="90"/>
      <c r="X273" s="92">
        <v>45</v>
      </c>
      <c r="Y273" s="30"/>
      <c r="Z273" s="30">
        <v>12910.251</v>
      </c>
      <c r="AA273" s="30">
        <v>8111</v>
      </c>
      <c r="AB273" s="91">
        <v>45250</v>
      </c>
      <c r="AC273" s="91">
        <v>45743</v>
      </c>
      <c r="AD273" s="91">
        <v>46019</v>
      </c>
      <c r="AE273" s="90" t="s">
        <v>297</v>
      </c>
      <c r="AF273" s="90" t="s">
        <v>284</v>
      </c>
      <c r="AG273" s="30"/>
      <c r="AH273" s="90">
        <v>0</v>
      </c>
      <c r="AI273" s="90">
        <v>1</v>
      </c>
      <c r="AJ273" s="90">
        <v>0</v>
      </c>
      <c r="AK273" s="92">
        <v>2023</v>
      </c>
      <c r="AL273" s="90" t="s">
        <v>208</v>
      </c>
      <c r="AM273" s="92">
        <v>24</v>
      </c>
      <c r="AN273" s="90" t="s">
        <v>128</v>
      </c>
      <c r="AO273" s="90">
        <v>0</v>
      </c>
      <c r="AP273" s="90" t="s">
        <v>79</v>
      </c>
      <c r="AQ273" s="30">
        <v>71.5</v>
      </c>
    </row>
    <row r="274" spans="1:43" ht="15" customHeight="1" x14ac:dyDescent="0.3">
      <c r="A274" s="101" t="s">
        <v>669</v>
      </c>
      <c r="B274" s="90" t="s">
        <v>130</v>
      </c>
      <c r="C274" s="91">
        <v>43101</v>
      </c>
      <c r="D274" s="91">
        <v>45250</v>
      </c>
      <c r="E274" s="92">
        <v>1</v>
      </c>
      <c r="F274" s="90" t="s">
        <v>276</v>
      </c>
      <c r="G274" s="90"/>
      <c r="H274" s="90"/>
      <c r="I274" s="90">
        <v>0</v>
      </c>
      <c r="J274" s="91">
        <v>45341</v>
      </c>
      <c r="K274" s="90" t="s">
        <v>131</v>
      </c>
      <c r="L274" s="90" t="s">
        <v>125</v>
      </c>
      <c r="M274" s="90"/>
      <c r="N274" s="90" t="s">
        <v>126</v>
      </c>
      <c r="O274" s="90" t="s">
        <v>180</v>
      </c>
      <c r="P274" s="90" t="s">
        <v>596</v>
      </c>
      <c r="Q274" s="90" t="s">
        <v>130</v>
      </c>
      <c r="R274" s="92">
        <v>2</v>
      </c>
      <c r="S274" s="30">
        <v>67</v>
      </c>
      <c r="T274" s="91">
        <v>45377</v>
      </c>
      <c r="U274" s="90" t="s">
        <v>602</v>
      </c>
      <c r="V274" s="91"/>
      <c r="W274" s="90"/>
      <c r="X274" s="92">
        <v>45</v>
      </c>
      <c r="Y274" s="30"/>
      <c r="Z274" s="30">
        <v>12910.251</v>
      </c>
      <c r="AA274" s="30">
        <v>8111</v>
      </c>
      <c r="AB274" s="91">
        <v>45250</v>
      </c>
      <c r="AC274" s="91">
        <v>45743</v>
      </c>
      <c r="AD274" s="91">
        <v>46019</v>
      </c>
      <c r="AE274" s="90" t="s">
        <v>297</v>
      </c>
      <c r="AF274" s="90" t="s">
        <v>284</v>
      </c>
      <c r="AG274" s="30"/>
      <c r="AH274" s="90">
        <v>0</v>
      </c>
      <c r="AI274" s="90">
        <v>1</v>
      </c>
      <c r="AJ274" s="90">
        <v>0</v>
      </c>
      <c r="AK274" s="92">
        <v>2024</v>
      </c>
      <c r="AL274" s="90" t="s">
        <v>210</v>
      </c>
      <c r="AM274" s="92">
        <v>91</v>
      </c>
      <c r="AN274" s="90" t="s">
        <v>145</v>
      </c>
      <c r="AO274" s="90">
        <v>0</v>
      </c>
      <c r="AP274" s="90" t="s">
        <v>79</v>
      </c>
      <c r="AQ274" s="30">
        <v>73.7</v>
      </c>
    </row>
    <row r="275" spans="1:43" ht="15" customHeight="1" outlineLevel="1" x14ac:dyDescent="0.3">
      <c r="A275" s="101" t="s">
        <v>669</v>
      </c>
      <c r="B275" s="90" t="s">
        <v>130</v>
      </c>
      <c r="C275" s="91">
        <v>43101</v>
      </c>
      <c r="D275" s="91">
        <v>45250</v>
      </c>
      <c r="E275" s="92">
        <v>1</v>
      </c>
      <c r="F275" s="90" t="s">
        <v>276</v>
      </c>
      <c r="G275" s="90"/>
      <c r="H275" s="90"/>
      <c r="I275" s="90">
        <v>0</v>
      </c>
      <c r="J275" s="91">
        <v>45388</v>
      </c>
      <c r="K275" s="90" t="s">
        <v>131</v>
      </c>
      <c r="L275" s="90" t="s">
        <v>125</v>
      </c>
      <c r="M275" s="90"/>
      <c r="N275" s="90" t="s">
        <v>126</v>
      </c>
      <c r="O275" s="90" t="s">
        <v>180</v>
      </c>
      <c r="P275" s="90" t="s">
        <v>596</v>
      </c>
      <c r="Q275" s="90" t="s">
        <v>130</v>
      </c>
      <c r="R275" s="92">
        <v>3</v>
      </c>
      <c r="S275" s="30">
        <v>47</v>
      </c>
      <c r="T275" s="91">
        <v>45428</v>
      </c>
      <c r="U275" s="90" t="s">
        <v>602</v>
      </c>
      <c r="V275" s="91"/>
      <c r="W275" s="90"/>
      <c r="X275" s="92">
        <v>45</v>
      </c>
      <c r="Y275" s="30"/>
      <c r="Z275" s="30">
        <v>12910.251</v>
      </c>
      <c r="AA275" s="30">
        <v>8111</v>
      </c>
      <c r="AB275" s="91">
        <v>45250</v>
      </c>
      <c r="AC275" s="91">
        <v>45743</v>
      </c>
      <c r="AD275" s="91">
        <v>46019</v>
      </c>
      <c r="AE275" s="90" t="s">
        <v>297</v>
      </c>
      <c r="AF275" s="90" t="s">
        <v>284</v>
      </c>
      <c r="AG275" s="30"/>
      <c r="AH275" s="90">
        <v>0</v>
      </c>
      <c r="AI275" s="90">
        <v>1</v>
      </c>
      <c r="AJ275" s="90">
        <v>0</v>
      </c>
      <c r="AK275" s="92">
        <v>2024</v>
      </c>
      <c r="AL275" s="90" t="s">
        <v>212</v>
      </c>
      <c r="AM275" s="92">
        <v>138</v>
      </c>
      <c r="AN275" s="90" t="s">
        <v>155</v>
      </c>
      <c r="AO275" s="90">
        <v>0</v>
      </c>
      <c r="AP275" s="90" t="s">
        <v>79</v>
      </c>
      <c r="AQ275" s="30">
        <v>75.2</v>
      </c>
    </row>
    <row r="276" spans="1:43" ht="15" customHeight="1" x14ac:dyDescent="0.3">
      <c r="A276" s="101" t="s">
        <v>669</v>
      </c>
      <c r="B276" s="90" t="s">
        <v>130</v>
      </c>
      <c r="C276" s="91">
        <v>43101</v>
      </c>
      <c r="D276" s="91">
        <v>45250</v>
      </c>
      <c r="E276" s="92">
        <v>1</v>
      </c>
      <c r="F276" s="90" t="s">
        <v>276</v>
      </c>
      <c r="G276" s="90"/>
      <c r="H276" s="90"/>
      <c r="I276" s="90">
        <v>0</v>
      </c>
      <c r="J276" s="91">
        <v>45439</v>
      </c>
      <c r="K276" s="90" t="s">
        <v>131</v>
      </c>
      <c r="L276" s="90" t="s">
        <v>125</v>
      </c>
      <c r="M276" s="90"/>
      <c r="N276" s="90" t="s">
        <v>126</v>
      </c>
      <c r="O276" s="90" t="s">
        <v>175</v>
      </c>
      <c r="P276" s="90" t="s">
        <v>596</v>
      </c>
      <c r="Q276" s="90" t="s">
        <v>130</v>
      </c>
      <c r="R276" s="92">
        <v>4</v>
      </c>
      <c r="S276" s="30">
        <v>51</v>
      </c>
      <c r="T276" s="91">
        <v>45470</v>
      </c>
      <c r="U276" s="90" t="s">
        <v>602</v>
      </c>
      <c r="V276" s="91"/>
      <c r="W276" s="90"/>
      <c r="X276" s="92">
        <v>45</v>
      </c>
      <c r="Y276" s="30"/>
      <c r="Z276" s="30">
        <v>12910.251</v>
      </c>
      <c r="AA276" s="30">
        <v>8111</v>
      </c>
      <c r="AB276" s="91">
        <v>45250</v>
      </c>
      <c r="AC276" s="91">
        <v>45743</v>
      </c>
      <c r="AD276" s="91">
        <v>46019</v>
      </c>
      <c r="AE276" s="90" t="s">
        <v>297</v>
      </c>
      <c r="AF276" s="90" t="s">
        <v>284</v>
      </c>
      <c r="AG276" s="30"/>
      <c r="AH276" s="90">
        <v>0</v>
      </c>
      <c r="AI276" s="90">
        <v>1</v>
      </c>
      <c r="AJ276" s="90">
        <v>0</v>
      </c>
      <c r="AK276" s="92">
        <v>2024</v>
      </c>
      <c r="AL276" s="90" t="s">
        <v>213</v>
      </c>
      <c r="AM276" s="92">
        <v>189</v>
      </c>
      <c r="AN276" s="90" t="s">
        <v>160</v>
      </c>
      <c r="AO276" s="90">
        <v>0</v>
      </c>
      <c r="AP276" s="90" t="s">
        <v>79</v>
      </c>
      <c r="AQ276" s="30">
        <v>76.900000000000006</v>
      </c>
    </row>
    <row r="277" spans="1:43" ht="15" customHeight="1" outlineLevel="1" x14ac:dyDescent="0.3">
      <c r="A277" s="101" t="s">
        <v>669</v>
      </c>
      <c r="B277" s="90" t="s">
        <v>130</v>
      </c>
      <c r="C277" s="91">
        <v>43101</v>
      </c>
      <c r="D277" s="91">
        <v>45250</v>
      </c>
      <c r="E277" s="92">
        <v>1</v>
      </c>
      <c r="F277" s="90" t="s">
        <v>276</v>
      </c>
      <c r="G277" s="90"/>
      <c r="H277" s="90"/>
      <c r="I277" s="90">
        <v>0</v>
      </c>
      <c r="J277" s="91">
        <v>45481</v>
      </c>
      <c r="K277" s="90" t="s">
        <v>131</v>
      </c>
      <c r="L277" s="90" t="s">
        <v>125</v>
      </c>
      <c r="M277" s="90"/>
      <c r="N277" s="90" t="s">
        <v>126</v>
      </c>
      <c r="O277" s="90" t="s">
        <v>175</v>
      </c>
      <c r="P277" s="90" t="s">
        <v>596</v>
      </c>
      <c r="Q277" s="90" t="s">
        <v>130</v>
      </c>
      <c r="R277" s="92">
        <v>5</v>
      </c>
      <c r="S277" s="30">
        <v>42</v>
      </c>
      <c r="T277" s="91">
        <v>45512</v>
      </c>
      <c r="U277" s="90" t="s">
        <v>582</v>
      </c>
      <c r="V277" s="91"/>
      <c r="W277" s="90"/>
      <c r="X277" s="92">
        <v>45</v>
      </c>
      <c r="Y277" s="30"/>
      <c r="Z277" s="30">
        <v>12910.251</v>
      </c>
      <c r="AA277" s="30">
        <v>8111</v>
      </c>
      <c r="AB277" s="91">
        <v>45250</v>
      </c>
      <c r="AC277" s="91">
        <v>45743</v>
      </c>
      <c r="AD277" s="91">
        <v>46019</v>
      </c>
      <c r="AE277" s="90" t="s">
        <v>297</v>
      </c>
      <c r="AF277" s="90" t="s">
        <v>284</v>
      </c>
      <c r="AG277" s="30"/>
      <c r="AH277" s="90">
        <v>1</v>
      </c>
      <c r="AI277" s="90">
        <v>1</v>
      </c>
      <c r="AJ277" s="90">
        <v>0</v>
      </c>
      <c r="AK277" s="92">
        <v>2024</v>
      </c>
      <c r="AL277" s="90" t="s">
        <v>215</v>
      </c>
      <c r="AM277" s="92">
        <v>231</v>
      </c>
      <c r="AN277" s="90" t="s">
        <v>172</v>
      </c>
      <c r="AO277" s="90">
        <v>1</v>
      </c>
      <c r="AP277" s="90" t="s">
        <v>79</v>
      </c>
      <c r="AQ277" s="30">
        <v>78.3</v>
      </c>
    </row>
    <row r="278" spans="1:43" ht="15" customHeight="1" x14ac:dyDescent="0.3">
      <c r="A278" s="101" t="s">
        <v>670</v>
      </c>
      <c r="B278" s="90" t="s">
        <v>130</v>
      </c>
      <c r="C278" s="91">
        <v>43101</v>
      </c>
      <c r="D278" s="91"/>
      <c r="E278" s="92">
        <v>0</v>
      </c>
      <c r="F278" s="90"/>
      <c r="G278" s="90"/>
      <c r="H278" s="90"/>
      <c r="I278" s="90"/>
      <c r="J278" s="91">
        <v>44936</v>
      </c>
      <c r="K278" s="90" t="s">
        <v>124</v>
      </c>
      <c r="L278" s="90" t="s">
        <v>125</v>
      </c>
      <c r="M278" s="90"/>
      <c r="N278" s="90"/>
      <c r="O278" s="90" t="s">
        <v>186</v>
      </c>
      <c r="P278" s="90"/>
      <c r="Q278" s="90" t="s">
        <v>130</v>
      </c>
      <c r="R278" s="92">
        <v>1</v>
      </c>
      <c r="S278" s="30"/>
      <c r="T278" s="91">
        <v>44967</v>
      </c>
      <c r="U278" s="90" t="s">
        <v>582</v>
      </c>
      <c r="V278" s="91"/>
      <c r="W278" s="90"/>
      <c r="X278" s="92">
        <v>45</v>
      </c>
      <c r="Y278" s="30"/>
      <c r="Z278" s="30"/>
      <c r="AA278" s="30">
        <v>6132.0590000000002</v>
      </c>
      <c r="AB278" s="91">
        <v>45228</v>
      </c>
      <c r="AC278" s="91">
        <v>45533</v>
      </c>
      <c r="AD278" s="91">
        <v>46019</v>
      </c>
      <c r="AE278" s="90" t="s">
        <v>297</v>
      </c>
      <c r="AF278" s="90" t="s">
        <v>284</v>
      </c>
      <c r="AG278" s="30"/>
      <c r="AH278" s="90">
        <v>1</v>
      </c>
      <c r="AI278" s="90">
        <v>1</v>
      </c>
      <c r="AJ278" s="90">
        <v>0</v>
      </c>
      <c r="AK278" s="92">
        <v>2023</v>
      </c>
      <c r="AL278" s="90" t="s">
        <v>196</v>
      </c>
      <c r="AM278" s="92"/>
      <c r="AN278" s="90"/>
      <c r="AO278" s="90">
        <v>0</v>
      </c>
      <c r="AP278" s="90" t="s">
        <v>80</v>
      </c>
      <c r="AQ278" s="30">
        <v>60.4</v>
      </c>
    </row>
    <row r="279" spans="1:43" ht="15" customHeight="1" outlineLevel="1" x14ac:dyDescent="0.3">
      <c r="A279" s="101" t="s">
        <v>670</v>
      </c>
      <c r="B279" s="90" t="s">
        <v>130</v>
      </c>
      <c r="C279" s="91">
        <v>43101</v>
      </c>
      <c r="D279" s="91">
        <v>45228</v>
      </c>
      <c r="E279" s="92">
        <v>1</v>
      </c>
      <c r="F279" s="90" t="s">
        <v>276</v>
      </c>
      <c r="G279" s="90"/>
      <c r="H279" s="90"/>
      <c r="I279" s="90">
        <v>0</v>
      </c>
      <c r="J279" s="91">
        <v>45274</v>
      </c>
      <c r="K279" s="90" t="s">
        <v>131</v>
      </c>
      <c r="L279" s="90" t="s">
        <v>125</v>
      </c>
      <c r="M279" s="90"/>
      <c r="N279" s="90" t="s">
        <v>126</v>
      </c>
      <c r="O279" s="90" t="s">
        <v>149</v>
      </c>
      <c r="P279" s="90" t="s">
        <v>596</v>
      </c>
      <c r="Q279" s="90" t="s">
        <v>130</v>
      </c>
      <c r="R279" s="92">
        <v>1</v>
      </c>
      <c r="S279" s="30"/>
      <c r="T279" s="91">
        <v>45330</v>
      </c>
      <c r="U279" s="90" t="s">
        <v>602</v>
      </c>
      <c r="V279" s="91"/>
      <c r="W279" s="90"/>
      <c r="X279" s="92">
        <v>45</v>
      </c>
      <c r="Y279" s="30"/>
      <c r="Z279" s="30">
        <v>6132.0590000000002</v>
      </c>
      <c r="AA279" s="30">
        <v>6132.0590000000002</v>
      </c>
      <c r="AB279" s="91">
        <v>45228</v>
      </c>
      <c r="AC279" s="91">
        <v>45533</v>
      </c>
      <c r="AD279" s="91">
        <v>46019</v>
      </c>
      <c r="AE279" s="90" t="s">
        <v>297</v>
      </c>
      <c r="AF279" s="90" t="s">
        <v>284</v>
      </c>
      <c r="AG279" s="30"/>
      <c r="AH279" s="90">
        <v>0</v>
      </c>
      <c r="AI279" s="90">
        <v>1</v>
      </c>
      <c r="AJ279" s="90">
        <v>0</v>
      </c>
      <c r="AK279" s="92">
        <v>2023</v>
      </c>
      <c r="AL279" s="90" t="s">
        <v>208</v>
      </c>
      <c r="AM279" s="92">
        <v>46</v>
      </c>
      <c r="AN279" s="90" t="s">
        <v>135</v>
      </c>
      <c r="AO279" s="90">
        <v>0</v>
      </c>
      <c r="AP279" s="90" t="s">
        <v>79</v>
      </c>
      <c r="AQ279" s="30">
        <v>71.5</v>
      </c>
    </row>
    <row r="280" spans="1:43" ht="15" customHeight="1" x14ac:dyDescent="0.3">
      <c r="A280" s="101" t="s">
        <v>670</v>
      </c>
      <c r="B280" s="90" t="s">
        <v>130</v>
      </c>
      <c r="C280" s="91">
        <v>43101</v>
      </c>
      <c r="D280" s="91">
        <v>45228</v>
      </c>
      <c r="E280" s="92">
        <v>1</v>
      </c>
      <c r="F280" s="90" t="s">
        <v>276</v>
      </c>
      <c r="G280" s="90"/>
      <c r="H280" s="90"/>
      <c r="I280" s="90">
        <v>0</v>
      </c>
      <c r="J280" s="91">
        <v>45341</v>
      </c>
      <c r="K280" s="90" t="s">
        <v>131</v>
      </c>
      <c r="L280" s="90" t="s">
        <v>125</v>
      </c>
      <c r="M280" s="90"/>
      <c r="N280" s="90" t="s">
        <v>126</v>
      </c>
      <c r="O280" s="90" t="s">
        <v>175</v>
      </c>
      <c r="P280" s="90" t="s">
        <v>596</v>
      </c>
      <c r="Q280" s="90" t="s">
        <v>130</v>
      </c>
      <c r="R280" s="92">
        <v>2</v>
      </c>
      <c r="S280" s="30">
        <v>67</v>
      </c>
      <c r="T280" s="91">
        <v>45377</v>
      </c>
      <c r="U280" s="90" t="s">
        <v>582</v>
      </c>
      <c r="V280" s="91"/>
      <c r="W280" s="90"/>
      <c r="X280" s="92">
        <v>45</v>
      </c>
      <c r="Y280" s="30"/>
      <c r="Z280" s="30">
        <v>6132.0590000000002</v>
      </c>
      <c r="AA280" s="30">
        <v>6132.0590000000002</v>
      </c>
      <c r="AB280" s="91">
        <v>45228</v>
      </c>
      <c r="AC280" s="91">
        <v>45533</v>
      </c>
      <c r="AD280" s="91">
        <v>46019</v>
      </c>
      <c r="AE280" s="90" t="s">
        <v>297</v>
      </c>
      <c r="AF280" s="90" t="s">
        <v>284</v>
      </c>
      <c r="AG280" s="30"/>
      <c r="AH280" s="90">
        <v>1</v>
      </c>
      <c r="AI280" s="90">
        <v>1</v>
      </c>
      <c r="AJ280" s="90">
        <v>0</v>
      </c>
      <c r="AK280" s="92">
        <v>2024</v>
      </c>
      <c r="AL280" s="90" t="s">
        <v>210</v>
      </c>
      <c r="AM280" s="92">
        <v>113</v>
      </c>
      <c r="AN280" s="90" t="s">
        <v>150</v>
      </c>
      <c r="AO280" s="90">
        <v>0</v>
      </c>
      <c r="AP280" s="90" t="s">
        <v>79</v>
      </c>
      <c r="AQ280" s="30">
        <v>73.7</v>
      </c>
    </row>
    <row r="281" spans="1:43" ht="15" customHeight="1" outlineLevel="1" x14ac:dyDescent="0.3">
      <c r="A281" s="101" t="s">
        <v>670</v>
      </c>
      <c r="B281" s="90" t="s">
        <v>130</v>
      </c>
      <c r="C281" s="91">
        <v>43101</v>
      </c>
      <c r="D281" s="91">
        <v>45621</v>
      </c>
      <c r="E281" s="92">
        <v>2</v>
      </c>
      <c r="F281" s="90" t="s">
        <v>276</v>
      </c>
      <c r="G281" s="90" t="s">
        <v>601</v>
      </c>
      <c r="H281" s="90" t="s">
        <v>278</v>
      </c>
      <c r="I281" s="90">
        <v>0</v>
      </c>
      <c r="J281" s="91">
        <v>45711</v>
      </c>
      <c r="K281" s="90" t="s">
        <v>131</v>
      </c>
      <c r="L281" s="90" t="s">
        <v>125</v>
      </c>
      <c r="M281" s="90"/>
      <c r="N281" s="90" t="s">
        <v>126</v>
      </c>
      <c r="O281" s="90">
        <v>-53431</v>
      </c>
      <c r="P281" s="90" t="s">
        <v>596</v>
      </c>
      <c r="Q281" s="90" t="s">
        <v>130</v>
      </c>
      <c r="R281" s="92">
        <v>1</v>
      </c>
      <c r="S281" s="30"/>
      <c r="T281" s="91">
        <v>45743</v>
      </c>
      <c r="U281" s="90" t="s">
        <v>582</v>
      </c>
      <c r="V281" s="91"/>
      <c r="W281" s="90"/>
      <c r="X281" s="92">
        <v>45</v>
      </c>
      <c r="Y281" s="30"/>
      <c r="Z281" s="30">
        <v>4691.5600000000004</v>
      </c>
      <c r="AA281" s="30">
        <v>6132.0590000000002</v>
      </c>
      <c r="AB281" s="91">
        <v>45228</v>
      </c>
      <c r="AC281" s="91">
        <v>45533</v>
      </c>
      <c r="AD281" s="91">
        <v>46019</v>
      </c>
      <c r="AE281" s="90" t="s">
        <v>297</v>
      </c>
      <c r="AF281" s="90" t="s">
        <v>284</v>
      </c>
      <c r="AG281" s="30"/>
      <c r="AH281" s="90">
        <v>1</v>
      </c>
      <c r="AI281" s="90">
        <v>1</v>
      </c>
      <c r="AJ281" s="90">
        <v>0</v>
      </c>
      <c r="AK281" s="92">
        <v>2025</v>
      </c>
      <c r="AL281" s="90" t="s">
        <v>222</v>
      </c>
      <c r="AM281" s="92">
        <v>90</v>
      </c>
      <c r="AN281" s="90" t="s">
        <v>145</v>
      </c>
      <c r="AO281" s="90">
        <v>1</v>
      </c>
      <c r="AP281" s="90" t="s">
        <v>79</v>
      </c>
      <c r="AQ281" s="30">
        <v>85.9</v>
      </c>
    </row>
    <row r="282" spans="1:43" ht="15" customHeight="1" x14ac:dyDescent="0.3">
      <c r="A282" s="101" t="s">
        <v>671</v>
      </c>
      <c r="B282" s="90" t="s">
        <v>130</v>
      </c>
      <c r="C282" s="91">
        <v>43101</v>
      </c>
      <c r="D282" s="91"/>
      <c r="E282" s="92">
        <v>0</v>
      </c>
      <c r="F282" s="90"/>
      <c r="G282" s="90"/>
      <c r="H282" s="90"/>
      <c r="I282" s="90"/>
      <c r="J282" s="91">
        <v>44895</v>
      </c>
      <c r="K282" s="90" t="s">
        <v>124</v>
      </c>
      <c r="L282" s="90" t="s">
        <v>125</v>
      </c>
      <c r="M282" s="90"/>
      <c r="N282" s="90"/>
      <c r="O282" s="90" t="s">
        <v>186</v>
      </c>
      <c r="P282" s="90"/>
      <c r="Q282" s="90" t="s">
        <v>130</v>
      </c>
      <c r="R282" s="92">
        <v>1</v>
      </c>
      <c r="S282" s="30"/>
      <c r="T282" s="91">
        <v>44956</v>
      </c>
      <c r="U282" s="90" t="s">
        <v>582</v>
      </c>
      <c r="V282" s="91"/>
      <c r="W282" s="90"/>
      <c r="X282" s="92">
        <v>45</v>
      </c>
      <c r="Y282" s="30"/>
      <c r="Z282" s="30"/>
      <c r="AA282" s="30">
        <v>3258</v>
      </c>
      <c r="AB282" s="91">
        <v>45205</v>
      </c>
      <c r="AC282" s="91"/>
      <c r="AD282" s="91">
        <v>45995</v>
      </c>
      <c r="AE282" s="90" t="s">
        <v>297</v>
      </c>
      <c r="AF282" s="90" t="s">
        <v>293</v>
      </c>
      <c r="AG282" s="30"/>
      <c r="AH282" s="90">
        <v>1</v>
      </c>
      <c r="AI282" s="90">
        <v>1</v>
      </c>
      <c r="AJ282" s="90">
        <v>0</v>
      </c>
      <c r="AK282" s="92">
        <v>2022</v>
      </c>
      <c r="AL282" s="90" t="s">
        <v>192</v>
      </c>
      <c r="AM282" s="92"/>
      <c r="AN282" s="90"/>
      <c r="AO282" s="90">
        <v>0</v>
      </c>
      <c r="AP282" s="90" t="s">
        <v>80</v>
      </c>
      <c r="AQ282" s="30">
        <v>59</v>
      </c>
    </row>
    <row r="283" spans="1:43" ht="15" customHeight="1" outlineLevel="1" x14ac:dyDescent="0.3">
      <c r="A283" s="101" t="s">
        <v>671</v>
      </c>
      <c r="B283" s="90" t="s">
        <v>130</v>
      </c>
      <c r="C283" s="91">
        <v>43101</v>
      </c>
      <c r="D283" s="91">
        <v>45205</v>
      </c>
      <c r="E283" s="92">
        <v>1</v>
      </c>
      <c r="F283" s="90" t="s">
        <v>276</v>
      </c>
      <c r="G283" s="90" t="s">
        <v>601</v>
      </c>
      <c r="H283" s="90" t="s">
        <v>278</v>
      </c>
      <c r="I283" s="90">
        <v>0</v>
      </c>
      <c r="J283" s="91">
        <v>45234</v>
      </c>
      <c r="K283" s="90" t="s">
        <v>131</v>
      </c>
      <c r="L283" s="90" t="s">
        <v>125</v>
      </c>
      <c r="M283" s="90"/>
      <c r="N283" s="90" t="s">
        <v>126</v>
      </c>
      <c r="O283" s="90" t="s">
        <v>175</v>
      </c>
      <c r="P283" s="90" t="s">
        <v>596</v>
      </c>
      <c r="Q283" s="90" t="s">
        <v>130</v>
      </c>
      <c r="R283" s="92">
        <v>1</v>
      </c>
      <c r="S283" s="30"/>
      <c r="T283" s="91">
        <v>45271</v>
      </c>
      <c r="U283" s="90" t="s">
        <v>582</v>
      </c>
      <c r="V283" s="91"/>
      <c r="W283" s="90"/>
      <c r="X283" s="92">
        <v>45</v>
      </c>
      <c r="Y283" s="30"/>
      <c r="Z283" s="30">
        <v>3258</v>
      </c>
      <c r="AA283" s="30">
        <v>3258</v>
      </c>
      <c r="AB283" s="91">
        <v>45205</v>
      </c>
      <c r="AC283" s="91"/>
      <c r="AD283" s="91">
        <v>45995</v>
      </c>
      <c r="AE283" s="90" t="s">
        <v>297</v>
      </c>
      <c r="AF283" s="90" t="s">
        <v>293</v>
      </c>
      <c r="AG283" s="30"/>
      <c r="AH283" s="90">
        <v>1</v>
      </c>
      <c r="AI283" s="90">
        <v>1</v>
      </c>
      <c r="AJ283" s="90">
        <v>0</v>
      </c>
      <c r="AK283" s="92">
        <v>2023</v>
      </c>
      <c r="AL283" s="90" t="s">
        <v>207</v>
      </c>
      <c r="AM283" s="92">
        <v>29</v>
      </c>
      <c r="AN283" s="90" t="s">
        <v>128</v>
      </c>
      <c r="AO283" s="90">
        <v>1</v>
      </c>
      <c r="AP283" s="90" t="s">
        <v>79</v>
      </c>
      <c r="AQ283" s="30">
        <v>70.2</v>
      </c>
    </row>
    <row r="284" spans="1:43" ht="15" customHeight="1" x14ac:dyDescent="0.3">
      <c r="A284" s="101" t="s">
        <v>672</v>
      </c>
      <c r="B284" s="90" t="s">
        <v>130</v>
      </c>
      <c r="C284" s="91">
        <v>42370</v>
      </c>
      <c r="D284" s="91"/>
      <c r="E284" s="92">
        <v>0</v>
      </c>
      <c r="F284" s="90"/>
      <c r="G284" s="90"/>
      <c r="H284" s="90"/>
      <c r="I284" s="90"/>
      <c r="J284" s="91">
        <v>45045</v>
      </c>
      <c r="K284" s="90" t="s">
        <v>131</v>
      </c>
      <c r="L284" s="90" t="s">
        <v>125</v>
      </c>
      <c r="M284" s="90"/>
      <c r="N284" s="90" t="s">
        <v>126</v>
      </c>
      <c r="O284" s="90" t="s">
        <v>162</v>
      </c>
      <c r="P284" s="90" t="s">
        <v>596</v>
      </c>
      <c r="Q284" s="90" t="s">
        <v>130</v>
      </c>
      <c r="R284" s="92">
        <v>1</v>
      </c>
      <c r="S284" s="30"/>
      <c r="T284" s="91">
        <v>45078</v>
      </c>
      <c r="U284" s="90" t="s">
        <v>582</v>
      </c>
      <c r="V284" s="91"/>
      <c r="W284" s="90"/>
      <c r="X284" s="92">
        <v>45</v>
      </c>
      <c r="Y284" s="30"/>
      <c r="Z284" s="30"/>
      <c r="AA284" s="30">
        <v>7565</v>
      </c>
      <c r="AB284" s="91">
        <v>45335</v>
      </c>
      <c r="AC284" s="91">
        <v>45679</v>
      </c>
      <c r="AD284" s="91">
        <v>46162</v>
      </c>
      <c r="AE284" s="90" t="s">
        <v>295</v>
      </c>
      <c r="AF284" s="90" t="s">
        <v>293</v>
      </c>
      <c r="AG284" s="30"/>
      <c r="AH284" s="90">
        <v>1</v>
      </c>
      <c r="AI284" s="90">
        <v>1</v>
      </c>
      <c r="AJ284" s="90">
        <v>0</v>
      </c>
      <c r="AK284" s="92">
        <v>2023</v>
      </c>
      <c r="AL284" s="90" t="s">
        <v>200</v>
      </c>
      <c r="AM284" s="92"/>
      <c r="AN284" s="90"/>
      <c r="AO284" s="90">
        <v>0</v>
      </c>
      <c r="AP284" s="90" t="s">
        <v>80</v>
      </c>
      <c r="AQ284" s="30">
        <v>88</v>
      </c>
    </row>
    <row r="285" spans="1:43" ht="15" customHeight="1" outlineLevel="1" x14ac:dyDescent="0.3">
      <c r="A285" s="101" t="s">
        <v>672</v>
      </c>
      <c r="B285" s="90" t="s">
        <v>130</v>
      </c>
      <c r="C285" s="91">
        <v>42370</v>
      </c>
      <c r="D285" s="91">
        <v>45335</v>
      </c>
      <c r="E285" s="92">
        <v>1</v>
      </c>
      <c r="F285" s="90" t="s">
        <v>276</v>
      </c>
      <c r="G285" s="90" t="s">
        <v>601</v>
      </c>
      <c r="H285" s="90" t="s">
        <v>278</v>
      </c>
      <c r="I285" s="90">
        <v>0</v>
      </c>
      <c r="J285" s="91">
        <v>45388</v>
      </c>
      <c r="K285" s="90" t="s">
        <v>131</v>
      </c>
      <c r="L285" s="90" t="s">
        <v>125</v>
      </c>
      <c r="M285" s="90"/>
      <c r="N285" s="90" t="s">
        <v>126</v>
      </c>
      <c r="O285" s="90" t="s">
        <v>180</v>
      </c>
      <c r="P285" s="90" t="s">
        <v>596</v>
      </c>
      <c r="Q285" s="90" t="s">
        <v>130</v>
      </c>
      <c r="R285" s="92">
        <v>1</v>
      </c>
      <c r="S285" s="30"/>
      <c r="T285" s="91">
        <v>45428</v>
      </c>
      <c r="U285" s="90" t="s">
        <v>602</v>
      </c>
      <c r="V285" s="91"/>
      <c r="W285" s="90"/>
      <c r="X285" s="92">
        <v>45</v>
      </c>
      <c r="Y285" s="30"/>
      <c r="Z285" s="30">
        <v>8294.9359999999997</v>
      </c>
      <c r="AA285" s="30">
        <v>7565</v>
      </c>
      <c r="AB285" s="91">
        <v>45335</v>
      </c>
      <c r="AC285" s="91">
        <v>45679</v>
      </c>
      <c r="AD285" s="91">
        <v>46162</v>
      </c>
      <c r="AE285" s="90" t="s">
        <v>295</v>
      </c>
      <c r="AF285" s="90" t="s">
        <v>293</v>
      </c>
      <c r="AG285" s="30"/>
      <c r="AH285" s="90">
        <v>0</v>
      </c>
      <c r="AI285" s="90">
        <v>1</v>
      </c>
      <c r="AJ285" s="90">
        <v>0</v>
      </c>
      <c r="AK285" s="92">
        <v>2024</v>
      </c>
      <c r="AL285" s="90" t="s">
        <v>212</v>
      </c>
      <c r="AM285" s="92">
        <v>53</v>
      </c>
      <c r="AN285" s="90" t="s">
        <v>135</v>
      </c>
      <c r="AO285" s="90">
        <v>0</v>
      </c>
      <c r="AP285" s="90" t="s">
        <v>79</v>
      </c>
      <c r="AQ285" s="30">
        <v>99.3</v>
      </c>
    </row>
    <row r="286" spans="1:43" ht="15" customHeight="1" outlineLevel="1" x14ac:dyDescent="0.3">
      <c r="A286" s="101" t="s">
        <v>672</v>
      </c>
      <c r="B286" s="90" t="s">
        <v>130</v>
      </c>
      <c r="C286" s="91">
        <v>42370</v>
      </c>
      <c r="D286" s="91">
        <v>45335</v>
      </c>
      <c r="E286" s="92">
        <v>1</v>
      </c>
      <c r="F286" s="90" t="s">
        <v>276</v>
      </c>
      <c r="G286" s="90" t="s">
        <v>601</v>
      </c>
      <c r="H286" s="90" t="s">
        <v>278</v>
      </c>
      <c r="I286" s="90">
        <v>0</v>
      </c>
      <c r="J286" s="91">
        <v>45439</v>
      </c>
      <c r="K286" s="90" t="s">
        <v>131</v>
      </c>
      <c r="L286" s="90" t="s">
        <v>125</v>
      </c>
      <c r="M286" s="90"/>
      <c r="N286" s="90" t="s">
        <v>126</v>
      </c>
      <c r="O286" s="90" t="s">
        <v>175</v>
      </c>
      <c r="P286" s="90" t="s">
        <v>596</v>
      </c>
      <c r="Q286" s="90" t="s">
        <v>130</v>
      </c>
      <c r="R286" s="92">
        <v>2</v>
      </c>
      <c r="S286" s="30">
        <v>51</v>
      </c>
      <c r="T286" s="91">
        <v>45459</v>
      </c>
      <c r="U286" s="90" t="s">
        <v>602</v>
      </c>
      <c r="V286" s="91"/>
      <c r="W286" s="90"/>
      <c r="X286" s="92">
        <v>45</v>
      </c>
      <c r="Y286" s="30"/>
      <c r="Z286" s="30">
        <v>8294.9359999999997</v>
      </c>
      <c r="AA286" s="30">
        <v>7565</v>
      </c>
      <c r="AB286" s="91">
        <v>45335</v>
      </c>
      <c r="AC286" s="91">
        <v>45679</v>
      </c>
      <c r="AD286" s="91">
        <v>46162</v>
      </c>
      <c r="AE286" s="90" t="s">
        <v>295</v>
      </c>
      <c r="AF286" s="90" t="s">
        <v>293</v>
      </c>
      <c r="AG286" s="30"/>
      <c r="AH286" s="90">
        <v>0</v>
      </c>
      <c r="AI286" s="90">
        <v>1</v>
      </c>
      <c r="AJ286" s="90">
        <v>0</v>
      </c>
      <c r="AK286" s="92">
        <v>2024</v>
      </c>
      <c r="AL286" s="90" t="s">
        <v>213</v>
      </c>
      <c r="AM286" s="92">
        <v>104</v>
      </c>
      <c r="AN286" s="90" t="s">
        <v>145</v>
      </c>
      <c r="AO286" s="90">
        <v>0</v>
      </c>
      <c r="AP286" s="90" t="s">
        <v>79</v>
      </c>
      <c r="AQ286" s="30">
        <v>101</v>
      </c>
    </row>
    <row r="287" spans="1:43" ht="15" customHeight="1" x14ac:dyDescent="0.3">
      <c r="A287" s="101" t="s">
        <v>672</v>
      </c>
      <c r="B287" s="90" t="s">
        <v>130</v>
      </c>
      <c r="C287" s="91">
        <v>42370</v>
      </c>
      <c r="D287" s="91">
        <v>45335</v>
      </c>
      <c r="E287" s="92">
        <v>1</v>
      </c>
      <c r="F287" s="90" t="s">
        <v>276</v>
      </c>
      <c r="G287" s="90" t="s">
        <v>601</v>
      </c>
      <c r="H287" s="90" t="s">
        <v>278</v>
      </c>
      <c r="I287" s="90">
        <v>0</v>
      </c>
      <c r="J287" s="91">
        <v>45460</v>
      </c>
      <c r="K287" s="90" t="s">
        <v>131</v>
      </c>
      <c r="L287" s="90" t="s">
        <v>125</v>
      </c>
      <c r="M287" s="90"/>
      <c r="N287" s="90" t="s">
        <v>126</v>
      </c>
      <c r="O287" s="90" t="s">
        <v>175</v>
      </c>
      <c r="P287" s="90" t="s">
        <v>596</v>
      </c>
      <c r="Q287" s="90" t="s">
        <v>130</v>
      </c>
      <c r="R287" s="92">
        <v>3</v>
      </c>
      <c r="S287" s="30">
        <v>21</v>
      </c>
      <c r="T287" s="91">
        <v>45512</v>
      </c>
      <c r="U287" s="90" t="s">
        <v>582</v>
      </c>
      <c r="V287" s="91"/>
      <c r="W287" s="90"/>
      <c r="X287" s="92">
        <v>45</v>
      </c>
      <c r="Y287" s="30"/>
      <c r="Z287" s="30">
        <v>8294.9359999999997</v>
      </c>
      <c r="AA287" s="30">
        <v>7565</v>
      </c>
      <c r="AB287" s="91">
        <v>45335</v>
      </c>
      <c r="AC287" s="91">
        <v>45679</v>
      </c>
      <c r="AD287" s="91">
        <v>46162</v>
      </c>
      <c r="AE287" s="90" t="s">
        <v>295</v>
      </c>
      <c r="AF287" s="90" t="s">
        <v>293</v>
      </c>
      <c r="AG287" s="30"/>
      <c r="AH287" s="90">
        <v>1</v>
      </c>
      <c r="AI287" s="90">
        <v>1</v>
      </c>
      <c r="AJ287" s="90">
        <v>0</v>
      </c>
      <c r="AK287" s="92">
        <v>2024</v>
      </c>
      <c r="AL287" s="90" t="s">
        <v>214</v>
      </c>
      <c r="AM287" s="92">
        <v>125</v>
      </c>
      <c r="AN287" s="90" t="s">
        <v>150</v>
      </c>
      <c r="AO287" s="90">
        <v>0</v>
      </c>
      <c r="AP287" s="90" t="s">
        <v>79</v>
      </c>
      <c r="AQ287" s="30">
        <v>101.6</v>
      </c>
    </row>
    <row r="288" spans="1:43" ht="15" customHeight="1" outlineLevel="1" x14ac:dyDescent="0.3">
      <c r="A288" s="101" t="s">
        <v>672</v>
      </c>
      <c r="B288" s="90" t="s">
        <v>130</v>
      </c>
      <c r="C288" s="91">
        <v>42370</v>
      </c>
      <c r="D288" s="91">
        <v>45742</v>
      </c>
      <c r="E288" s="92">
        <v>2</v>
      </c>
      <c r="F288" s="90" t="s">
        <v>276</v>
      </c>
      <c r="G288" s="90" t="s">
        <v>601</v>
      </c>
      <c r="H288" s="90" t="s">
        <v>278</v>
      </c>
      <c r="I288" s="90">
        <v>0</v>
      </c>
      <c r="J288" s="91">
        <v>45803</v>
      </c>
      <c r="K288" s="90" t="s">
        <v>131</v>
      </c>
      <c r="L288" s="90" t="s">
        <v>125</v>
      </c>
      <c r="M288" s="90"/>
      <c r="N288" s="90" t="s">
        <v>126</v>
      </c>
      <c r="O288" s="90">
        <v>-53431</v>
      </c>
      <c r="P288" s="90" t="s">
        <v>596</v>
      </c>
      <c r="Q288" s="90" t="s">
        <v>130</v>
      </c>
      <c r="R288" s="92">
        <v>1</v>
      </c>
      <c r="S288" s="30"/>
      <c r="T288" s="91">
        <v>45839</v>
      </c>
      <c r="U288" s="90" t="s">
        <v>582</v>
      </c>
      <c r="V288" s="91">
        <v>45877</v>
      </c>
      <c r="W288" s="90" t="s">
        <v>569</v>
      </c>
      <c r="X288" s="92">
        <v>45</v>
      </c>
      <c r="Y288" s="30"/>
      <c r="Z288" s="30">
        <v>4716.2659999999996</v>
      </c>
      <c r="AA288" s="30">
        <v>7565</v>
      </c>
      <c r="AB288" s="91">
        <v>45335</v>
      </c>
      <c r="AC288" s="91">
        <v>45679</v>
      </c>
      <c r="AD288" s="91">
        <v>46162</v>
      </c>
      <c r="AE288" s="90" t="s">
        <v>295</v>
      </c>
      <c r="AF288" s="90" t="s">
        <v>293</v>
      </c>
      <c r="AG288" s="30"/>
      <c r="AH288" s="90">
        <v>1</v>
      </c>
      <c r="AI288" s="90">
        <v>1</v>
      </c>
      <c r="AJ288" s="90">
        <v>1</v>
      </c>
      <c r="AK288" s="92">
        <v>2025</v>
      </c>
      <c r="AL288" s="90" t="s">
        <v>225</v>
      </c>
      <c r="AM288" s="92">
        <v>61</v>
      </c>
      <c r="AN288" s="90" t="s">
        <v>135</v>
      </c>
      <c r="AO288" s="90">
        <v>0</v>
      </c>
      <c r="AP288" s="90" t="s">
        <v>79</v>
      </c>
      <c r="AQ288" s="30">
        <v>112.9</v>
      </c>
    </row>
    <row r="289" spans="1:43" ht="15" customHeight="1" outlineLevel="1" x14ac:dyDescent="0.3">
      <c r="A289" s="101" t="s">
        <v>672</v>
      </c>
      <c r="B289" s="90" t="s">
        <v>130</v>
      </c>
      <c r="C289" s="91">
        <v>42370</v>
      </c>
      <c r="D289" s="91">
        <v>45742</v>
      </c>
      <c r="E289" s="92">
        <v>2</v>
      </c>
      <c r="F289" s="90" t="s">
        <v>276</v>
      </c>
      <c r="G289" s="90" t="s">
        <v>601</v>
      </c>
      <c r="H289" s="90" t="s">
        <v>278</v>
      </c>
      <c r="I289" s="90">
        <v>0</v>
      </c>
      <c r="J289" s="91">
        <v>45888</v>
      </c>
      <c r="K289" s="90" t="s">
        <v>131</v>
      </c>
      <c r="L289" s="90" t="s">
        <v>125</v>
      </c>
      <c r="M289" s="90"/>
      <c r="N289" s="90" t="s">
        <v>133</v>
      </c>
      <c r="O289" s="90" t="s">
        <v>175</v>
      </c>
      <c r="P289" s="90" t="s">
        <v>596</v>
      </c>
      <c r="Q289" s="90" t="s">
        <v>130</v>
      </c>
      <c r="R289" s="92">
        <v>2</v>
      </c>
      <c r="S289" s="30">
        <v>85</v>
      </c>
      <c r="T289" s="91">
        <v>45923</v>
      </c>
      <c r="U289" s="90" t="s">
        <v>582</v>
      </c>
      <c r="V289" s="91"/>
      <c r="W289" s="90"/>
      <c r="X289" s="92">
        <v>45</v>
      </c>
      <c r="Y289" s="30"/>
      <c r="Z289" s="30">
        <v>4716.2659999999996</v>
      </c>
      <c r="AA289" s="30">
        <v>7565</v>
      </c>
      <c r="AB289" s="91">
        <v>45335</v>
      </c>
      <c r="AC289" s="91">
        <v>45679</v>
      </c>
      <c r="AD289" s="91">
        <v>46162</v>
      </c>
      <c r="AE289" s="90" t="s">
        <v>295</v>
      </c>
      <c r="AF289" s="90" t="s">
        <v>293</v>
      </c>
      <c r="AG289" s="30"/>
      <c r="AH289" s="90">
        <v>1</v>
      </c>
      <c r="AI289" s="90">
        <v>1</v>
      </c>
      <c r="AJ289" s="90">
        <v>0</v>
      </c>
      <c r="AK289" s="92">
        <v>2025</v>
      </c>
      <c r="AL289" s="90" t="s">
        <v>227</v>
      </c>
      <c r="AM289" s="92">
        <v>146</v>
      </c>
      <c r="AN289" s="90" t="s">
        <v>155</v>
      </c>
      <c r="AO289" s="90">
        <v>1</v>
      </c>
      <c r="AP289" s="90" t="s">
        <v>79</v>
      </c>
      <c r="AQ289" s="30">
        <v>115.7</v>
      </c>
    </row>
    <row r="290" spans="1:43" ht="15" customHeight="1" outlineLevel="1" x14ac:dyDescent="0.3">
      <c r="A290" s="101" t="s">
        <v>673</v>
      </c>
      <c r="B290" s="90" t="s">
        <v>130</v>
      </c>
      <c r="C290" s="91">
        <v>42370</v>
      </c>
      <c r="D290" s="91"/>
      <c r="E290" s="92">
        <v>0</v>
      </c>
      <c r="F290" s="90"/>
      <c r="G290" s="90"/>
      <c r="H290" s="90"/>
      <c r="I290" s="90"/>
      <c r="J290" s="91">
        <v>44884</v>
      </c>
      <c r="K290" s="90" t="s">
        <v>124</v>
      </c>
      <c r="L290" s="90" t="s">
        <v>125</v>
      </c>
      <c r="M290" s="90"/>
      <c r="N290" s="90"/>
      <c r="O290" s="90" t="s">
        <v>186</v>
      </c>
      <c r="P290" s="90"/>
      <c r="Q290" s="90" t="s">
        <v>130</v>
      </c>
      <c r="R290" s="92">
        <v>1</v>
      </c>
      <c r="S290" s="30"/>
      <c r="T290" s="91">
        <v>45004</v>
      </c>
      <c r="U290" s="90" t="s">
        <v>582</v>
      </c>
      <c r="V290" s="91"/>
      <c r="W290" s="90"/>
      <c r="X290" s="92">
        <v>45</v>
      </c>
      <c r="Y290" s="30"/>
      <c r="Z290" s="30"/>
      <c r="AA290" s="30">
        <v>7036</v>
      </c>
      <c r="AB290" s="91">
        <v>45173</v>
      </c>
      <c r="AC290" s="91">
        <v>45679</v>
      </c>
      <c r="AD290" s="91">
        <v>46019</v>
      </c>
      <c r="AE290" s="90" t="s">
        <v>297</v>
      </c>
      <c r="AF290" s="90" t="s">
        <v>284</v>
      </c>
      <c r="AG290" s="30"/>
      <c r="AH290" s="90">
        <v>1</v>
      </c>
      <c r="AI290" s="90">
        <v>1</v>
      </c>
      <c r="AJ290" s="90">
        <v>0</v>
      </c>
      <c r="AK290" s="92">
        <v>2022</v>
      </c>
      <c r="AL290" s="90" t="s">
        <v>192</v>
      </c>
      <c r="AM290" s="92"/>
      <c r="AN290" s="90"/>
      <c r="AO290" s="90">
        <v>0</v>
      </c>
      <c r="AP290" s="90" t="s">
        <v>80</v>
      </c>
      <c r="AQ290" s="30">
        <v>82.7</v>
      </c>
    </row>
    <row r="291" spans="1:43" ht="15" customHeight="1" outlineLevel="1" x14ac:dyDescent="0.3">
      <c r="A291" s="101" t="s">
        <v>673</v>
      </c>
      <c r="B291" s="90" t="s">
        <v>130</v>
      </c>
      <c r="C291" s="91">
        <v>42370</v>
      </c>
      <c r="D291" s="91">
        <v>45173</v>
      </c>
      <c r="E291" s="92">
        <v>1</v>
      </c>
      <c r="F291" s="90" t="s">
        <v>276</v>
      </c>
      <c r="G291" s="90" t="s">
        <v>601</v>
      </c>
      <c r="H291" s="90" t="s">
        <v>278</v>
      </c>
      <c r="I291" s="90">
        <v>0</v>
      </c>
      <c r="J291" s="91">
        <v>45234</v>
      </c>
      <c r="K291" s="90" t="s">
        <v>131</v>
      </c>
      <c r="L291" s="90" t="s">
        <v>125</v>
      </c>
      <c r="M291" s="90"/>
      <c r="N291" s="90" t="s">
        <v>126</v>
      </c>
      <c r="O291" s="90" t="s">
        <v>175</v>
      </c>
      <c r="P291" s="90" t="s">
        <v>596</v>
      </c>
      <c r="Q291" s="90" t="s">
        <v>130</v>
      </c>
      <c r="R291" s="92">
        <v>1</v>
      </c>
      <c r="S291" s="30"/>
      <c r="T291" s="91">
        <v>45271</v>
      </c>
      <c r="U291" s="90" t="s">
        <v>582</v>
      </c>
      <c r="V291" s="91">
        <v>45330</v>
      </c>
      <c r="W291" s="90" t="s">
        <v>569</v>
      </c>
      <c r="X291" s="92">
        <v>45</v>
      </c>
      <c r="Y291" s="30"/>
      <c r="Z291" s="30">
        <v>9645.1669999999995</v>
      </c>
      <c r="AA291" s="30">
        <v>7036</v>
      </c>
      <c r="AB291" s="91">
        <v>45173</v>
      </c>
      <c r="AC291" s="91">
        <v>45679</v>
      </c>
      <c r="AD291" s="91">
        <v>46019</v>
      </c>
      <c r="AE291" s="90" t="s">
        <v>297</v>
      </c>
      <c r="AF291" s="90" t="s">
        <v>284</v>
      </c>
      <c r="AG291" s="30"/>
      <c r="AH291" s="90">
        <v>1</v>
      </c>
      <c r="AI291" s="90">
        <v>1</v>
      </c>
      <c r="AJ291" s="90">
        <v>1</v>
      </c>
      <c r="AK291" s="92">
        <v>2023</v>
      </c>
      <c r="AL291" s="90" t="s">
        <v>207</v>
      </c>
      <c r="AM291" s="92">
        <v>61</v>
      </c>
      <c r="AN291" s="90" t="s">
        <v>135</v>
      </c>
      <c r="AO291" s="90">
        <v>0</v>
      </c>
      <c r="AP291" s="90" t="s">
        <v>79</v>
      </c>
      <c r="AQ291" s="30">
        <v>94.2</v>
      </c>
    </row>
    <row r="292" spans="1:43" ht="15" customHeight="1" x14ac:dyDescent="0.3">
      <c r="A292" s="101" t="s">
        <v>673</v>
      </c>
      <c r="B292" s="90" t="s">
        <v>130</v>
      </c>
      <c r="C292" s="91">
        <v>42370</v>
      </c>
      <c r="D292" s="91">
        <v>45173</v>
      </c>
      <c r="E292" s="92">
        <v>1</v>
      </c>
      <c r="F292" s="90" t="s">
        <v>276</v>
      </c>
      <c r="G292" s="90" t="s">
        <v>601</v>
      </c>
      <c r="H292" s="90" t="s">
        <v>278</v>
      </c>
      <c r="I292" s="90">
        <v>0</v>
      </c>
      <c r="J292" s="91">
        <v>45341</v>
      </c>
      <c r="K292" s="90" t="s">
        <v>131</v>
      </c>
      <c r="L292" s="90" t="s">
        <v>125</v>
      </c>
      <c r="M292" s="90"/>
      <c r="N292" s="90" t="s">
        <v>126</v>
      </c>
      <c r="O292" s="90" t="s">
        <v>175</v>
      </c>
      <c r="P292" s="90" t="s">
        <v>596</v>
      </c>
      <c r="Q292" s="90" t="s">
        <v>130</v>
      </c>
      <c r="R292" s="92">
        <v>2</v>
      </c>
      <c r="S292" s="30">
        <v>107</v>
      </c>
      <c r="T292" s="91">
        <v>45377</v>
      </c>
      <c r="U292" s="90" t="s">
        <v>602</v>
      </c>
      <c r="V292" s="91"/>
      <c r="W292" s="90"/>
      <c r="X292" s="92">
        <v>45</v>
      </c>
      <c r="Y292" s="30"/>
      <c r="Z292" s="30">
        <v>9645.1669999999995</v>
      </c>
      <c r="AA292" s="30">
        <v>7036</v>
      </c>
      <c r="AB292" s="91">
        <v>45173</v>
      </c>
      <c r="AC292" s="91">
        <v>45679</v>
      </c>
      <c r="AD292" s="91">
        <v>46019</v>
      </c>
      <c r="AE292" s="90" t="s">
        <v>297</v>
      </c>
      <c r="AF292" s="90" t="s">
        <v>284</v>
      </c>
      <c r="AG292" s="30"/>
      <c r="AH292" s="90">
        <v>0</v>
      </c>
      <c r="AI292" s="90">
        <v>1</v>
      </c>
      <c r="AJ292" s="90">
        <v>0</v>
      </c>
      <c r="AK292" s="92">
        <v>2024</v>
      </c>
      <c r="AL292" s="90" t="s">
        <v>210</v>
      </c>
      <c r="AM292" s="92">
        <v>168</v>
      </c>
      <c r="AN292" s="90" t="s">
        <v>158</v>
      </c>
      <c r="AO292" s="90">
        <v>0</v>
      </c>
      <c r="AP292" s="90" t="s">
        <v>79</v>
      </c>
      <c r="AQ292" s="30">
        <v>97.7</v>
      </c>
    </row>
    <row r="293" spans="1:43" ht="15" customHeight="1" outlineLevel="1" x14ac:dyDescent="0.3">
      <c r="A293" s="101" t="s">
        <v>673</v>
      </c>
      <c r="B293" s="90" t="s">
        <v>130</v>
      </c>
      <c r="C293" s="91">
        <v>42370</v>
      </c>
      <c r="D293" s="91">
        <v>45173</v>
      </c>
      <c r="E293" s="92">
        <v>1</v>
      </c>
      <c r="F293" s="90" t="s">
        <v>276</v>
      </c>
      <c r="G293" s="90" t="s">
        <v>601</v>
      </c>
      <c r="H293" s="90" t="s">
        <v>278</v>
      </c>
      <c r="I293" s="90">
        <v>0</v>
      </c>
      <c r="J293" s="91">
        <v>45388</v>
      </c>
      <c r="K293" s="90" t="s">
        <v>131</v>
      </c>
      <c r="L293" s="90" t="s">
        <v>125</v>
      </c>
      <c r="M293" s="90"/>
      <c r="N293" s="90" t="s">
        <v>126</v>
      </c>
      <c r="O293" s="90" t="s">
        <v>175</v>
      </c>
      <c r="P293" s="90" t="s">
        <v>596</v>
      </c>
      <c r="Q293" s="90" t="s">
        <v>130</v>
      </c>
      <c r="R293" s="92">
        <v>3</v>
      </c>
      <c r="S293" s="30">
        <v>47</v>
      </c>
      <c r="T293" s="91">
        <v>45428</v>
      </c>
      <c r="U293" s="90" t="s">
        <v>602</v>
      </c>
      <c r="V293" s="91"/>
      <c r="W293" s="90"/>
      <c r="X293" s="92">
        <v>45</v>
      </c>
      <c r="Y293" s="30"/>
      <c r="Z293" s="30">
        <v>9645.1669999999995</v>
      </c>
      <c r="AA293" s="30">
        <v>7036</v>
      </c>
      <c r="AB293" s="91">
        <v>45173</v>
      </c>
      <c r="AC293" s="91">
        <v>45679</v>
      </c>
      <c r="AD293" s="91">
        <v>46019</v>
      </c>
      <c r="AE293" s="90" t="s">
        <v>297</v>
      </c>
      <c r="AF293" s="90" t="s">
        <v>284</v>
      </c>
      <c r="AG293" s="30"/>
      <c r="AH293" s="90">
        <v>0</v>
      </c>
      <c r="AI293" s="90">
        <v>1</v>
      </c>
      <c r="AJ293" s="90">
        <v>0</v>
      </c>
      <c r="AK293" s="92">
        <v>2024</v>
      </c>
      <c r="AL293" s="90" t="s">
        <v>212</v>
      </c>
      <c r="AM293" s="92">
        <v>215</v>
      </c>
      <c r="AN293" s="90" t="s">
        <v>172</v>
      </c>
      <c r="AO293" s="90">
        <v>0</v>
      </c>
      <c r="AP293" s="90" t="s">
        <v>79</v>
      </c>
      <c r="AQ293" s="30">
        <v>99.3</v>
      </c>
    </row>
    <row r="294" spans="1:43" ht="15" customHeight="1" x14ac:dyDescent="0.3">
      <c r="A294" s="101" t="s">
        <v>673</v>
      </c>
      <c r="B294" s="90" t="s">
        <v>130</v>
      </c>
      <c r="C294" s="91">
        <v>42370</v>
      </c>
      <c r="D294" s="91">
        <v>45173</v>
      </c>
      <c r="E294" s="92">
        <v>1</v>
      </c>
      <c r="F294" s="90" t="s">
        <v>276</v>
      </c>
      <c r="G294" s="90" t="s">
        <v>601</v>
      </c>
      <c r="H294" s="90" t="s">
        <v>278</v>
      </c>
      <c r="I294" s="90">
        <v>0</v>
      </c>
      <c r="J294" s="91">
        <v>45439</v>
      </c>
      <c r="K294" s="90" t="s">
        <v>131</v>
      </c>
      <c r="L294" s="90" t="s">
        <v>125</v>
      </c>
      <c r="M294" s="90"/>
      <c r="N294" s="90" t="s">
        <v>126</v>
      </c>
      <c r="O294" s="90" t="s">
        <v>175</v>
      </c>
      <c r="P294" s="90" t="s">
        <v>596</v>
      </c>
      <c r="Q294" s="90" t="s">
        <v>130</v>
      </c>
      <c r="R294" s="92">
        <v>4</v>
      </c>
      <c r="S294" s="30">
        <v>51</v>
      </c>
      <c r="T294" s="91">
        <v>45459</v>
      </c>
      <c r="U294" s="90" t="s">
        <v>602</v>
      </c>
      <c r="V294" s="91"/>
      <c r="W294" s="90"/>
      <c r="X294" s="92">
        <v>45</v>
      </c>
      <c r="Y294" s="30"/>
      <c r="Z294" s="30">
        <v>9645.1669999999995</v>
      </c>
      <c r="AA294" s="30">
        <v>7036</v>
      </c>
      <c r="AB294" s="91">
        <v>45173</v>
      </c>
      <c r="AC294" s="91">
        <v>45679</v>
      </c>
      <c r="AD294" s="91">
        <v>46019</v>
      </c>
      <c r="AE294" s="90" t="s">
        <v>297</v>
      </c>
      <c r="AF294" s="90" t="s">
        <v>284</v>
      </c>
      <c r="AG294" s="30"/>
      <c r="AH294" s="90">
        <v>0</v>
      </c>
      <c r="AI294" s="90">
        <v>1</v>
      </c>
      <c r="AJ294" s="90">
        <v>0</v>
      </c>
      <c r="AK294" s="92">
        <v>2024</v>
      </c>
      <c r="AL294" s="90" t="s">
        <v>213</v>
      </c>
      <c r="AM294" s="92">
        <v>266</v>
      </c>
      <c r="AN294" s="90" t="s">
        <v>176</v>
      </c>
      <c r="AO294" s="90">
        <v>0</v>
      </c>
      <c r="AP294" s="90" t="s">
        <v>79</v>
      </c>
      <c r="AQ294" s="30">
        <v>101</v>
      </c>
    </row>
    <row r="295" spans="1:43" ht="15" customHeight="1" x14ac:dyDescent="0.3">
      <c r="A295" s="101" t="s">
        <v>673</v>
      </c>
      <c r="B295" s="90" t="s">
        <v>130</v>
      </c>
      <c r="C295" s="91">
        <v>42370</v>
      </c>
      <c r="D295" s="91">
        <v>45173</v>
      </c>
      <c r="E295" s="92">
        <v>1</v>
      </c>
      <c r="F295" s="90" t="s">
        <v>276</v>
      </c>
      <c r="G295" s="90" t="s">
        <v>601</v>
      </c>
      <c r="H295" s="90" t="s">
        <v>278</v>
      </c>
      <c r="I295" s="90">
        <v>0</v>
      </c>
      <c r="J295" s="91">
        <v>45460</v>
      </c>
      <c r="K295" s="90" t="s">
        <v>131</v>
      </c>
      <c r="L295" s="90" t="s">
        <v>125</v>
      </c>
      <c r="M295" s="90"/>
      <c r="N295" s="90" t="s">
        <v>126</v>
      </c>
      <c r="O295" s="90" t="s">
        <v>175</v>
      </c>
      <c r="P295" s="90" t="s">
        <v>596</v>
      </c>
      <c r="Q295" s="90" t="s">
        <v>130</v>
      </c>
      <c r="R295" s="92">
        <v>5</v>
      </c>
      <c r="S295" s="30">
        <v>21</v>
      </c>
      <c r="T295" s="91">
        <v>45512</v>
      </c>
      <c r="U295" s="90" t="s">
        <v>582</v>
      </c>
      <c r="V295" s="91"/>
      <c r="W295" s="90"/>
      <c r="X295" s="92">
        <v>45</v>
      </c>
      <c r="Y295" s="30"/>
      <c r="Z295" s="30">
        <v>9645.1669999999995</v>
      </c>
      <c r="AA295" s="30">
        <v>7036</v>
      </c>
      <c r="AB295" s="91">
        <v>45173</v>
      </c>
      <c r="AC295" s="91">
        <v>45679</v>
      </c>
      <c r="AD295" s="91">
        <v>46019</v>
      </c>
      <c r="AE295" s="90" t="s">
        <v>297</v>
      </c>
      <c r="AF295" s="90" t="s">
        <v>284</v>
      </c>
      <c r="AG295" s="30"/>
      <c r="AH295" s="90">
        <v>1</v>
      </c>
      <c r="AI295" s="90">
        <v>1</v>
      </c>
      <c r="AJ295" s="90">
        <v>0</v>
      </c>
      <c r="AK295" s="92">
        <v>2024</v>
      </c>
      <c r="AL295" s="90" t="s">
        <v>214</v>
      </c>
      <c r="AM295" s="92">
        <v>287</v>
      </c>
      <c r="AN295" s="90" t="s">
        <v>178</v>
      </c>
      <c r="AO295" s="90">
        <v>0</v>
      </c>
      <c r="AP295" s="90" t="s">
        <v>79</v>
      </c>
      <c r="AQ295" s="30">
        <v>101.6</v>
      </c>
    </row>
    <row r="296" spans="1:43" ht="15" customHeight="1" x14ac:dyDescent="0.3">
      <c r="A296" s="101" t="s">
        <v>673</v>
      </c>
      <c r="B296" s="90" t="s">
        <v>130</v>
      </c>
      <c r="C296" s="91">
        <v>42370</v>
      </c>
      <c r="D296" s="91">
        <v>45735</v>
      </c>
      <c r="E296" s="92">
        <v>2</v>
      </c>
      <c r="F296" s="90" t="s">
        <v>276</v>
      </c>
      <c r="G296" s="90"/>
      <c r="H296" s="90"/>
      <c r="I296" s="90">
        <v>0</v>
      </c>
      <c r="J296" s="91">
        <v>45803</v>
      </c>
      <c r="K296" s="90" t="s">
        <v>131</v>
      </c>
      <c r="L296" s="90" t="s">
        <v>125</v>
      </c>
      <c r="M296" s="90"/>
      <c r="N296" s="90" t="s">
        <v>126</v>
      </c>
      <c r="O296" s="90">
        <v>-53431</v>
      </c>
      <c r="P296" s="90" t="s">
        <v>596</v>
      </c>
      <c r="Q296" s="90" t="s">
        <v>130</v>
      </c>
      <c r="R296" s="92">
        <v>1</v>
      </c>
      <c r="S296" s="30"/>
      <c r="T296" s="91">
        <v>45839</v>
      </c>
      <c r="U296" s="90" t="s">
        <v>602</v>
      </c>
      <c r="V296" s="91"/>
      <c r="W296" s="90"/>
      <c r="X296" s="92">
        <v>45</v>
      </c>
      <c r="Y296" s="30"/>
      <c r="Z296" s="30">
        <v>4772.6360000000004</v>
      </c>
      <c r="AA296" s="30">
        <v>7036</v>
      </c>
      <c r="AB296" s="91">
        <v>45173</v>
      </c>
      <c r="AC296" s="91">
        <v>45679</v>
      </c>
      <c r="AD296" s="91">
        <v>46019</v>
      </c>
      <c r="AE296" s="90" t="s">
        <v>297</v>
      </c>
      <c r="AF296" s="90" t="s">
        <v>284</v>
      </c>
      <c r="AG296" s="30"/>
      <c r="AH296" s="90">
        <v>0</v>
      </c>
      <c r="AI296" s="90">
        <v>1</v>
      </c>
      <c r="AJ296" s="90">
        <v>0</v>
      </c>
      <c r="AK296" s="92">
        <v>2025</v>
      </c>
      <c r="AL296" s="90" t="s">
        <v>225</v>
      </c>
      <c r="AM296" s="92">
        <v>68</v>
      </c>
      <c r="AN296" s="90" t="s">
        <v>140</v>
      </c>
      <c r="AO296" s="90">
        <v>0</v>
      </c>
      <c r="AP296" s="90" t="s">
        <v>79</v>
      </c>
      <c r="AQ296" s="30">
        <v>112.9</v>
      </c>
    </row>
    <row r="297" spans="1:43" ht="15" customHeight="1" x14ac:dyDescent="0.3">
      <c r="A297" s="101" t="s">
        <v>673</v>
      </c>
      <c r="B297" s="90" t="s">
        <v>130</v>
      </c>
      <c r="C297" s="91">
        <v>42370</v>
      </c>
      <c r="D297" s="91">
        <v>45735</v>
      </c>
      <c r="E297" s="92">
        <v>2</v>
      </c>
      <c r="F297" s="90" t="s">
        <v>276</v>
      </c>
      <c r="G297" s="90"/>
      <c r="H297" s="90"/>
      <c r="I297" s="90">
        <v>0</v>
      </c>
      <c r="J297" s="91">
        <v>45850</v>
      </c>
      <c r="K297" s="90" t="s">
        <v>131</v>
      </c>
      <c r="L297" s="90" t="s">
        <v>125</v>
      </c>
      <c r="M297" s="90"/>
      <c r="N297" s="90" t="s">
        <v>126</v>
      </c>
      <c r="O297" s="90">
        <v>-867</v>
      </c>
      <c r="P297" s="90" t="s">
        <v>596</v>
      </c>
      <c r="Q297" s="90" t="s">
        <v>130</v>
      </c>
      <c r="R297" s="92">
        <v>2</v>
      </c>
      <c r="S297" s="30">
        <v>47</v>
      </c>
      <c r="T297" s="91">
        <v>45877</v>
      </c>
      <c r="U297" s="90" t="s">
        <v>582</v>
      </c>
      <c r="V297" s="91">
        <v>45923</v>
      </c>
      <c r="W297" s="90" t="s">
        <v>569</v>
      </c>
      <c r="X297" s="92">
        <v>45</v>
      </c>
      <c r="Y297" s="30"/>
      <c r="Z297" s="30">
        <v>4772.6360000000004</v>
      </c>
      <c r="AA297" s="30">
        <v>7036</v>
      </c>
      <c r="AB297" s="91">
        <v>45173</v>
      </c>
      <c r="AC297" s="91">
        <v>45679</v>
      </c>
      <c r="AD297" s="91">
        <v>46019</v>
      </c>
      <c r="AE297" s="90" t="s">
        <v>297</v>
      </c>
      <c r="AF297" s="90" t="s">
        <v>284</v>
      </c>
      <c r="AG297" s="30"/>
      <c r="AH297" s="90">
        <v>1</v>
      </c>
      <c r="AI297" s="90">
        <v>1</v>
      </c>
      <c r="AJ297" s="90">
        <v>1</v>
      </c>
      <c r="AK297" s="92">
        <v>2025</v>
      </c>
      <c r="AL297" s="90" t="s">
        <v>226</v>
      </c>
      <c r="AM297" s="92">
        <v>115</v>
      </c>
      <c r="AN297" s="90" t="s">
        <v>150</v>
      </c>
      <c r="AO297" s="90">
        <v>0</v>
      </c>
      <c r="AP297" s="90" t="s">
        <v>79</v>
      </c>
      <c r="AQ297" s="30">
        <v>114.5</v>
      </c>
    </row>
    <row r="298" spans="1:43" ht="15" customHeight="1" x14ac:dyDescent="0.3">
      <c r="A298" s="101" t="s">
        <v>673</v>
      </c>
      <c r="B298" s="90" t="s">
        <v>130</v>
      </c>
      <c r="C298" s="91">
        <v>42370</v>
      </c>
      <c r="D298" s="91">
        <v>45735</v>
      </c>
      <c r="E298" s="92">
        <v>2</v>
      </c>
      <c r="F298" s="90" t="s">
        <v>276</v>
      </c>
      <c r="G298" s="90"/>
      <c r="H298" s="90"/>
      <c r="I298" s="90">
        <v>0</v>
      </c>
      <c r="J298" s="91">
        <v>45934</v>
      </c>
      <c r="K298" s="90" t="s">
        <v>131</v>
      </c>
      <c r="L298" s="90" t="s">
        <v>125</v>
      </c>
      <c r="M298" s="90"/>
      <c r="N298" s="90" t="s">
        <v>133</v>
      </c>
      <c r="O298" s="90" t="s">
        <v>139</v>
      </c>
      <c r="P298" s="90" t="s">
        <v>596</v>
      </c>
      <c r="Q298" s="90" t="s">
        <v>130</v>
      </c>
      <c r="R298" s="92">
        <v>3</v>
      </c>
      <c r="S298" s="30">
        <v>84</v>
      </c>
      <c r="T298" s="91">
        <v>45968</v>
      </c>
      <c r="U298" s="90" t="s">
        <v>602</v>
      </c>
      <c r="V298" s="91"/>
      <c r="W298" s="90"/>
      <c r="X298" s="92">
        <v>45</v>
      </c>
      <c r="Y298" s="30"/>
      <c r="Z298" s="30">
        <v>4772.6360000000004</v>
      </c>
      <c r="AA298" s="30">
        <v>7036</v>
      </c>
      <c r="AB298" s="91">
        <v>45173</v>
      </c>
      <c r="AC298" s="91">
        <v>45679</v>
      </c>
      <c r="AD298" s="91">
        <v>46019</v>
      </c>
      <c r="AE298" s="90" t="s">
        <v>297</v>
      </c>
      <c r="AF298" s="90" t="s">
        <v>284</v>
      </c>
      <c r="AG298" s="30"/>
      <c r="AH298" s="90">
        <v>0</v>
      </c>
      <c r="AI298" s="90">
        <v>1</v>
      </c>
      <c r="AJ298" s="90">
        <v>0</v>
      </c>
      <c r="AK298" s="92">
        <v>2025</v>
      </c>
      <c r="AL298" s="90" t="s">
        <v>229</v>
      </c>
      <c r="AM298" s="92">
        <v>199</v>
      </c>
      <c r="AN298" s="90" t="s">
        <v>163</v>
      </c>
      <c r="AO298" s="90">
        <v>1</v>
      </c>
      <c r="AP298" s="90" t="s">
        <v>79</v>
      </c>
      <c r="AQ298" s="30">
        <v>117.2</v>
      </c>
    </row>
    <row r="299" spans="1:43" ht="15" customHeight="1" outlineLevel="1" x14ac:dyDescent="0.3">
      <c r="A299" s="101" t="s">
        <v>674</v>
      </c>
      <c r="B299" s="90" t="s">
        <v>143</v>
      </c>
      <c r="C299" s="91">
        <v>43101</v>
      </c>
      <c r="D299" s="91"/>
      <c r="E299" s="92">
        <v>0</v>
      </c>
      <c r="F299" s="90"/>
      <c r="G299" s="90"/>
      <c r="H299" s="90"/>
      <c r="I299" s="90"/>
      <c r="J299" s="91">
        <v>45282</v>
      </c>
      <c r="K299" s="90" t="s">
        <v>131</v>
      </c>
      <c r="L299" s="90" t="s">
        <v>125</v>
      </c>
      <c r="M299" s="90"/>
      <c r="N299" s="90" t="s">
        <v>126</v>
      </c>
      <c r="O299" s="90" t="s">
        <v>175</v>
      </c>
      <c r="P299" s="90" t="s">
        <v>596</v>
      </c>
      <c r="Q299" s="90" t="s">
        <v>130</v>
      </c>
      <c r="R299" s="92">
        <v>1</v>
      </c>
      <c r="S299" s="30"/>
      <c r="T299" s="91">
        <v>45330</v>
      </c>
      <c r="U299" s="90" t="s">
        <v>602</v>
      </c>
      <c r="V299" s="91"/>
      <c r="W299" s="90"/>
      <c r="X299" s="92">
        <v>45</v>
      </c>
      <c r="Y299" s="30"/>
      <c r="Z299" s="30"/>
      <c r="AA299" s="30">
        <v>7689</v>
      </c>
      <c r="AB299" s="91">
        <v>45764</v>
      </c>
      <c r="AC299" s="91">
        <v>46105</v>
      </c>
      <c r="AD299" s="91"/>
      <c r="AE299" s="90"/>
      <c r="AF299" s="90"/>
      <c r="AG299" s="30"/>
      <c r="AH299" s="90">
        <v>0</v>
      </c>
      <c r="AI299" s="90">
        <v>1</v>
      </c>
      <c r="AJ299" s="90">
        <v>0</v>
      </c>
      <c r="AK299" s="92">
        <v>2023</v>
      </c>
      <c r="AL299" s="90" t="s">
        <v>208</v>
      </c>
      <c r="AM299" s="92"/>
      <c r="AN299" s="90"/>
      <c r="AO299" s="90">
        <v>0</v>
      </c>
      <c r="AP299" s="90" t="s">
        <v>80</v>
      </c>
      <c r="AQ299" s="30">
        <v>71.7</v>
      </c>
    </row>
    <row r="300" spans="1:43" ht="15" customHeight="1" outlineLevel="1" x14ac:dyDescent="0.3">
      <c r="A300" s="101" t="s">
        <v>674</v>
      </c>
      <c r="B300" s="90" t="s">
        <v>143</v>
      </c>
      <c r="C300" s="91">
        <v>43101</v>
      </c>
      <c r="D300" s="91"/>
      <c r="E300" s="92">
        <v>0</v>
      </c>
      <c r="F300" s="90"/>
      <c r="G300" s="90"/>
      <c r="H300" s="90"/>
      <c r="I300" s="90"/>
      <c r="J300" s="91">
        <v>45332</v>
      </c>
      <c r="K300" s="90" t="s">
        <v>131</v>
      </c>
      <c r="L300" s="90" t="s">
        <v>125</v>
      </c>
      <c r="M300" s="90"/>
      <c r="N300" s="90" t="s">
        <v>126</v>
      </c>
      <c r="O300" s="90" t="s">
        <v>175</v>
      </c>
      <c r="P300" s="90" t="s">
        <v>596</v>
      </c>
      <c r="Q300" s="90" t="s">
        <v>130</v>
      </c>
      <c r="R300" s="92">
        <v>2</v>
      </c>
      <c r="S300" s="30">
        <v>50</v>
      </c>
      <c r="T300" s="91">
        <v>45377</v>
      </c>
      <c r="U300" s="90" t="s">
        <v>602</v>
      </c>
      <c r="V300" s="91"/>
      <c r="W300" s="90"/>
      <c r="X300" s="92">
        <v>45</v>
      </c>
      <c r="Y300" s="30"/>
      <c r="Z300" s="30"/>
      <c r="AA300" s="30">
        <v>7689</v>
      </c>
      <c r="AB300" s="91">
        <v>45764</v>
      </c>
      <c r="AC300" s="91">
        <v>46105</v>
      </c>
      <c r="AD300" s="91"/>
      <c r="AE300" s="90"/>
      <c r="AF300" s="90"/>
      <c r="AG300" s="30"/>
      <c r="AH300" s="90">
        <v>0</v>
      </c>
      <c r="AI300" s="90">
        <v>1</v>
      </c>
      <c r="AJ300" s="90">
        <v>0</v>
      </c>
      <c r="AK300" s="92">
        <v>2024</v>
      </c>
      <c r="AL300" s="90" t="s">
        <v>210</v>
      </c>
      <c r="AM300" s="92"/>
      <c r="AN300" s="90"/>
      <c r="AO300" s="90">
        <v>0</v>
      </c>
      <c r="AP300" s="90" t="s">
        <v>80</v>
      </c>
      <c r="AQ300" s="30">
        <v>73.400000000000006</v>
      </c>
    </row>
    <row r="301" spans="1:43" ht="15" customHeight="1" outlineLevel="1" x14ac:dyDescent="0.3">
      <c r="A301" s="101" t="s">
        <v>674</v>
      </c>
      <c r="B301" s="90" t="s">
        <v>143</v>
      </c>
      <c r="C301" s="91">
        <v>43101</v>
      </c>
      <c r="D301" s="91"/>
      <c r="E301" s="92">
        <v>0</v>
      </c>
      <c r="F301" s="90"/>
      <c r="G301" s="90"/>
      <c r="H301" s="90"/>
      <c r="I301" s="90"/>
      <c r="J301" s="91">
        <v>45388</v>
      </c>
      <c r="K301" s="90" t="s">
        <v>131</v>
      </c>
      <c r="L301" s="90" t="s">
        <v>125</v>
      </c>
      <c r="M301" s="90"/>
      <c r="N301" s="90" t="s">
        <v>126</v>
      </c>
      <c r="O301" s="90" t="s">
        <v>175</v>
      </c>
      <c r="P301" s="90" t="s">
        <v>596</v>
      </c>
      <c r="Q301" s="90" t="s">
        <v>130</v>
      </c>
      <c r="R301" s="92">
        <v>3</v>
      </c>
      <c r="S301" s="30">
        <v>56</v>
      </c>
      <c r="T301" s="91">
        <v>45428</v>
      </c>
      <c r="U301" s="90" t="s">
        <v>602</v>
      </c>
      <c r="V301" s="91"/>
      <c r="W301" s="90"/>
      <c r="X301" s="92">
        <v>45</v>
      </c>
      <c r="Y301" s="30"/>
      <c r="Z301" s="30"/>
      <c r="AA301" s="30">
        <v>7689</v>
      </c>
      <c r="AB301" s="91">
        <v>45764</v>
      </c>
      <c r="AC301" s="91">
        <v>46105</v>
      </c>
      <c r="AD301" s="91"/>
      <c r="AE301" s="90"/>
      <c r="AF301" s="90"/>
      <c r="AG301" s="30"/>
      <c r="AH301" s="90">
        <v>0</v>
      </c>
      <c r="AI301" s="90">
        <v>1</v>
      </c>
      <c r="AJ301" s="90">
        <v>0</v>
      </c>
      <c r="AK301" s="92">
        <v>2024</v>
      </c>
      <c r="AL301" s="90" t="s">
        <v>212</v>
      </c>
      <c r="AM301" s="92"/>
      <c r="AN301" s="90"/>
      <c r="AO301" s="90">
        <v>0</v>
      </c>
      <c r="AP301" s="90" t="s">
        <v>80</v>
      </c>
      <c r="AQ301" s="30">
        <v>75.2</v>
      </c>
    </row>
    <row r="302" spans="1:43" ht="15" customHeight="1" outlineLevel="1" x14ac:dyDescent="0.3">
      <c r="A302" s="101" t="s">
        <v>674</v>
      </c>
      <c r="B302" s="90" t="s">
        <v>143</v>
      </c>
      <c r="C302" s="91">
        <v>43101</v>
      </c>
      <c r="D302" s="91"/>
      <c r="E302" s="92">
        <v>0</v>
      </c>
      <c r="F302" s="90"/>
      <c r="G302" s="90"/>
      <c r="H302" s="90"/>
      <c r="I302" s="90"/>
      <c r="J302" s="91">
        <v>45439</v>
      </c>
      <c r="K302" s="90" t="s">
        <v>131</v>
      </c>
      <c r="L302" s="90" t="s">
        <v>125</v>
      </c>
      <c r="M302" s="90"/>
      <c r="N302" s="90" t="s">
        <v>126</v>
      </c>
      <c r="O302" s="90" t="s">
        <v>175</v>
      </c>
      <c r="P302" s="90" t="s">
        <v>596</v>
      </c>
      <c r="Q302" s="90" t="s">
        <v>130</v>
      </c>
      <c r="R302" s="92">
        <v>4</v>
      </c>
      <c r="S302" s="30">
        <v>51</v>
      </c>
      <c r="T302" s="91">
        <v>45470</v>
      </c>
      <c r="U302" s="90" t="s">
        <v>602</v>
      </c>
      <c r="V302" s="91"/>
      <c r="W302" s="90"/>
      <c r="X302" s="92">
        <v>45</v>
      </c>
      <c r="Y302" s="30"/>
      <c r="Z302" s="30"/>
      <c r="AA302" s="30">
        <v>7689</v>
      </c>
      <c r="AB302" s="91">
        <v>45764</v>
      </c>
      <c r="AC302" s="91">
        <v>46105</v>
      </c>
      <c r="AD302" s="91"/>
      <c r="AE302" s="90"/>
      <c r="AF302" s="90"/>
      <c r="AG302" s="30"/>
      <c r="AH302" s="90">
        <v>0</v>
      </c>
      <c r="AI302" s="90">
        <v>1</v>
      </c>
      <c r="AJ302" s="90">
        <v>0</v>
      </c>
      <c r="AK302" s="92">
        <v>2024</v>
      </c>
      <c r="AL302" s="90" t="s">
        <v>213</v>
      </c>
      <c r="AM302" s="92"/>
      <c r="AN302" s="90"/>
      <c r="AO302" s="90">
        <v>0</v>
      </c>
      <c r="AP302" s="90" t="s">
        <v>80</v>
      </c>
      <c r="AQ302" s="30">
        <v>76.900000000000006</v>
      </c>
    </row>
    <row r="303" spans="1:43" ht="15" customHeight="1" outlineLevel="1" x14ac:dyDescent="0.3">
      <c r="A303" s="101" t="s">
        <v>674</v>
      </c>
      <c r="B303" s="90" t="s">
        <v>143</v>
      </c>
      <c r="C303" s="91">
        <v>43101</v>
      </c>
      <c r="D303" s="91"/>
      <c r="E303" s="92">
        <v>0</v>
      </c>
      <c r="F303" s="90"/>
      <c r="G303" s="90"/>
      <c r="H303" s="90"/>
      <c r="I303" s="90"/>
      <c r="J303" s="91">
        <v>45481</v>
      </c>
      <c r="K303" s="90" t="s">
        <v>131</v>
      </c>
      <c r="L303" s="90" t="s">
        <v>125</v>
      </c>
      <c r="M303" s="90"/>
      <c r="N303" s="90" t="s">
        <v>126</v>
      </c>
      <c r="O303" s="90" t="s">
        <v>175</v>
      </c>
      <c r="P303" s="90" t="s">
        <v>596</v>
      </c>
      <c r="Q303" s="90" t="s">
        <v>130</v>
      </c>
      <c r="R303" s="92">
        <v>5</v>
      </c>
      <c r="S303" s="30">
        <v>42</v>
      </c>
      <c r="T303" s="91">
        <v>45512</v>
      </c>
      <c r="U303" s="90" t="s">
        <v>582</v>
      </c>
      <c r="V303" s="91"/>
      <c r="W303" s="90"/>
      <c r="X303" s="92">
        <v>45</v>
      </c>
      <c r="Y303" s="30"/>
      <c r="Z303" s="30"/>
      <c r="AA303" s="30">
        <v>7689</v>
      </c>
      <c r="AB303" s="91">
        <v>45764</v>
      </c>
      <c r="AC303" s="91">
        <v>46105</v>
      </c>
      <c r="AD303" s="91"/>
      <c r="AE303" s="90"/>
      <c r="AF303" s="90"/>
      <c r="AG303" s="30"/>
      <c r="AH303" s="90">
        <v>1</v>
      </c>
      <c r="AI303" s="90">
        <v>1</v>
      </c>
      <c r="AJ303" s="90">
        <v>0</v>
      </c>
      <c r="AK303" s="92">
        <v>2024</v>
      </c>
      <c r="AL303" s="90" t="s">
        <v>215</v>
      </c>
      <c r="AM303" s="92"/>
      <c r="AN303" s="90"/>
      <c r="AO303" s="90">
        <v>0</v>
      </c>
      <c r="AP303" s="90" t="s">
        <v>80</v>
      </c>
      <c r="AQ303" s="30">
        <v>78.3</v>
      </c>
    </row>
    <row r="304" spans="1:43" ht="15" customHeight="1" outlineLevel="1" x14ac:dyDescent="0.3">
      <c r="A304" s="101" t="s">
        <v>674</v>
      </c>
      <c r="B304" s="90" t="s">
        <v>143</v>
      </c>
      <c r="C304" s="91">
        <v>43101</v>
      </c>
      <c r="D304" s="91">
        <v>45764</v>
      </c>
      <c r="E304" s="92">
        <v>1</v>
      </c>
      <c r="F304" s="90" t="s">
        <v>275</v>
      </c>
      <c r="G304" s="90"/>
      <c r="H304" s="90"/>
      <c r="I304" s="90">
        <v>0</v>
      </c>
      <c r="J304" s="91">
        <v>45942</v>
      </c>
      <c r="K304" s="90" t="s">
        <v>131</v>
      </c>
      <c r="L304" s="90" t="s">
        <v>125</v>
      </c>
      <c r="M304" s="90"/>
      <c r="N304" s="90" t="s">
        <v>133</v>
      </c>
      <c r="O304" s="90" t="s">
        <v>139</v>
      </c>
      <c r="P304" s="90" t="s">
        <v>596</v>
      </c>
      <c r="Q304" s="90" t="s">
        <v>130</v>
      </c>
      <c r="R304" s="92">
        <v>1</v>
      </c>
      <c r="S304" s="30"/>
      <c r="T304" s="91">
        <v>46009</v>
      </c>
      <c r="U304" s="90" t="s">
        <v>602</v>
      </c>
      <c r="V304" s="91"/>
      <c r="W304" s="90"/>
      <c r="X304" s="92">
        <v>45</v>
      </c>
      <c r="Y304" s="30"/>
      <c r="Z304" s="30">
        <v>8387.5</v>
      </c>
      <c r="AA304" s="30">
        <v>7689</v>
      </c>
      <c r="AB304" s="91">
        <v>45764</v>
      </c>
      <c r="AC304" s="91">
        <v>46105</v>
      </c>
      <c r="AD304" s="91"/>
      <c r="AE304" s="90"/>
      <c r="AF304" s="90"/>
      <c r="AG304" s="30"/>
      <c r="AH304" s="90">
        <v>0</v>
      </c>
      <c r="AI304" s="90">
        <v>1</v>
      </c>
      <c r="AJ304" s="90">
        <v>0</v>
      </c>
      <c r="AK304" s="92">
        <v>2025</v>
      </c>
      <c r="AL304" s="90" t="s">
        <v>229</v>
      </c>
      <c r="AM304" s="92">
        <v>178</v>
      </c>
      <c r="AN304" s="90" t="s">
        <v>160</v>
      </c>
      <c r="AO304" s="90">
        <v>0</v>
      </c>
      <c r="AP304" s="90" t="s">
        <v>79</v>
      </c>
      <c r="AQ304" s="30">
        <v>93.5</v>
      </c>
    </row>
    <row r="305" spans="1:43" ht="15" customHeight="1" outlineLevel="1" x14ac:dyDescent="0.3">
      <c r="A305" s="101" t="s">
        <v>674</v>
      </c>
      <c r="B305" s="90" t="s">
        <v>143</v>
      </c>
      <c r="C305" s="91">
        <v>43101</v>
      </c>
      <c r="D305" s="91">
        <v>45764</v>
      </c>
      <c r="E305" s="92">
        <v>1</v>
      </c>
      <c r="F305" s="90" t="s">
        <v>275</v>
      </c>
      <c r="G305" s="90"/>
      <c r="H305" s="90"/>
      <c r="I305" s="90">
        <v>0</v>
      </c>
      <c r="J305" s="91">
        <v>46020</v>
      </c>
      <c r="K305" s="90" t="s">
        <v>131</v>
      </c>
      <c r="L305" s="90" t="s">
        <v>132</v>
      </c>
      <c r="M305" s="90" t="s">
        <v>593</v>
      </c>
      <c r="N305" s="90" t="s">
        <v>133</v>
      </c>
      <c r="O305" s="90" t="s">
        <v>139</v>
      </c>
      <c r="P305" s="90" t="s">
        <v>596</v>
      </c>
      <c r="Q305" s="90" t="s">
        <v>130</v>
      </c>
      <c r="R305" s="92">
        <v>2</v>
      </c>
      <c r="S305" s="30">
        <v>78</v>
      </c>
      <c r="T305" s="91">
        <v>46058</v>
      </c>
      <c r="U305" s="90" t="s">
        <v>602</v>
      </c>
      <c r="V305" s="91"/>
      <c r="W305" s="90"/>
      <c r="X305" s="92">
        <v>45</v>
      </c>
      <c r="Y305" s="30">
        <v>352</v>
      </c>
      <c r="Z305" s="30">
        <v>8387.5</v>
      </c>
      <c r="AA305" s="30">
        <v>7689</v>
      </c>
      <c r="AB305" s="91">
        <v>45764</v>
      </c>
      <c r="AC305" s="91">
        <v>46105</v>
      </c>
      <c r="AD305" s="91"/>
      <c r="AE305" s="90"/>
      <c r="AF305" s="90"/>
      <c r="AG305" s="30"/>
      <c r="AH305" s="90">
        <v>0</v>
      </c>
      <c r="AI305" s="90">
        <v>1</v>
      </c>
      <c r="AJ305" s="90">
        <v>0</v>
      </c>
      <c r="AK305" s="92">
        <v>2025</v>
      </c>
      <c r="AL305" s="90" t="s">
        <v>231</v>
      </c>
      <c r="AM305" s="92">
        <v>256</v>
      </c>
      <c r="AN305" s="90" t="s">
        <v>176</v>
      </c>
      <c r="AO305" s="90">
        <v>0</v>
      </c>
      <c r="AP305" s="90" t="s">
        <v>79</v>
      </c>
      <c r="AQ305" s="30">
        <v>96</v>
      </c>
    </row>
    <row r="306" spans="1:43" ht="15" customHeight="1" outlineLevel="1" x14ac:dyDescent="0.3">
      <c r="A306" s="101" t="s">
        <v>674</v>
      </c>
      <c r="B306" s="90" t="s">
        <v>143</v>
      </c>
      <c r="C306" s="91">
        <v>43101</v>
      </c>
      <c r="D306" s="91">
        <v>45764</v>
      </c>
      <c r="E306" s="92">
        <v>1</v>
      </c>
      <c r="F306" s="90" t="s">
        <v>275</v>
      </c>
      <c r="G306" s="90"/>
      <c r="H306" s="90"/>
      <c r="I306" s="90">
        <v>0</v>
      </c>
      <c r="J306" s="91">
        <v>46069</v>
      </c>
      <c r="K306" s="90" t="s">
        <v>131</v>
      </c>
      <c r="L306" s="90" t="s">
        <v>132</v>
      </c>
      <c r="M306" s="90" t="s">
        <v>593</v>
      </c>
      <c r="N306" s="90" t="s">
        <v>133</v>
      </c>
      <c r="O306" s="90" t="s">
        <v>139</v>
      </c>
      <c r="P306" s="90" t="s">
        <v>596</v>
      </c>
      <c r="Q306" s="90" t="s">
        <v>130</v>
      </c>
      <c r="R306" s="92">
        <v>3</v>
      </c>
      <c r="S306" s="30">
        <v>49</v>
      </c>
      <c r="T306" s="91">
        <v>46093</v>
      </c>
      <c r="U306" s="90" t="s">
        <v>602</v>
      </c>
      <c r="V306" s="91"/>
      <c r="W306" s="90"/>
      <c r="X306" s="92">
        <v>45</v>
      </c>
      <c r="Y306" s="30"/>
      <c r="Z306" s="30">
        <v>8387.5</v>
      </c>
      <c r="AA306" s="30">
        <v>7689</v>
      </c>
      <c r="AB306" s="91">
        <v>45764</v>
      </c>
      <c r="AC306" s="91">
        <v>46105</v>
      </c>
      <c r="AD306" s="91"/>
      <c r="AE306" s="90"/>
      <c r="AF306" s="90"/>
      <c r="AG306" s="30"/>
      <c r="AH306" s="90">
        <v>0</v>
      </c>
      <c r="AI306" s="90">
        <v>1</v>
      </c>
      <c r="AJ306" s="90">
        <v>0</v>
      </c>
      <c r="AK306" s="92">
        <v>2026</v>
      </c>
      <c r="AL306" s="90" t="s">
        <v>233</v>
      </c>
      <c r="AM306" s="92">
        <v>305</v>
      </c>
      <c r="AN306" s="90" t="s">
        <v>181</v>
      </c>
      <c r="AO306" s="90">
        <v>0</v>
      </c>
      <c r="AP306" s="90" t="s">
        <v>79</v>
      </c>
      <c r="AQ306" s="30">
        <v>97.6</v>
      </c>
    </row>
    <row r="307" spans="1:43" ht="15" customHeight="1" outlineLevel="1" x14ac:dyDescent="0.3">
      <c r="A307" s="101" t="s">
        <v>674</v>
      </c>
      <c r="B307" s="90" t="s">
        <v>143</v>
      </c>
      <c r="C307" s="91">
        <v>43101</v>
      </c>
      <c r="D307" s="91">
        <v>45764</v>
      </c>
      <c r="E307" s="92">
        <v>1</v>
      </c>
      <c r="F307" s="90" t="s">
        <v>275</v>
      </c>
      <c r="G307" s="90"/>
      <c r="H307" s="90"/>
      <c r="I307" s="90">
        <v>0</v>
      </c>
      <c r="J307" s="91">
        <v>46093</v>
      </c>
      <c r="K307" s="90" t="s">
        <v>124</v>
      </c>
      <c r="L307" s="90" t="s">
        <v>125</v>
      </c>
      <c r="M307" s="90"/>
      <c r="N307" s="90"/>
      <c r="O307" s="90" t="s">
        <v>177</v>
      </c>
      <c r="P307" s="90"/>
      <c r="Q307" s="90" t="s">
        <v>137</v>
      </c>
      <c r="R307" s="92">
        <v>4</v>
      </c>
      <c r="S307" s="30">
        <v>24</v>
      </c>
      <c r="T307" s="91">
        <v>46113</v>
      </c>
      <c r="U307" s="90" t="s">
        <v>602</v>
      </c>
      <c r="V307" s="91"/>
      <c r="W307" s="90"/>
      <c r="X307" s="92">
        <v>45</v>
      </c>
      <c r="Y307" s="30"/>
      <c r="Z307" s="30">
        <v>8387.5</v>
      </c>
      <c r="AA307" s="30">
        <v>7689</v>
      </c>
      <c r="AB307" s="91">
        <v>45764</v>
      </c>
      <c r="AC307" s="91">
        <v>46105</v>
      </c>
      <c r="AD307" s="91"/>
      <c r="AE307" s="90"/>
      <c r="AF307" s="90"/>
      <c r="AG307" s="30"/>
      <c r="AH307" s="90">
        <v>0</v>
      </c>
      <c r="AI307" s="90">
        <v>1</v>
      </c>
      <c r="AJ307" s="90">
        <v>0</v>
      </c>
      <c r="AK307" s="92">
        <v>2026</v>
      </c>
      <c r="AL307" s="90" t="s">
        <v>234</v>
      </c>
      <c r="AM307" s="92">
        <v>329</v>
      </c>
      <c r="AN307" s="90" t="s">
        <v>187</v>
      </c>
      <c r="AO307" s="90">
        <v>0</v>
      </c>
      <c r="AP307" s="90" t="s">
        <v>79</v>
      </c>
      <c r="AQ307" s="30">
        <v>98.4</v>
      </c>
    </row>
    <row r="308" spans="1:43" ht="15" customHeight="1" x14ac:dyDescent="0.3">
      <c r="A308" s="101" t="s">
        <v>674</v>
      </c>
      <c r="B308" s="90" t="s">
        <v>143</v>
      </c>
      <c r="C308" s="91">
        <v>43101</v>
      </c>
      <c r="D308" s="91">
        <v>45764</v>
      </c>
      <c r="E308" s="92">
        <v>1</v>
      </c>
      <c r="F308" s="90" t="s">
        <v>275</v>
      </c>
      <c r="G308" s="90"/>
      <c r="H308" s="90"/>
      <c r="I308" s="90">
        <v>0</v>
      </c>
      <c r="J308" s="91">
        <v>46113</v>
      </c>
      <c r="K308" s="90" t="s">
        <v>124</v>
      </c>
      <c r="L308" s="90" t="s">
        <v>125</v>
      </c>
      <c r="M308" s="90"/>
      <c r="N308" s="90"/>
      <c r="O308" s="90" t="s">
        <v>177</v>
      </c>
      <c r="P308" s="90"/>
      <c r="Q308" s="90" t="s">
        <v>137</v>
      </c>
      <c r="R308" s="92">
        <v>5</v>
      </c>
      <c r="S308" s="30">
        <v>20</v>
      </c>
      <c r="T308" s="91">
        <v>46141</v>
      </c>
      <c r="U308" s="90" t="s">
        <v>602</v>
      </c>
      <c r="V308" s="91"/>
      <c r="W308" s="90"/>
      <c r="X308" s="92">
        <v>45</v>
      </c>
      <c r="Y308" s="30"/>
      <c r="Z308" s="30">
        <v>8387.5</v>
      </c>
      <c r="AA308" s="30">
        <v>7689</v>
      </c>
      <c r="AB308" s="91">
        <v>45764</v>
      </c>
      <c r="AC308" s="91">
        <v>46105</v>
      </c>
      <c r="AD308" s="91"/>
      <c r="AE308" s="90"/>
      <c r="AF308" s="90"/>
      <c r="AG308" s="30"/>
      <c r="AH308" s="90">
        <v>0</v>
      </c>
      <c r="AI308" s="90">
        <v>1</v>
      </c>
      <c r="AJ308" s="90">
        <v>0</v>
      </c>
      <c r="AK308" s="92">
        <v>2026</v>
      </c>
      <c r="AL308" s="90" t="s">
        <v>235</v>
      </c>
      <c r="AM308" s="92">
        <v>349</v>
      </c>
      <c r="AN308" s="90" t="s">
        <v>189</v>
      </c>
      <c r="AO308" s="90">
        <v>0</v>
      </c>
      <c r="AP308" s="90" t="s">
        <v>79</v>
      </c>
      <c r="AQ308" s="30">
        <v>99.1</v>
      </c>
    </row>
    <row r="309" spans="1:43" ht="15" customHeight="1" x14ac:dyDescent="0.3">
      <c r="A309" s="101" t="s">
        <v>674</v>
      </c>
      <c r="B309" s="90" t="s">
        <v>143</v>
      </c>
      <c r="C309" s="91">
        <v>43101</v>
      </c>
      <c r="D309" s="91">
        <v>45764</v>
      </c>
      <c r="E309" s="92">
        <v>1</v>
      </c>
      <c r="F309" s="90" t="s">
        <v>275</v>
      </c>
      <c r="G309" s="90"/>
      <c r="H309" s="90"/>
      <c r="I309" s="90">
        <v>0</v>
      </c>
      <c r="J309" s="91">
        <v>46143</v>
      </c>
      <c r="K309" s="90" t="s">
        <v>124</v>
      </c>
      <c r="L309" s="90" t="s">
        <v>125</v>
      </c>
      <c r="M309" s="90"/>
      <c r="N309" s="90"/>
      <c r="O309" s="90" t="s">
        <v>177</v>
      </c>
      <c r="P309" s="90"/>
      <c r="Q309" s="90" t="s">
        <v>137</v>
      </c>
      <c r="R309" s="92">
        <v>6</v>
      </c>
      <c r="S309" s="30">
        <v>30</v>
      </c>
      <c r="T309" s="91">
        <v>46185</v>
      </c>
      <c r="U309" s="90" t="s">
        <v>582</v>
      </c>
      <c r="V309" s="91">
        <v>46206</v>
      </c>
      <c r="W309" s="90" t="s">
        <v>569</v>
      </c>
      <c r="X309" s="92">
        <v>45</v>
      </c>
      <c r="Y309" s="30"/>
      <c r="Z309" s="30">
        <v>8387.5</v>
      </c>
      <c r="AA309" s="30">
        <v>7689</v>
      </c>
      <c r="AB309" s="91">
        <v>45764</v>
      </c>
      <c r="AC309" s="91">
        <v>46105</v>
      </c>
      <c r="AD309" s="91"/>
      <c r="AE309" s="90"/>
      <c r="AF309" s="90"/>
      <c r="AG309" s="30"/>
      <c r="AH309" s="90">
        <v>1</v>
      </c>
      <c r="AI309" s="90">
        <v>1</v>
      </c>
      <c r="AJ309" s="90">
        <v>1</v>
      </c>
      <c r="AK309" s="92">
        <v>2026</v>
      </c>
      <c r="AL309" s="90" t="s">
        <v>236</v>
      </c>
      <c r="AM309" s="92">
        <v>379</v>
      </c>
      <c r="AN309" s="90" t="s">
        <v>193</v>
      </c>
      <c r="AO309" s="90">
        <v>1</v>
      </c>
      <c r="AP309" s="90" t="s">
        <v>79</v>
      </c>
      <c r="AQ309" s="30">
        <v>100.1</v>
      </c>
    </row>
    <row r="310" spans="1:43" ht="15" customHeight="1" x14ac:dyDescent="0.3">
      <c r="A310" s="101" t="s">
        <v>675</v>
      </c>
      <c r="B310" s="90" t="s">
        <v>137</v>
      </c>
      <c r="C310" s="91">
        <v>43101</v>
      </c>
      <c r="D310" s="91"/>
      <c r="E310" s="92">
        <v>0</v>
      </c>
      <c r="F310" s="90"/>
      <c r="G310" s="90"/>
      <c r="H310" s="90"/>
      <c r="I310" s="90"/>
      <c r="J310" s="91">
        <v>45209</v>
      </c>
      <c r="K310" s="90" t="s">
        <v>131</v>
      </c>
      <c r="L310" s="90" t="s">
        <v>125</v>
      </c>
      <c r="M310" s="90"/>
      <c r="N310" s="90" t="s">
        <v>138</v>
      </c>
      <c r="O310" s="90" t="s">
        <v>186</v>
      </c>
      <c r="P310" s="90" t="s">
        <v>596</v>
      </c>
      <c r="Q310" s="90" t="s">
        <v>130</v>
      </c>
      <c r="R310" s="92">
        <v>1</v>
      </c>
      <c r="S310" s="30"/>
      <c r="T310" s="91">
        <v>45241</v>
      </c>
      <c r="U310" s="90" t="s">
        <v>582</v>
      </c>
      <c r="V310" s="91"/>
      <c r="W310" s="90"/>
      <c r="X310" s="92">
        <v>45</v>
      </c>
      <c r="Y310" s="30"/>
      <c r="Z310" s="30"/>
      <c r="AA310" s="30"/>
      <c r="AB310" s="91"/>
      <c r="AC310" s="91"/>
      <c r="AD310" s="91">
        <v>45995</v>
      </c>
      <c r="AE310" s="90" t="s">
        <v>296</v>
      </c>
      <c r="AF310" s="90" t="s">
        <v>288</v>
      </c>
      <c r="AG310" s="30"/>
      <c r="AH310" s="90">
        <v>1</v>
      </c>
      <c r="AI310" s="90">
        <v>1</v>
      </c>
      <c r="AJ310" s="90">
        <v>0</v>
      </c>
      <c r="AK310" s="92">
        <v>2023</v>
      </c>
      <c r="AL310" s="90" t="s">
        <v>206</v>
      </c>
      <c r="AM310" s="92"/>
      <c r="AN310" s="90"/>
      <c r="AO310" s="90">
        <v>1</v>
      </c>
      <c r="AP310" s="90" t="s">
        <v>80</v>
      </c>
      <c r="AQ310" s="30">
        <v>69.3</v>
      </c>
    </row>
    <row r="311" spans="1:43" ht="15" customHeight="1" outlineLevel="1" x14ac:dyDescent="0.3">
      <c r="A311" s="101" t="s">
        <v>676</v>
      </c>
      <c r="B311" s="90" t="s">
        <v>130</v>
      </c>
      <c r="C311" s="91">
        <v>43101</v>
      </c>
      <c r="D311" s="91"/>
      <c r="E311" s="92">
        <v>0</v>
      </c>
      <c r="F311" s="90"/>
      <c r="G311" s="90"/>
      <c r="H311" s="90"/>
      <c r="I311" s="90"/>
      <c r="J311" s="91">
        <v>45210</v>
      </c>
      <c r="K311" s="90" t="s">
        <v>131</v>
      </c>
      <c r="L311" s="90" t="s">
        <v>125</v>
      </c>
      <c r="M311" s="90"/>
      <c r="N311" s="90" t="s">
        <v>138</v>
      </c>
      <c r="O311" s="90" t="s">
        <v>186</v>
      </c>
      <c r="P311" s="90" t="s">
        <v>596</v>
      </c>
      <c r="Q311" s="90" t="s">
        <v>130</v>
      </c>
      <c r="R311" s="92">
        <v>1</v>
      </c>
      <c r="S311" s="30"/>
      <c r="T311" s="91">
        <v>45241</v>
      </c>
      <c r="U311" s="90" t="s">
        <v>582</v>
      </c>
      <c r="V311" s="91"/>
      <c r="W311" s="90"/>
      <c r="X311" s="92">
        <v>45</v>
      </c>
      <c r="Y311" s="30"/>
      <c r="Z311" s="30"/>
      <c r="AA311" s="30"/>
      <c r="AB311" s="91"/>
      <c r="AC311" s="91"/>
      <c r="AD311" s="91">
        <v>45995</v>
      </c>
      <c r="AE311" s="90" t="s">
        <v>296</v>
      </c>
      <c r="AF311" s="90" t="s">
        <v>288</v>
      </c>
      <c r="AG311" s="30"/>
      <c r="AH311" s="90">
        <v>1</v>
      </c>
      <c r="AI311" s="90">
        <v>1</v>
      </c>
      <c r="AJ311" s="90">
        <v>0</v>
      </c>
      <c r="AK311" s="92">
        <v>2023</v>
      </c>
      <c r="AL311" s="90" t="s">
        <v>206</v>
      </c>
      <c r="AM311" s="92"/>
      <c r="AN311" s="90"/>
      <c r="AO311" s="90">
        <v>1</v>
      </c>
      <c r="AP311" s="90" t="s">
        <v>80</v>
      </c>
      <c r="AQ311" s="30">
        <v>69.400000000000006</v>
      </c>
    </row>
    <row r="312" spans="1:43" ht="15" customHeight="1" outlineLevel="1" x14ac:dyDescent="0.3">
      <c r="A312" s="101" t="s">
        <v>677</v>
      </c>
      <c r="B312" s="90" t="s">
        <v>130</v>
      </c>
      <c r="C312" s="91">
        <v>43101</v>
      </c>
      <c r="D312" s="91"/>
      <c r="E312" s="92">
        <v>0</v>
      </c>
      <c r="F312" s="90"/>
      <c r="G312" s="90"/>
      <c r="H312" s="90"/>
      <c r="I312" s="90"/>
      <c r="J312" s="91">
        <v>45056</v>
      </c>
      <c r="K312" s="90" t="s">
        <v>131</v>
      </c>
      <c r="L312" s="90" t="s">
        <v>125</v>
      </c>
      <c r="M312" s="90"/>
      <c r="N312" s="90" t="s">
        <v>138</v>
      </c>
      <c r="O312" s="90" t="s">
        <v>186</v>
      </c>
      <c r="P312" s="90" t="s">
        <v>596</v>
      </c>
      <c r="Q312" s="90" t="s">
        <v>130</v>
      </c>
      <c r="R312" s="92">
        <v>1</v>
      </c>
      <c r="S312" s="30"/>
      <c r="T312" s="91">
        <v>45088</v>
      </c>
      <c r="U312" s="90" t="s">
        <v>582</v>
      </c>
      <c r="V312" s="91"/>
      <c r="W312" s="90"/>
      <c r="X312" s="92">
        <v>45</v>
      </c>
      <c r="Y312" s="30"/>
      <c r="Z312" s="30"/>
      <c r="AA312" s="30">
        <v>5814</v>
      </c>
      <c r="AB312" s="91">
        <v>45278</v>
      </c>
      <c r="AC312" s="91"/>
      <c r="AD312" s="91">
        <v>45995</v>
      </c>
      <c r="AE312" s="90" t="s">
        <v>296</v>
      </c>
      <c r="AF312" s="90" t="s">
        <v>291</v>
      </c>
      <c r="AG312" s="30"/>
      <c r="AH312" s="90">
        <v>1</v>
      </c>
      <c r="AI312" s="90">
        <v>1</v>
      </c>
      <c r="AJ312" s="90">
        <v>0</v>
      </c>
      <c r="AK312" s="92">
        <v>2023</v>
      </c>
      <c r="AL312" s="90" t="s">
        <v>201</v>
      </c>
      <c r="AM312" s="92"/>
      <c r="AN312" s="90"/>
      <c r="AO312" s="90">
        <v>0</v>
      </c>
      <c r="AP312" s="90" t="s">
        <v>80</v>
      </c>
      <c r="AQ312" s="30">
        <v>64.3</v>
      </c>
    </row>
    <row r="313" spans="1:43" ht="15" customHeight="1" outlineLevel="1" x14ac:dyDescent="0.3">
      <c r="A313" s="101" t="s">
        <v>677</v>
      </c>
      <c r="B313" s="90" t="s">
        <v>130</v>
      </c>
      <c r="C313" s="91">
        <v>43101</v>
      </c>
      <c r="D313" s="91">
        <v>45278</v>
      </c>
      <c r="E313" s="92">
        <v>1</v>
      </c>
      <c r="F313" s="90" t="s">
        <v>276</v>
      </c>
      <c r="G313" s="90"/>
      <c r="H313" s="90"/>
      <c r="I313" s="90">
        <v>0</v>
      </c>
      <c r="J313" s="91">
        <v>45308</v>
      </c>
      <c r="K313" s="90" t="s">
        <v>131</v>
      </c>
      <c r="L313" s="90" t="s">
        <v>125</v>
      </c>
      <c r="M313" s="90"/>
      <c r="N313" s="90" t="s">
        <v>126</v>
      </c>
      <c r="O313" s="90" t="s">
        <v>175</v>
      </c>
      <c r="P313" s="90" t="s">
        <v>596</v>
      </c>
      <c r="Q313" s="90" t="s">
        <v>130</v>
      </c>
      <c r="R313" s="92">
        <v>1</v>
      </c>
      <c r="S313" s="30"/>
      <c r="T313" s="91"/>
      <c r="U313" s="90" t="s">
        <v>611</v>
      </c>
      <c r="V313" s="91"/>
      <c r="W313" s="90"/>
      <c r="X313" s="92">
        <v>45</v>
      </c>
      <c r="Y313" s="30"/>
      <c r="Z313" s="30">
        <v>5814</v>
      </c>
      <c r="AA313" s="30">
        <v>5814</v>
      </c>
      <c r="AB313" s="91">
        <v>45278</v>
      </c>
      <c r="AC313" s="91"/>
      <c r="AD313" s="91">
        <v>45995</v>
      </c>
      <c r="AE313" s="90" t="s">
        <v>296</v>
      </c>
      <c r="AF313" s="90" t="s">
        <v>291</v>
      </c>
      <c r="AG313" s="30"/>
      <c r="AH313" s="90">
        <v>0</v>
      </c>
      <c r="AI313" s="90">
        <v>0</v>
      </c>
      <c r="AJ313" s="90">
        <v>0</v>
      </c>
      <c r="AK313" s="92">
        <v>2024</v>
      </c>
      <c r="AL313" s="90" t="s">
        <v>209</v>
      </c>
      <c r="AM313" s="92">
        <v>30</v>
      </c>
      <c r="AN313" s="90" t="s">
        <v>128</v>
      </c>
      <c r="AO313" s="90">
        <v>1</v>
      </c>
      <c r="AP313" s="90" t="s">
        <v>79</v>
      </c>
      <c r="AQ313" s="30">
        <v>72.599999999999994</v>
      </c>
    </row>
    <row r="314" spans="1:43" ht="15" customHeight="1" outlineLevel="1" x14ac:dyDescent="0.3">
      <c r="A314" s="101" t="s">
        <v>678</v>
      </c>
      <c r="B314" s="90" t="s">
        <v>137</v>
      </c>
      <c r="C314" s="91">
        <v>43101</v>
      </c>
      <c r="D314" s="91"/>
      <c r="E314" s="92">
        <v>0</v>
      </c>
      <c r="F314" s="90"/>
      <c r="G314" s="90"/>
      <c r="H314" s="90"/>
      <c r="I314" s="90"/>
      <c r="J314" s="91">
        <v>45282</v>
      </c>
      <c r="K314" s="90" t="s">
        <v>131</v>
      </c>
      <c r="L314" s="90" t="s">
        <v>125</v>
      </c>
      <c r="M314" s="90"/>
      <c r="N314" s="90" t="s">
        <v>126</v>
      </c>
      <c r="O314" s="90" t="s">
        <v>175</v>
      </c>
      <c r="P314" s="90" t="s">
        <v>596</v>
      </c>
      <c r="Q314" s="90" t="s">
        <v>130</v>
      </c>
      <c r="R314" s="92">
        <v>1</v>
      </c>
      <c r="S314" s="30"/>
      <c r="T314" s="91">
        <v>45330</v>
      </c>
      <c r="U314" s="90" t="s">
        <v>602</v>
      </c>
      <c r="V314" s="91"/>
      <c r="W314" s="90"/>
      <c r="X314" s="92">
        <v>45</v>
      </c>
      <c r="Y314" s="30"/>
      <c r="Z314" s="30"/>
      <c r="AA314" s="30">
        <v>1250</v>
      </c>
      <c r="AB314" s="91">
        <v>45796</v>
      </c>
      <c r="AC314" s="91"/>
      <c r="AD314" s="91">
        <v>45995</v>
      </c>
      <c r="AE314" s="90" t="s">
        <v>296</v>
      </c>
      <c r="AF314" s="90" t="s">
        <v>292</v>
      </c>
      <c r="AG314" s="30"/>
      <c r="AH314" s="90">
        <v>0</v>
      </c>
      <c r="AI314" s="90">
        <v>1</v>
      </c>
      <c r="AJ314" s="90">
        <v>0</v>
      </c>
      <c r="AK314" s="92">
        <v>2023</v>
      </c>
      <c r="AL314" s="90" t="s">
        <v>208</v>
      </c>
      <c r="AM314" s="92"/>
      <c r="AN314" s="90"/>
      <c r="AO314" s="90">
        <v>0</v>
      </c>
      <c r="AP314" s="90" t="s">
        <v>80</v>
      </c>
      <c r="AQ314" s="30">
        <v>71.7</v>
      </c>
    </row>
    <row r="315" spans="1:43" ht="15" customHeight="1" outlineLevel="1" x14ac:dyDescent="0.3">
      <c r="A315" s="101" t="s">
        <v>678</v>
      </c>
      <c r="B315" s="90" t="s">
        <v>137</v>
      </c>
      <c r="C315" s="91">
        <v>43101</v>
      </c>
      <c r="D315" s="91"/>
      <c r="E315" s="92">
        <v>0</v>
      </c>
      <c r="F315" s="90"/>
      <c r="G315" s="90"/>
      <c r="H315" s="90"/>
      <c r="I315" s="90"/>
      <c r="J315" s="91">
        <v>45341</v>
      </c>
      <c r="K315" s="90" t="s">
        <v>131</v>
      </c>
      <c r="L315" s="90" t="s">
        <v>125</v>
      </c>
      <c r="M315" s="90"/>
      <c r="N315" s="90" t="s">
        <v>126</v>
      </c>
      <c r="O315" s="90" t="s">
        <v>175</v>
      </c>
      <c r="P315" s="90" t="s">
        <v>596</v>
      </c>
      <c r="Q315" s="90" t="s">
        <v>130</v>
      </c>
      <c r="R315" s="92">
        <v>2</v>
      </c>
      <c r="S315" s="30">
        <v>59</v>
      </c>
      <c r="T315" s="91">
        <v>45377</v>
      </c>
      <c r="U315" s="90" t="s">
        <v>602</v>
      </c>
      <c r="V315" s="91"/>
      <c r="W315" s="90"/>
      <c r="X315" s="92">
        <v>45</v>
      </c>
      <c r="Y315" s="30"/>
      <c r="Z315" s="30"/>
      <c r="AA315" s="30">
        <v>1250</v>
      </c>
      <c r="AB315" s="91">
        <v>45796</v>
      </c>
      <c r="AC315" s="91"/>
      <c r="AD315" s="91">
        <v>45995</v>
      </c>
      <c r="AE315" s="90" t="s">
        <v>296</v>
      </c>
      <c r="AF315" s="90" t="s">
        <v>292</v>
      </c>
      <c r="AG315" s="30"/>
      <c r="AH315" s="90">
        <v>0</v>
      </c>
      <c r="AI315" s="90">
        <v>1</v>
      </c>
      <c r="AJ315" s="90">
        <v>0</v>
      </c>
      <c r="AK315" s="92">
        <v>2024</v>
      </c>
      <c r="AL315" s="90" t="s">
        <v>210</v>
      </c>
      <c r="AM315" s="92"/>
      <c r="AN315" s="90"/>
      <c r="AO315" s="90">
        <v>0</v>
      </c>
      <c r="AP315" s="90" t="s">
        <v>80</v>
      </c>
      <c r="AQ315" s="30">
        <v>73.7</v>
      </c>
    </row>
    <row r="316" spans="1:43" ht="15" customHeight="1" outlineLevel="1" x14ac:dyDescent="0.3">
      <c r="A316" s="101" t="s">
        <v>678</v>
      </c>
      <c r="B316" s="90" t="s">
        <v>137</v>
      </c>
      <c r="C316" s="91">
        <v>43101</v>
      </c>
      <c r="D316" s="91"/>
      <c r="E316" s="92">
        <v>0</v>
      </c>
      <c r="F316" s="90"/>
      <c r="G316" s="90"/>
      <c r="H316" s="90"/>
      <c r="I316" s="90"/>
      <c r="J316" s="91">
        <v>45388</v>
      </c>
      <c r="K316" s="90" t="s">
        <v>131</v>
      </c>
      <c r="L316" s="90" t="s">
        <v>125</v>
      </c>
      <c r="M316" s="90"/>
      <c r="N316" s="90" t="s">
        <v>126</v>
      </c>
      <c r="O316" s="90" t="s">
        <v>149</v>
      </c>
      <c r="P316" s="90" t="s">
        <v>596</v>
      </c>
      <c r="Q316" s="90" t="s">
        <v>130</v>
      </c>
      <c r="R316" s="92">
        <v>3</v>
      </c>
      <c r="S316" s="30">
        <v>47</v>
      </c>
      <c r="T316" s="91">
        <v>45428</v>
      </c>
      <c r="U316" s="90" t="s">
        <v>602</v>
      </c>
      <c r="V316" s="91"/>
      <c r="W316" s="90"/>
      <c r="X316" s="92">
        <v>45</v>
      </c>
      <c r="Y316" s="30"/>
      <c r="Z316" s="30"/>
      <c r="AA316" s="30">
        <v>1250</v>
      </c>
      <c r="AB316" s="91">
        <v>45796</v>
      </c>
      <c r="AC316" s="91"/>
      <c r="AD316" s="91">
        <v>45995</v>
      </c>
      <c r="AE316" s="90" t="s">
        <v>296</v>
      </c>
      <c r="AF316" s="90" t="s">
        <v>292</v>
      </c>
      <c r="AG316" s="30"/>
      <c r="AH316" s="90">
        <v>0</v>
      </c>
      <c r="AI316" s="90">
        <v>1</v>
      </c>
      <c r="AJ316" s="90">
        <v>0</v>
      </c>
      <c r="AK316" s="92">
        <v>2024</v>
      </c>
      <c r="AL316" s="90" t="s">
        <v>212</v>
      </c>
      <c r="AM316" s="92"/>
      <c r="AN316" s="90"/>
      <c r="AO316" s="90">
        <v>0</v>
      </c>
      <c r="AP316" s="90" t="s">
        <v>80</v>
      </c>
      <c r="AQ316" s="30">
        <v>75.2</v>
      </c>
    </row>
    <row r="317" spans="1:43" ht="15" customHeight="1" x14ac:dyDescent="0.3">
      <c r="A317" s="101" t="s">
        <v>678</v>
      </c>
      <c r="B317" s="90" t="s">
        <v>137</v>
      </c>
      <c r="C317" s="91">
        <v>43101</v>
      </c>
      <c r="D317" s="91"/>
      <c r="E317" s="92">
        <v>0</v>
      </c>
      <c r="F317" s="90"/>
      <c r="G317" s="90"/>
      <c r="H317" s="90"/>
      <c r="I317" s="90"/>
      <c r="J317" s="91">
        <v>45439</v>
      </c>
      <c r="K317" s="90" t="s">
        <v>131</v>
      </c>
      <c r="L317" s="90" t="s">
        <v>125</v>
      </c>
      <c r="M317" s="90"/>
      <c r="N317" s="90" t="s">
        <v>126</v>
      </c>
      <c r="O317" s="90" t="s">
        <v>175</v>
      </c>
      <c r="P317" s="90" t="s">
        <v>596</v>
      </c>
      <c r="Q317" s="90" t="s">
        <v>130</v>
      </c>
      <c r="R317" s="92">
        <v>4</v>
      </c>
      <c r="S317" s="30">
        <v>51</v>
      </c>
      <c r="T317" s="91">
        <v>45459</v>
      </c>
      <c r="U317" s="90" t="s">
        <v>602</v>
      </c>
      <c r="V317" s="91"/>
      <c r="W317" s="90"/>
      <c r="X317" s="92">
        <v>45</v>
      </c>
      <c r="Y317" s="30"/>
      <c r="Z317" s="30"/>
      <c r="AA317" s="30">
        <v>1250</v>
      </c>
      <c r="AB317" s="91">
        <v>45796</v>
      </c>
      <c r="AC317" s="91"/>
      <c r="AD317" s="91">
        <v>45995</v>
      </c>
      <c r="AE317" s="90" t="s">
        <v>296</v>
      </c>
      <c r="AF317" s="90" t="s">
        <v>292</v>
      </c>
      <c r="AG317" s="30"/>
      <c r="AH317" s="90">
        <v>0</v>
      </c>
      <c r="AI317" s="90">
        <v>1</v>
      </c>
      <c r="AJ317" s="90">
        <v>0</v>
      </c>
      <c r="AK317" s="92">
        <v>2024</v>
      </c>
      <c r="AL317" s="90" t="s">
        <v>213</v>
      </c>
      <c r="AM317" s="92"/>
      <c r="AN317" s="90"/>
      <c r="AO317" s="90">
        <v>0</v>
      </c>
      <c r="AP317" s="90" t="s">
        <v>80</v>
      </c>
      <c r="AQ317" s="30">
        <v>76.900000000000006</v>
      </c>
    </row>
    <row r="318" spans="1:43" ht="15" customHeight="1" outlineLevel="1" x14ac:dyDescent="0.3">
      <c r="A318" s="101" t="s">
        <v>678</v>
      </c>
      <c r="B318" s="90" t="s">
        <v>137</v>
      </c>
      <c r="C318" s="91">
        <v>43101</v>
      </c>
      <c r="D318" s="91"/>
      <c r="E318" s="92">
        <v>0</v>
      </c>
      <c r="F318" s="90"/>
      <c r="G318" s="90"/>
      <c r="H318" s="90"/>
      <c r="I318" s="90"/>
      <c r="J318" s="91">
        <v>45460</v>
      </c>
      <c r="K318" s="90" t="s">
        <v>131</v>
      </c>
      <c r="L318" s="90" t="s">
        <v>125</v>
      </c>
      <c r="M318" s="90"/>
      <c r="N318" s="90" t="s">
        <v>126</v>
      </c>
      <c r="O318" s="90" t="s">
        <v>175</v>
      </c>
      <c r="P318" s="90" t="s">
        <v>596</v>
      </c>
      <c r="Q318" s="90" t="s">
        <v>130</v>
      </c>
      <c r="R318" s="92">
        <v>5</v>
      </c>
      <c r="S318" s="30">
        <v>21</v>
      </c>
      <c r="T318" s="91">
        <v>45512</v>
      </c>
      <c r="U318" s="90" t="s">
        <v>602</v>
      </c>
      <c r="V318" s="91"/>
      <c r="W318" s="90"/>
      <c r="X318" s="92">
        <v>45</v>
      </c>
      <c r="Y318" s="30"/>
      <c r="Z318" s="30"/>
      <c r="AA318" s="30">
        <v>1250</v>
      </c>
      <c r="AB318" s="91">
        <v>45796</v>
      </c>
      <c r="AC318" s="91"/>
      <c r="AD318" s="91">
        <v>45995</v>
      </c>
      <c r="AE318" s="90" t="s">
        <v>296</v>
      </c>
      <c r="AF318" s="90" t="s">
        <v>292</v>
      </c>
      <c r="AG318" s="30"/>
      <c r="AH318" s="90">
        <v>0</v>
      </c>
      <c r="AI318" s="90">
        <v>1</v>
      </c>
      <c r="AJ318" s="90">
        <v>0</v>
      </c>
      <c r="AK318" s="92">
        <v>2024</v>
      </c>
      <c r="AL318" s="90" t="s">
        <v>214</v>
      </c>
      <c r="AM318" s="92"/>
      <c r="AN318" s="90"/>
      <c r="AO318" s="90">
        <v>0</v>
      </c>
      <c r="AP318" s="90" t="s">
        <v>80</v>
      </c>
      <c r="AQ318" s="30">
        <v>77.599999999999994</v>
      </c>
    </row>
    <row r="319" spans="1:43" ht="15" customHeight="1" outlineLevel="1" x14ac:dyDescent="0.3">
      <c r="A319" s="101" t="s">
        <v>678</v>
      </c>
      <c r="B319" s="90" t="s">
        <v>137</v>
      </c>
      <c r="C319" s="91">
        <v>43101</v>
      </c>
      <c r="D319" s="91"/>
      <c r="E319" s="92">
        <v>0</v>
      </c>
      <c r="F319" s="90"/>
      <c r="G319" s="90"/>
      <c r="H319" s="90"/>
      <c r="I319" s="90"/>
      <c r="J319" s="91">
        <v>45523</v>
      </c>
      <c r="K319" s="90" t="s">
        <v>131</v>
      </c>
      <c r="L319" s="90" t="s">
        <v>125</v>
      </c>
      <c r="M319" s="90"/>
      <c r="N319" s="90" t="s">
        <v>126</v>
      </c>
      <c r="O319" s="90" t="s">
        <v>175</v>
      </c>
      <c r="P319" s="90" t="s">
        <v>596</v>
      </c>
      <c r="Q319" s="90" t="s">
        <v>130</v>
      </c>
      <c r="R319" s="92">
        <v>6</v>
      </c>
      <c r="S319" s="30">
        <v>63</v>
      </c>
      <c r="T319" s="91">
        <v>45561</v>
      </c>
      <c r="U319" s="90" t="s">
        <v>582</v>
      </c>
      <c r="V319" s="91"/>
      <c r="W319" s="90"/>
      <c r="X319" s="92">
        <v>45</v>
      </c>
      <c r="Y319" s="30"/>
      <c r="Z319" s="30"/>
      <c r="AA319" s="30">
        <v>1250</v>
      </c>
      <c r="AB319" s="91">
        <v>45796</v>
      </c>
      <c r="AC319" s="91"/>
      <c r="AD319" s="91">
        <v>45995</v>
      </c>
      <c r="AE319" s="90" t="s">
        <v>296</v>
      </c>
      <c r="AF319" s="90" t="s">
        <v>292</v>
      </c>
      <c r="AG319" s="30"/>
      <c r="AH319" s="90">
        <v>1</v>
      </c>
      <c r="AI319" s="90">
        <v>1</v>
      </c>
      <c r="AJ319" s="90">
        <v>0</v>
      </c>
      <c r="AK319" s="92">
        <v>2024</v>
      </c>
      <c r="AL319" s="90" t="s">
        <v>216</v>
      </c>
      <c r="AM319" s="92"/>
      <c r="AN319" s="90"/>
      <c r="AO319" s="90">
        <v>1</v>
      </c>
      <c r="AP319" s="90" t="s">
        <v>80</v>
      </c>
      <c r="AQ319" s="30">
        <v>79.7</v>
      </c>
    </row>
    <row r="320" spans="1:43" ht="15" customHeight="1" outlineLevel="1" x14ac:dyDescent="0.3">
      <c r="A320" s="101" t="s">
        <v>679</v>
      </c>
      <c r="B320" s="90" t="s">
        <v>130</v>
      </c>
      <c r="C320" s="91">
        <v>43647</v>
      </c>
      <c r="D320" s="91"/>
      <c r="E320" s="92">
        <v>0</v>
      </c>
      <c r="F320" s="90"/>
      <c r="G320" s="90"/>
      <c r="H320" s="90"/>
      <c r="I320" s="90"/>
      <c r="J320" s="91">
        <v>45210</v>
      </c>
      <c r="K320" s="90" t="s">
        <v>131</v>
      </c>
      <c r="L320" s="90" t="s">
        <v>125</v>
      </c>
      <c r="M320" s="90"/>
      <c r="N320" s="90" t="s">
        <v>138</v>
      </c>
      <c r="O320" s="90" t="s">
        <v>186</v>
      </c>
      <c r="P320" s="90" t="s">
        <v>596</v>
      </c>
      <c r="Q320" s="90" t="s">
        <v>130</v>
      </c>
      <c r="R320" s="92">
        <v>1</v>
      </c>
      <c r="S320" s="30"/>
      <c r="T320" s="91">
        <v>45241</v>
      </c>
      <c r="U320" s="90" t="s">
        <v>582</v>
      </c>
      <c r="V320" s="91"/>
      <c r="W320" s="90"/>
      <c r="X320" s="92">
        <v>45</v>
      </c>
      <c r="Y320" s="30"/>
      <c r="Z320" s="30"/>
      <c r="AA320" s="30">
        <v>8463</v>
      </c>
      <c r="AB320" s="91">
        <v>45492</v>
      </c>
      <c r="AC320" s="91">
        <v>45866</v>
      </c>
      <c r="AD320" s="91"/>
      <c r="AE320" s="90"/>
      <c r="AF320" s="90"/>
      <c r="AG320" s="30"/>
      <c r="AH320" s="90">
        <v>1</v>
      </c>
      <c r="AI320" s="90">
        <v>1</v>
      </c>
      <c r="AJ320" s="90">
        <v>0</v>
      </c>
      <c r="AK320" s="92">
        <v>2023</v>
      </c>
      <c r="AL320" s="90" t="s">
        <v>206</v>
      </c>
      <c r="AM320" s="92"/>
      <c r="AN320" s="90"/>
      <c r="AO320" s="90">
        <v>0</v>
      </c>
      <c r="AP320" s="90" t="s">
        <v>80</v>
      </c>
      <c r="AQ320" s="30">
        <v>51.4</v>
      </c>
    </row>
    <row r="321" spans="1:43" ht="15" customHeight="1" outlineLevel="1" x14ac:dyDescent="0.3">
      <c r="A321" s="101" t="s">
        <v>679</v>
      </c>
      <c r="B321" s="90" t="s">
        <v>130</v>
      </c>
      <c r="C321" s="91">
        <v>43647</v>
      </c>
      <c r="D321" s="91">
        <v>45492</v>
      </c>
      <c r="E321" s="92">
        <v>1</v>
      </c>
      <c r="F321" s="90" t="s">
        <v>276</v>
      </c>
      <c r="G321" s="90" t="s">
        <v>601</v>
      </c>
      <c r="H321" s="90" t="s">
        <v>278</v>
      </c>
      <c r="I321" s="90">
        <v>0</v>
      </c>
      <c r="J321" s="91">
        <v>45556</v>
      </c>
      <c r="K321" s="90" t="s">
        <v>131</v>
      </c>
      <c r="L321" s="90" t="s">
        <v>125</v>
      </c>
      <c r="M321" s="90"/>
      <c r="N321" s="90" t="s">
        <v>126</v>
      </c>
      <c r="O321" s="90" t="s">
        <v>175</v>
      </c>
      <c r="P321" s="90" t="s">
        <v>596</v>
      </c>
      <c r="Q321" s="90" t="s">
        <v>130</v>
      </c>
      <c r="R321" s="92">
        <v>1</v>
      </c>
      <c r="S321" s="30"/>
      <c r="T321" s="91">
        <v>45603</v>
      </c>
      <c r="U321" s="90" t="s">
        <v>602</v>
      </c>
      <c r="V321" s="91"/>
      <c r="W321" s="90"/>
      <c r="X321" s="92">
        <v>45</v>
      </c>
      <c r="Y321" s="30"/>
      <c r="Z321" s="30">
        <v>10584.25</v>
      </c>
      <c r="AA321" s="30">
        <v>8463</v>
      </c>
      <c r="AB321" s="91">
        <v>45492</v>
      </c>
      <c r="AC321" s="91">
        <v>45866</v>
      </c>
      <c r="AD321" s="91"/>
      <c r="AE321" s="90"/>
      <c r="AF321" s="90"/>
      <c r="AG321" s="30"/>
      <c r="AH321" s="90">
        <v>0</v>
      </c>
      <c r="AI321" s="90">
        <v>1</v>
      </c>
      <c r="AJ321" s="90">
        <v>0</v>
      </c>
      <c r="AK321" s="92">
        <v>2024</v>
      </c>
      <c r="AL321" s="90" t="s">
        <v>217</v>
      </c>
      <c r="AM321" s="92">
        <v>64</v>
      </c>
      <c r="AN321" s="90" t="s">
        <v>140</v>
      </c>
      <c r="AO321" s="90">
        <v>0</v>
      </c>
      <c r="AP321" s="90" t="s">
        <v>79</v>
      </c>
      <c r="AQ321" s="30">
        <v>62.8</v>
      </c>
    </row>
    <row r="322" spans="1:43" ht="15" customHeight="1" outlineLevel="1" x14ac:dyDescent="0.3">
      <c r="A322" s="101" t="s">
        <v>679</v>
      </c>
      <c r="B322" s="90" t="s">
        <v>130</v>
      </c>
      <c r="C322" s="91">
        <v>43647</v>
      </c>
      <c r="D322" s="91">
        <v>45492</v>
      </c>
      <c r="E322" s="92">
        <v>1</v>
      </c>
      <c r="F322" s="90" t="s">
        <v>276</v>
      </c>
      <c r="G322" s="90" t="s">
        <v>601</v>
      </c>
      <c r="H322" s="90" t="s">
        <v>278</v>
      </c>
      <c r="I322" s="90">
        <v>0</v>
      </c>
      <c r="J322" s="91">
        <v>45614</v>
      </c>
      <c r="K322" s="90" t="s">
        <v>131</v>
      </c>
      <c r="L322" s="90" t="s">
        <v>125</v>
      </c>
      <c r="M322" s="90"/>
      <c r="N322" s="90" t="s">
        <v>126</v>
      </c>
      <c r="O322" s="90" t="s">
        <v>175</v>
      </c>
      <c r="P322" s="90" t="s">
        <v>596</v>
      </c>
      <c r="Q322" s="90" t="s">
        <v>130</v>
      </c>
      <c r="R322" s="92">
        <v>2</v>
      </c>
      <c r="S322" s="30">
        <v>58</v>
      </c>
      <c r="T322" s="91">
        <v>45645</v>
      </c>
      <c r="U322" s="90" t="s">
        <v>602</v>
      </c>
      <c r="V322" s="91"/>
      <c r="W322" s="90"/>
      <c r="X322" s="92">
        <v>45</v>
      </c>
      <c r="Y322" s="30"/>
      <c r="Z322" s="30">
        <v>10584.25</v>
      </c>
      <c r="AA322" s="30">
        <v>8463</v>
      </c>
      <c r="AB322" s="91">
        <v>45492</v>
      </c>
      <c r="AC322" s="91">
        <v>45866</v>
      </c>
      <c r="AD322" s="91"/>
      <c r="AE322" s="90"/>
      <c r="AF322" s="90"/>
      <c r="AG322" s="30"/>
      <c r="AH322" s="90">
        <v>0</v>
      </c>
      <c r="AI322" s="90">
        <v>1</v>
      </c>
      <c r="AJ322" s="90">
        <v>0</v>
      </c>
      <c r="AK322" s="92">
        <v>2024</v>
      </c>
      <c r="AL322" s="90" t="s">
        <v>219</v>
      </c>
      <c r="AM322" s="92">
        <v>122</v>
      </c>
      <c r="AN322" s="90" t="s">
        <v>150</v>
      </c>
      <c r="AO322" s="90">
        <v>0</v>
      </c>
      <c r="AP322" s="90" t="s">
        <v>79</v>
      </c>
      <c r="AQ322" s="30">
        <v>64.7</v>
      </c>
    </row>
    <row r="323" spans="1:43" ht="15" customHeight="1" outlineLevel="1" x14ac:dyDescent="0.3">
      <c r="A323" s="101" t="s">
        <v>679</v>
      </c>
      <c r="B323" s="90" t="s">
        <v>130</v>
      </c>
      <c r="C323" s="91">
        <v>43647</v>
      </c>
      <c r="D323" s="91">
        <v>45492</v>
      </c>
      <c r="E323" s="92">
        <v>1</v>
      </c>
      <c r="F323" s="90" t="s">
        <v>276</v>
      </c>
      <c r="G323" s="90" t="s">
        <v>601</v>
      </c>
      <c r="H323" s="90" t="s">
        <v>278</v>
      </c>
      <c r="I323" s="90">
        <v>0</v>
      </c>
      <c r="J323" s="91">
        <v>45656</v>
      </c>
      <c r="K323" s="90" t="s">
        <v>131</v>
      </c>
      <c r="L323" s="90" t="s">
        <v>125</v>
      </c>
      <c r="M323" s="90"/>
      <c r="N323" s="90" t="s">
        <v>126</v>
      </c>
      <c r="O323" s="90" t="s">
        <v>175</v>
      </c>
      <c r="P323" s="90" t="s">
        <v>596</v>
      </c>
      <c r="Q323" s="90" t="s">
        <v>130</v>
      </c>
      <c r="R323" s="92">
        <v>3</v>
      </c>
      <c r="S323" s="30">
        <v>42</v>
      </c>
      <c r="T323" s="91">
        <v>45698</v>
      </c>
      <c r="U323" s="90" t="s">
        <v>582</v>
      </c>
      <c r="V323" s="91"/>
      <c r="W323" s="90"/>
      <c r="X323" s="92">
        <v>45</v>
      </c>
      <c r="Y323" s="30"/>
      <c r="Z323" s="30">
        <v>10584.25</v>
      </c>
      <c r="AA323" s="30">
        <v>8463</v>
      </c>
      <c r="AB323" s="91">
        <v>45492</v>
      </c>
      <c r="AC323" s="91">
        <v>45866</v>
      </c>
      <c r="AD323" s="91"/>
      <c r="AE323" s="90"/>
      <c r="AF323" s="90"/>
      <c r="AG323" s="30"/>
      <c r="AH323" s="90">
        <v>1</v>
      </c>
      <c r="AI323" s="90">
        <v>1</v>
      </c>
      <c r="AJ323" s="90">
        <v>0</v>
      </c>
      <c r="AK323" s="92">
        <v>2024</v>
      </c>
      <c r="AL323" s="90" t="s">
        <v>220</v>
      </c>
      <c r="AM323" s="92">
        <v>164</v>
      </c>
      <c r="AN323" s="90" t="s">
        <v>158</v>
      </c>
      <c r="AO323" s="90">
        <v>0</v>
      </c>
      <c r="AP323" s="90" t="s">
        <v>79</v>
      </c>
      <c r="AQ323" s="30">
        <v>66.099999999999994</v>
      </c>
    </row>
    <row r="324" spans="1:43" ht="15" customHeight="1" outlineLevel="1" x14ac:dyDescent="0.3">
      <c r="A324" s="101" t="s">
        <v>679</v>
      </c>
      <c r="B324" s="90" t="s">
        <v>130</v>
      </c>
      <c r="C324" s="91">
        <v>43647</v>
      </c>
      <c r="D324" s="91">
        <v>45935</v>
      </c>
      <c r="E324" s="92">
        <v>2</v>
      </c>
      <c r="F324" s="90" t="s">
        <v>276</v>
      </c>
      <c r="G324" s="90"/>
      <c r="H324" s="90"/>
      <c r="I324" s="90">
        <v>0</v>
      </c>
      <c r="J324" s="91">
        <v>45995</v>
      </c>
      <c r="K324" s="90" t="s">
        <v>124</v>
      </c>
      <c r="L324" s="90" t="s">
        <v>125</v>
      </c>
      <c r="M324" s="90"/>
      <c r="N324" s="90"/>
      <c r="O324" s="90" t="s">
        <v>177</v>
      </c>
      <c r="P324" s="90"/>
      <c r="Q324" s="90" t="s">
        <v>137</v>
      </c>
      <c r="R324" s="92">
        <v>1</v>
      </c>
      <c r="S324" s="30"/>
      <c r="T324" s="91">
        <v>46037</v>
      </c>
      <c r="U324" s="90" t="s">
        <v>602</v>
      </c>
      <c r="V324" s="91"/>
      <c r="W324" s="90"/>
      <c r="X324" s="92">
        <v>45</v>
      </c>
      <c r="Y324" s="30">
        <v>352</v>
      </c>
      <c r="Z324" s="30">
        <v>5144</v>
      </c>
      <c r="AA324" s="30">
        <v>8463</v>
      </c>
      <c r="AB324" s="91">
        <v>45492</v>
      </c>
      <c r="AC324" s="91">
        <v>45866</v>
      </c>
      <c r="AD324" s="91"/>
      <c r="AE324" s="90"/>
      <c r="AF324" s="90"/>
      <c r="AG324" s="30"/>
      <c r="AH324" s="90">
        <v>0</v>
      </c>
      <c r="AI324" s="90">
        <v>1</v>
      </c>
      <c r="AJ324" s="90">
        <v>0</v>
      </c>
      <c r="AK324" s="92">
        <v>2025</v>
      </c>
      <c r="AL324" s="90" t="s">
        <v>231</v>
      </c>
      <c r="AM324" s="92">
        <v>60</v>
      </c>
      <c r="AN324" s="90" t="s">
        <v>135</v>
      </c>
      <c r="AO324" s="90">
        <v>0</v>
      </c>
      <c r="AP324" s="90" t="s">
        <v>79</v>
      </c>
      <c r="AQ324" s="30">
        <v>77.2</v>
      </c>
    </row>
    <row r="325" spans="1:43" ht="15" customHeight="1" x14ac:dyDescent="0.3">
      <c r="A325" s="101" t="s">
        <v>679</v>
      </c>
      <c r="B325" s="90" t="s">
        <v>130</v>
      </c>
      <c r="C325" s="91">
        <v>43647</v>
      </c>
      <c r="D325" s="91">
        <v>45935</v>
      </c>
      <c r="E325" s="92">
        <v>2</v>
      </c>
      <c r="F325" s="90" t="s">
        <v>276</v>
      </c>
      <c r="G325" s="90"/>
      <c r="H325" s="90"/>
      <c r="I325" s="90">
        <v>0</v>
      </c>
      <c r="J325" s="91">
        <v>46048</v>
      </c>
      <c r="K325" s="90" t="s">
        <v>131</v>
      </c>
      <c r="L325" s="90" t="s">
        <v>132</v>
      </c>
      <c r="M325" s="90" t="s">
        <v>593</v>
      </c>
      <c r="N325" s="90" t="s">
        <v>133</v>
      </c>
      <c r="O325" s="90" t="s">
        <v>139</v>
      </c>
      <c r="P325" s="90" t="s">
        <v>596</v>
      </c>
      <c r="Q325" s="90" t="s">
        <v>130</v>
      </c>
      <c r="R325" s="92">
        <v>2</v>
      </c>
      <c r="S325" s="30">
        <v>53</v>
      </c>
      <c r="T325" s="91">
        <v>46079</v>
      </c>
      <c r="U325" s="90" t="s">
        <v>602</v>
      </c>
      <c r="V325" s="91"/>
      <c r="W325" s="90"/>
      <c r="X325" s="92">
        <v>45</v>
      </c>
      <c r="Y325" s="30">
        <v>352</v>
      </c>
      <c r="Z325" s="30">
        <v>5144</v>
      </c>
      <c r="AA325" s="30">
        <v>8463</v>
      </c>
      <c r="AB325" s="91">
        <v>45492</v>
      </c>
      <c r="AC325" s="91">
        <v>45866</v>
      </c>
      <c r="AD325" s="91"/>
      <c r="AE325" s="90"/>
      <c r="AF325" s="90"/>
      <c r="AG325" s="30"/>
      <c r="AH325" s="90">
        <v>0</v>
      </c>
      <c r="AI325" s="90">
        <v>1</v>
      </c>
      <c r="AJ325" s="90">
        <v>0</v>
      </c>
      <c r="AK325" s="92">
        <v>2026</v>
      </c>
      <c r="AL325" s="90" t="s">
        <v>232</v>
      </c>
      <c r="AM325" s="92">
        <v>113</v>
      </c>
      <c r="AN325" s="90" t="s">
        <v>150</v>
      </c>
      <c r="AO325" s="90">
        <v>0</v>
      </c>
      <c r="AP325" s="90" t="s">
        <v>79</v>
      </c>
      <c r="AQ325" s="30">
        <v>79</v>
      </c>
    </row>
    <row r="326" spans="1:43" ht="15" customHeight="1" outlineLevel="1" x14ac:dyDescent="0.3">
      <c r="A326" s="101" t="s">
        <v>679</v>
      </c>
      <c r="B326" s="90" t="s">
        <v>130</v>
      </c>
      <c r="C326" s="91">
        <v>43647</v>
      </c>
      <c r="D326" s="91">
        <v>45935</v>
      </c>
      <c r="E326" s="92">
        <v>2</v>
      </c>
      <c r="F326" s="90" t="s">
        <v>276</v>
      </c>
      <c r="G326" s="90"/>
      <c r="H326" s="90"/>
      <c r="I326" s="90">
        <v>0</v>
      </c>
      <c r="J326" s="91">
        <v>46090</v>
      </c>
      <c r="K326" s="90" t="s">
        <v>131</v>
      </c>
      <c r="L326" s="90" t="s">
        <v>132</v>
      </c>
      <c r="M326" s="90" t="s">
        <v>593</v>
      </c>
      <c r="N326" s="90" t="s">
        <v>133</v>
      </c>
      <c r="O326" s="90" t="s">
        <v>139</v>
      </c>
      <c r="P326" s="90" t="s">
        <v>596</v>
      </c>
      <c r="Q326" s="90" t="s">
        <v>130</v>
      </c>
      <c r="R326" s="92">
        <v>3</v>
      </c>
      <c r="S326" s="30">
        <v>42</v>
      </c>
      <c r="T326" s="91">
        <v>46111</v>
      </c>
      <c r="U326" s="90" t="s">
        <v>602</v>
      </c>
      <c r="V326" s="91"/>
      <c r="W326" s="90"/>
      <c r="X326" s="92">
        <v>45</v>
      </c>
      <c r="Y326" s="30"/>
      <c r="Z326" s="30">
        <v>5144</v>
      </c>
      <c r="AA326" s="30">
        <v>8463</v>
      </c>
      <c r="AB326" s="91">
        <v>45492</v>
      </c>
      <c r="AC326" s="91">
        <v>45866</v>
      </c>
      <c r="AD326" s="91"/>
      <c r="AE326" s="90"/>
      <c r="AF326" s="90"/>
      <c r="AG326" s="30"/>
      <c r="AH326" s="90">
        <v>0</v>
      </c>
      <c r="AI326" s="90">
        <v>1</v>
      </c>
      <c r="AJ326" s="90">
        <v>0</v>
      </c>
      <c r="AK326" s="92">
        <v>2026</v>
      </c>
      <c r="AL326" s="90" t="s">
        <v>234</v>
      </c>
      <c r="AM326" s="92">
        <v>155</v>
      </c>
      <c r="AN326" s="90" t="s">
        <v>158</v>
      </c>
      <c r="AO326" s="90">
        <v>0</v>
      </c>
      <c r="AP326" s="90" t="s">
        <v>79</v>
      </c>
      <c r="AQ326" s="30">
        <v>80.400000000000006</v>
      </c>
    </row>
    <row r="327" spans="1:43" ht="15" customHeight="1" outlineLevel="1" x14ac:dyDescent="0.3">
      <c r="A327" s="101" t="s">
        <v>679</v>
      </c>
      <c r="B327" s="90" t="s">
        <v>130</v>
      </c>
      <c r="C327" s="91">
        <v>43647</v>
      </c>
      <c r="D327" s="91">
        <v>45935</v>
      </c>
      <c r="E327" s="92">
        <v>2</v>
      </c>
      <c r="F327" s="90" t="s">
        <v>276</v>
      </c>
      <c r="G327" s="90"/>
      <c r="H327" s="90"/>
      <c r="I327" s="90">
        <v>0</v>
      </c>
      <c r="J327" s="91">
        <v>46111</v>
      </c>
      <c r="K327" s="90" t="s">
        <v>131</v>
      </c>
      <c r="L327" s="90" t="s">
        <v>125</v>
      </c>
      <c r="M327" s="90"/>
      <c r="N327" s="90" t="s">
        <v>133</v>
      </c>
      <c r="O327" s="90" t="s">
        <v>139</v>
      </c>
      <c r="P327" s="90" t="s">
        <v>596</v>
      </c>
      <c r="Q327" s="90" t="s">
        <v>130</v>
      </c>
      <c r="R327" s="92">
        <v>4</v>
      </c>
      <c r="S327" s="30">
        <v>21</v>
      </c>
      <c r="T327" s="91">
        <v>46133</v>
      </c>
      <c r="U327" s="90" t="s">
        <v>602</v>
      </c>
      <c r="V327" s="91"/>
      <c r="W327" s="90"/>
      <c r="X327" s="92">
        <v>45</v>
      </c>
      <c r="Y327" s="30"/>
      <c r="Z327" s="30">
        <v>5144</v>
      </c>
      <c r="AA327" s="30">
        <v>8463</v>
      </c>
      <c r="AB327" s="91">
        <v>45492</v>
      </c>
      <c r="AC327" s="91">
        <v>45866</v>
      </c>
      <c r="AD327" s="91"/>
      <c r="AE327" s="90"/>
      <c r="AF327" s="90"/>
      <c r="AG327" s="30"/>
      <c r="AH327" s="90">
        <v>0</v>
      </c>
      <c r="AI327" s="90">
        <v>1</v>
      </c>
      <c r="AJ327" s="90">
        <v>0</v>
      </c>
      <c r="AK327" s="92">
        <v>2026</v>
      </c>
      <c r="AL327" s="90" t="s">
        <v>234</v>
      </c>
      <c r="AM327" s="92">
        <v>176</v>
      </c>
      <c r="AN327" s="90" t="s">
        <v>160</v>
      </c>
      <c r="AO327" s="90">
        <v>0</v>
      </c>
      <c r="AP327" s="90" t="s">
        <v>79</v>
      </c>
      <c r="AQ327" s="30">
        <v>81.099999999999994</v>
      </c>
    </row>
    <row r="328" spans="1:43" ht="15" customHeight="1" outlineLevel="1" x14ac:dyDescent="0.3">
      <c r="A328" s="101" t="s">
        <v>679</v>
      </c>
      <c r="B328" s="90" t="s">
        <v>130</v>
      </c>
      <c r="C328" s="91">
        <v>43647</v>
      </c>
      <c r="D328" s="91">
        <v>45935</v>
      </c>
      <c r="E328" s="92">
        <v>2</v>
      </c>
      <c r="F328" s="90" t="s">
        <v>276</v>
      </c>
      <c r="G328" s="90"/>
      <c r="H328" s="90"/>
      <c r="I328" s="90">
        <v>0</v>
      </c>
      <c r="J328" s="91">
        <v>46133</v>
      </c>
      <c r="K328" s="90" t="s">
        <v>131</v>
      </c>
      <c r="L328" s="90" t="s">
        <v>125</v>
      </c>
      <c r="M328" s="90"/>
      <c r="N328" s="90" t="s">
        <v>133</v>
      </c>
      <c r="O328" s="90" t="s">
        <v>154</v>
      </c>
      <c r="P328" s="90" t="s">
        <v>596</v>
      </c>
      <c r="Q328" s="90" t="s">
        <v>137</v>
      </c>
      <c r="R328" s="92">
        <v>5</v>
      </c>
      <c r="S328" s="30">
        <v>22</v>
      </c>
      <c r="T328" s="91">
        <v>46155</v>
      </c>
      <c r="U328" s="90" t="s">
        <v>602</v>
      </c>
      <c r="V328" s="91"/>
      <c r="W328" s="90"/>
      <c r="X328" s="92">
        <v>45</v>
      </c>
      <c r="Y328" s="30"/>
      <c r="Z328" s="30">
        <v>5144</v>
      </c>
      <c r="AA328" s="30">
        <v>8463</v>
      </c>
      <c r="AB328" s="91">
        <v>45492</v>
      </c>
      <c r="AC328" s="91">
        <v>45866</v>
      </c>
      <c r="AD328" s="91"/>
      <c r="AE328" s="90"/>
      <c r="AF328" s="90"/>
      <c r="AG328" s="30"/>
      <c r="AH328" s="90">
        <v>0</v>
      </c>
      <c r="AI328" s="90">
        <v>1</v>
      </c>
      <c r="AJ328" s="90">
        <v>0</v>
      </c>
      <c r="AK328" s="92">
        <v>2026</v>
      </c>
      <c r="AL328" s="90" t="s">
        <v>235</v>
      </c>
      <c r="AM328" s="92">
        <v>198</v>
      </c>
      <c r="AN328" s="90" t="s">
        <v>163</v>
      </c>
      <c r="AO328" s="90">
        <v>0</v>
      </c>
      <c r="AP328" s="90" t="s">
        <v>79</v>
      </c>
      <c r="AQ328" s="30">
        <v>81.8</v>
      </c>
    </row>
    <row r="329" spans="1:43" ht="15" customHeight="1" outlineLevel="1" x14ac:dyDescent="0.3">
      <c r="A329" s="101" t="s">
        <v>679</v>
      </c>
      <c r="B329" s="90" t="s">
        <v>130</v>
      </c>
      <c r="C329" s="91">
        <v>43647</v>
      </c>
      <c r="D329" s="91">
        <v>45935</v>
      </c>
      <c r="E329" s="92">
        <v>2</v>
      </c>
      <c r="F329" s="90" t="s">
        <v>276</v>
      </c>
      <c r="G329" s="90"/>
      <c r="H329" s="90"/>
      <c r="I329" s="90">
        <v>0</v>
      </c>
      <c r="J329" s="91">
        <v>46155</v>
      </c>
      <c r="K329" s="90" t="s">
        <v>124</v>
      </c>
      <c r="L329" s="90" t="s">
        <v>125</v>
      </c>
      <c r="M329" s="90"/>
      <c r="N329" s="90"/>
      <c r="O329" s="90" t="s">
        <v>177</v>
      </c>
      <c r="P329" s="90"/>
      <c r="Q329" s="90" t="s">
        <v>137</v>
      </c>
      <c r="R329" s="92">
        <v>6</v>
      </c>
      <c r="S329" s="30">
        <v>22</v>
      </c>
      <c r="T329" s="91">
        <v>46185</v>
      </c>
      <c r="U329" s="90" t="s">
        <v>602</v>
      </c>
      <c r="V329" s="91"/>
      <c r="W329" s="90"/>
      <c r="X329" s="92">
        <v>45</v>
      </c>
      <c r="Y329" s="30"/>
      <c r="Z329" s="30">
        <v>5144</v>
      </c>
      <c r="AA329" s="30">
        <v>8463</v>
      </c>
      <c r="AB329" s="91">
        <v>45492</v>
      </c>
      <c r="AC329" s="91">
        <v>45866</v>
      </c>
      <c r="AD329" s="91"/>
      <c r="AE329" s="90"/>
      <c r="AF329" s="90"/>
      <c r="AG329" s="30"/>
      <c r="AH329" s="90">
        <v>0</v>
      </c>
      <c r="AI329" s="90">
        <v>1</v>
      </c>
      <c r="AJ329" s="90">
        <v>0</v>
      </c>
      <c r="AK329" s="92">
        <v>2026</v>
      </c>
      <c r="AL329" s="90" t="s">
        <v>236</v>
      </c>
      <c r="AM329" s="92">
        <v>220</v>
      </c>
      <c r="AN329" s="90" t="s">
        <v>172</v>
      </c>
      <c r="AO329" s="90">
        <v>0</v>
      </c>
      <c r="AP329" s="90" t="s">
        <v>79</v>
      </c>
      <c r="AQ329" s="30">
        <v>82.5</v>
      </c>
    </row>
    <row r="330" spans="1:43" ht="15" customHeight="1" outlineLevel="1" x14ac:dyDescent="0.3">
      <c r="A330" s="101" t="s">
        <v>679</v>
      </c>
      <c r="B330" s="90" t="s">
        <v>130</v>
      </c>
      <c r="C330" s="91">
        <v>43647</v>
      </c>
      <c r="D330" s="91">
        <v>45935</v>
      </c>
      <c r="E330" s="92">
        <v>2</v>
      </c>
      <c r="F330" s="90" t="s">
        <v>276</v>
      </c>
      <c r="G330" s="90"/>
      <c r="H330" s="90"/>
      <c r="I330" s="90">
        <v>0</v>
      </c>
      <c r="J330" s="91">
        <v>46196</v>
      </c>
      <c r="K330" s="90" t="s">
        <v>131</v>
      </c>
      <c r="L330" s="90" t="s">
        <v>132</v>
      </c>
      <c r="M330" s="90" t="s">
        <v>593</v>
      </c>
      <c r="N330" s="90" t="s">
        <v>133</v>
      </c>
      <c r="O330" s="90" t="s">
        <v>159</v>
      </c>
      <c r="P330" s="90" t="s">
        <v>596</v>
      </c>
      <c r="Q330" s="90" t="s">
        <v>137</v>
      </c>
      <c r="R330" s="92">
        <v>7</v>
      </c>
      <c r="S330" s="30">
        <v>41</v>
      </c>
      <c r="T330" s="91"/>
      <c r="U330" s="90" t="s">
        <v>611</v>
      </c>
      <c r="V330" s="91"/>
      <c r="W330" s="90"/>
      <c r="X330" s="92">
        <v>45</v>
      </c>
      <c r="Y330" s="30"/>
      <c r="Z330" s="30">
        <v>5144</v>
      </c>
      <c r="AA330" s="30">
        <v>8463</v>
      </c>
      <c r="AB330" s="91">
        <v>45492</v>
      </c>
      <c r="AC330" s="91">
        <v>45866</v>
      </c>
      <c r="AD330" s="91"/>
      <c r="AE330" s="90"/>
      <c r="AF330" s="90"/>
      <c r="AG330" s="30"/>
      <c r="AH330" s="90">
        <v>0</v>
      </c>
      <c r="AI330" s="90">
        <v>0</v>
      </c>
      <c r="AJ330" s="90">
        <v>0</v>
      </c>
      <c r="AK330" s="92">
        <v>2026</v>
      </c>
      <c r="AL330" s="90" t="s">
        <v>237</v>
      </c>
      <c r="AM330" s="92">
        <v>261</v>
      </c>
      <c r="AN330" s="90" t="s">
        <v>176</v>
      </c>
      <c r="AO330" s="90">
        <v>1</v>
      </c>
      <c r="AP330" s="90" t="s">
        <v>79</v>
      </c>
      <c r="AQ330" s="30">
        <v>83.8</v>
      </c>
    </row>
    <row r="331" spans="1:43" ht="15" customHeight="1" x14ac:dyDescent="0.3">
      <c r="A331" s="101" t="s">
        <v>680</v>
      </c>
      <c r="B331" s="90" t="s">
        <v>130</v>
      </c>
      <c r="C331" s="91">
        <v>45108</v>
      </c>
      <c r="D331" s="91"/>
      <c r="E331" s="92">
        <v>0</v>
      </c>
      <c r="F331" s="90"/>
      <c r="G331" s="90"/>
      <c r="H331" s="90"/>
      <c r="I331" s="90"/>
      <c r="J331" s="91">
        <v>45621</v>
      </c>
      <c r="K331" s="90" t="s">
        <v>124</v>
      </c>
      <c r="L331" s="90" t="s">
        <v>125</v>
      </c>
      <c r="M331" s="90"/>
      <c r="N331" s="90"/>
      <c r="O331" s="90" t="s">
        <v>171</v>
      </c>
      <c r="P331" s="90"/>
      <c r="Q331" s="90" t="s">
        <v>130</v>
      </c>
      <c r="R331" s="92">
        <v>1</v>
      </c>
      <c r="S331" s="30"/>
      <c r="T331" s="91">
        <v>45649</v>
      </c>
      <c r="U331" s="90" t="s">
        <v>582</v>
      </c>
      <c r="V331" s="91"/>
      <c r="W331" s="90"/>
      <c r="X331" s="92">
        <v>45</v>
      </c>
      <c r="Y331" s="30"/>
      <c r="Z331" s="30"/>
      <c r="AA331" s="30">
        <v>7347</v>
      </c>
      <c r="AB331" s="91">
        <v>45916</v>
      </c>
      <c r="AC331" s="91"/>
      <c r="AD331" s="91"/>
      <c r="AE331" s="90"/>
      <c r="AF331" s="90"/>
      <c r="AG331" s="30"/>
      <c r="AH331" s="90">
        <v>1</v>
      </c>
      <c r="AI331" s="90">
        <v>1</v>
      </c>
      <c r="AJ331" s="90">
        <v>0</v>
      </c>
      <c r="AK331" s="92">
        <v>2024</v>
      </c>
      <c r="AL331" s="90" t="s">
        <v>219</v>
      </c>
      <c r="AM331" s="92"/>
      <c r="AN331" s="90"/>
      <c r="AO331" s="90">
        <v>0</v>
      </c>
      <c r="AP331" s="90" t="s">
        <v>80</v>
      </c>
      <c r="AQ331" s="30">
        <v>16.899999999999999</v>
      </c>
    </row>
    <row r="332" spans="1:43" ht="15" customHeight="1" outlineLevel="1" x14ac:dyDescent="0.3">
      <c r="A332" s="101" t="s">
        <v>680</v>
      </c>
      <c r="B332" s="90" t="s">
        <v>130</v>
      </c>
      <c r="C332" s="91">
        <v>45108</v>
      </c>
      <c r="D332" s="91">
        <v>45916</v>
      </c>
      <c r="E332" s="92">
        <v>1</v>
      </c>
      <c r="F332" s="90" t="s">
        <v>276</v>
      </c>
      <c r="G332" s="90" t="s">
        <v>601</v>
      </c>
      <c r="H332" s="90" t="s">
        <v>279</v>
      </c>
      <c r="I332" s="90">
        <v>0</v>
      </c>
      <c r="J332" s="91">
        <v>46020</v>
      </c>
      <c r="K332" s="90" t="s">
        <v>131</v>
      </c>
      <c r="L332" s="90" t="s">
        <v>132</v>
      </c>
      <c r="M332" s="90" t="s">
        <v>593</v>
      </c>
      <c r="N332" s="90" t="s">
        <v>133</v>
      </c>
      <c r="O332" s="90" t="s">
        <v>144</v>
      </c>
      <c r="P332" s="90" t="s">
        <v>596</v>
      </c>
      <c r="Q332" s="90" t="s">
        <v>130</v>
      </c>
      <c r="R332" s="92">
        <v>1</v>
      </c>
      <c r="S332" s="30"/>
      <c r="T332" s="91">
        <v>46058</v>
      </c>
      <c r="U332" s="90" t="s">
        <v>582</v>
      </c>
      <c r="V332" s="91"/>
      <c r="W332" s="90"/>
      <c r="X332" s="92">
        <v>45</v>
      </c>
      <c r="Y332" s="30">
        <v>352</v>
      </c>
      <c r="Z332" s="30">
        <v>7347</v>
      </c>
      <c r="AA332" s="30">
        <v>7347</v>
      </c>
      <c r="AB332" s="91">
        <v>45916</v>
      </c>
      <c r="AC332" s="91"/>
      <c r="AD332" s="91"/>
      <c r="AE332" s="90"/>
      <c r="AF332" s="90"/>
      <c r="AG332" s="30"/>
      <c r="AH332" s="90">
        <v>1</v>
      </c>
      <c r="AI332" s="90">
        <v>1</v>
      </c>
      <c r="AJ332" s="90">
        <v>0</v>
      </c>
      <c r="AK332" s="92">
        <v>2025</v>
      </c>
      <c r="AL332" s="90" t="s">
        <v>231</v>
      </c>
      <c r="AM332" s="92">
        <v>104</v>
      </c>
      <c r="AN332" s="90" t="s">
        <v>145</v>
      </c>
      <c r="AO332" s="90">
        <v>1</v>
      </c>
      <c r="AP332" s="90" t="s">
        <v>79</v>
      </c>
      <c r="AQ332" s="30">
        <v>30</v>
      </c>
    </row>
    <row r="333" spans="1:43" ht="15" customHeight="1" outlineLevel="1" x14ac:dyDescent="0.3">
      <c r="A333" s="101" t="s">
        <v>681</v>
      </c>
      <c r="B333" s="90" t="s">
        <v>130</v>
      </c>
      <c r="C333" s="91">
        <v>45108</v>
      </c>
      <c r="D333" s="91"/>
      <c r="E333" s="92">
        <v>0</v>
      </c>
      <c r="F333" s="90"/>
      <c r="G333" s="90"/>
      <c r="H333" s="90"/>
      <c r="I333" s="90"/>
      <c r="J333" s="91">
        <v>45621</v>
      </c>
      <c r="K333" s="90" t="s">
        <v>124</v>
      </c>
      <c r="L333" s="90" t="s">
        <v>125</v>
      </c>
      <c r="M333" s="90"/>
      <c r="N333" s="90"/>
      <c r="O333" s="90" t="s">
        <v>171</v>
      </c>
      <c r="P333" s="90"/>
      <c r="Q333" s="90" t="s">
        <v>130</v>
      </c>
      <c r="R333" s="92">
        <v>1</v>
      </c>
      <c r="S333" s="30"/>
      <c r="T333" s="91">
        <v>45649</v>
      </c>
      <c r="U333" s="90" t="s">
        <v>582</v>
      </c>
      <c r="V333" s="91"/>
      <c r="W333" s="90"/>
      <c r="X333" s="92">
        <v>45</v>
      </c>
      <c r="Y333" s="30"/>
      <c r="Z333" s="30"/>
      <c r="AA333" s="30">
        <v>8691</v>
      </c>
      <c r="AB333" s="91">
        <v>45916</v>
      </c>
      <c r="AC333" s="91"/>
      <c r="AD333" s="91"/>
      <c r="AE333" s="90"/>
      <c r="AF333" s="90"/>
      <c r="AG333" s="30"/>
      <c r="AH333" s="90">
        <v>1</v>
      </c>
      <c r="AI333" s="90">
        <v>1</v>
      </c>
      <c r="AJ333" s="90">
        <v>0</v>
      </c>
      <c r="AK333" s="92">
        <v>2024</v>
      </c>
      <c r="AL333" s="90" t="s">
        <v>219</v>
      </c>
      <c r="AM333" s="92"/>
      <c r="AN333" s="90"/>
      <c r="AO333" s="90">
        <v>0</v>
      </c>
      <c r="AP333" s="90" t="s">
        <v>80</v>
      </c>
      <c r="AQ333" s="30">
        <v>16.899999999999999</v>
      </c>
    </row>
    <row r="334" spans="1:43" ht="15" customHeight="1" outlineLevel="1" x14ac:dyDescent="0.3">
      <c r="A334" s="101" t="s">
        <v>681</v>
      </c>
      <c r="B334" s="90" t="s">
        <v>130</v>
      </c>
      <c r="C334" s="91">
        <v>45108</v>
      </c>
      <c r="D334" s="91">
        <v>45916</v>
      </c>
      <c r="E334" s="92">
        <v>1</v>
      </c>
      <c r="F334" s="90" t="s">
        <v>276</v>
      </c>
      <c r="G334" s="90" t="s">
        <v>601</v>
      </c>
      <c r="H334" s="90" t="s">
        <v>279</v>
      </c>
      <c r="I334" s="90">
        <v>0</v>
      </c>
      <c r="J334" s="91">
        <v>45979</v>
      </c>
      <c r="K334" s="90" t="s">
        <v>131</v>
      </c>
      <c r="L334" s="90" t="s">
        <v>125</v>
      </c>
      <c r="M334" s="90"/>
      <c r="N334" s="90"/>
      <c r="O334" s="90" t="s">
        <v>144</v>
      </c>
      <c r="P334" s="90" t="s">
        <v>596</v>
      </c>
      <c r="Q334" s="90" t="s">
        <v>130</v>
      </c>
      <c r="R334" s="92">
        <v>1</v>
      </c>
      <c r="S334" s="30"/>
      <c r="T334" s="91">
        <v>46009</v>
      </c>
      <c r="U334" s="90" t="s">
        <v>582</v>
      </c>
      <c r="V334" s="91"/>
      <c r="W334" s="90"/>
      <c r="X334" s="92">
        <v>45</v>
      </c>
      <c r="Y334" s="30"/>
      <c r="Z334" s="30">
        <v>8691</v>
      </c>
      <c r="AA334" s="30">
        <v>8691</v>
      </c>
      <c r="AB334" s="91">
        <v>45916</v>
      </c>
      <c r="AC334" s="91"/>
      <c r="AD334" s="91"/>
      <c r="AE334" s="90"/>
      <c r="AF334" s="90"/>
      <c r="AG334" s="30"/>
      <c r="AH334" s="90">
        <v>1</v>
      </c>
      <c r="AI334" s="90">
        <v>1</v>
      </c>
      <c r="AJ334" s="90">
        <v>0</v>
      </c>
      <c r="AK334" s="92">
        <v>2025</v>
      </c>
      <c r="AL334" s="90" t="s">
        <v>230</v>
      </c>
      <c r="AM334" s="92">
        <v>63</v>
      </c>
      <c r="AN334" s="90" t="s">
        <v>135</v>
      </c>
      <c r="AO334" s="90">
        <v>1</v>
      </c>
      <c r="AP334" s="90" t="s">
        <v>79</v>
      </c>
      <c r="AQ334" s="30">
        <v>28.7</v>
      </c>
    </row>
    <row r="335" spans="1:43" ht="15" customHeight="1" outlineLevel="1" x14ac:dyDescent="0.3">
      <c r="A335" s="101" t="s">
        <v>682</v>
      </c>
      <c r="B335" s="90" t="s">
        <v>130</v>
      </c>
      <c r="C335" s="91">
        <v>45108</v>
      </c>
      <c r="D335" s="91"/>
      <c r="E335" s="92">
        <v>0</v>
      </c>
      <c r="F335" s="90"/>
      <c r="G335" s="90"/>
      <c r="H335" s="90"/>
      <c r="I335" s="90"/>
      <c r="J335" s="91">
        <v>45629</v>
      </c>
      <c r="K335" s="90" t="s">
        <v>124</v>
      </c>
      <c r="L335" s="90" t="s">
        <v>125</v>
      </c>
      <c r="M335" s="90"/>
      <c r="N335" s="90"/>
      <c r="O335" s="90" t="s">
        <v>171</v>
      </c>
      <c r="P335" s="90"/>
      <c r="Q335" s="90" t="s">
        <v>130</v>
      </c>
      <c r="R335" s="92">
        <v>1</v>
      </c>
      <c r="S335" s="30"/>
      <c r="T335" s="91">
        <v>45657</v>
      </c>
      <c r="U335" s="90" t="s">
        <v>582</v>
      </c>
      <c r="V335" s="91"/>
      <c r="W335" s="90"/>
      <c r="X335" s="92">
        <v>45</v>
      </c>
      <c r="Y335" s="30"/>
      <c r="Z335" s="30"/>
      <c r="AA335" s="30">
        <v>6559</v>
      </c>
      <c r="AB335" s="91">
        <v>45924</v>
      </c>
      <c r="AC335" s="91"/>
      <c r="AD335" s="91"/>
      <c r="AE335" s="90"/>
      <c r="AF335" s="90"/>
      <c r="AG335" s="30"/>
      <c r="AH335" s="90">
        <v>1</v>
      </c>
      <c r="AI335" s="90">
        <v>1</v>
      </c>
      <c r="AJ335" s="90">
        <v>0</v>
      </c>
      <c r="AK335" s="92">
        <v>2024</v>
      </c>
      <c r="AL335" s="90" t="s">
        <v>220</v>
      </c>
      <c r="AM335" s="92"/>
      <c r="AN335" s="90"/>
      <c r="AO335" s="90">
        <v>0</v>
      </c>
      <c r="AP335" s="90" t="s">
        <v>80</v>
      </c>
      <c r="AQ335" s="30">
        <v>17.100000000000001</v>
      </c>
    </row>
    <row r="336" spans="1:43" ht="15" customHeight="1" outlineLevel="1" x14ac:dyDescent="0.3">
      <c r="A336" s="101" t="s">
        <v>682</v>
      </c>
      <c r="B336" s="90" t="s">
        <v>130</v>
      </c>
      <c r="C336" s="91">
        <v>45108</v>
      </c>
      <c r="D336" s="91">
        <v>45924</v>
      </c>
      <c r="E336" s="92">
        <v>1</v>
      </c>
      <c r="F336" s="90" t="s">
        <v>276</v>
      </c>
      <c r="G336" s="90" t="s">
        <v>601</v>
      </c>
      <c r="H336" s="90" t="s">
        <v>279</v>
      </c>
      <c r="I336" s="90">
        <v>0</v>
      </c>
      <c r="J336" s="91">
        <v>45979</v>
      </c>
      <c r="K336" s="90" t="s">
        <v>131</v>
      </c>
      <c r="L336" s="90" t="s">
        <v>125</v>
      </c>
      <c r="M336" s="90"/>
      <c r="N336" s="90" t="s">
        <v>133</v>
      </c>
      <c r="O336" s="90" t="s">
        <v>144</v>
      </c>
      <c r="P336" s="90" t="s">
        <v>596</v>
      </c>
      <c r="Q336" s="90" t="s">
        <v>130</v>
      </c>
      <c r="R336" s="92">
        <v>1</v>
      </c>
      <c r="S336" s="30"/>
      <c r="T336" s="91">
        <v>46009</v>
      </c>
      <c r="U336" s="90" t="s">
        <v>582</v>
      </c>
      <c r="V336" s="91"/>
      <c r="W336" s="90"/>
      <c r="X336" s="92">
        <v>45</v>
      </c>
      <c r="Y336" s="30"/>
      <c r="Z336" s="30">
        <v>6559</v>
      </c>
      <c r="AA336" s="30">
        <v>6559</v>
      </c>
      <c r="AB336" s="91">
        <v>45924</v>
      </c>
      <c r="AC336" s="91"/>
      <c r="AD336" s="91"/>
      <c r="AE336" s="90"/>
      <c r="AF336" s="90"/>
      <c r="AG336" s="30"/>
      <c r="AH336" s="90">
        <v>1</v>
      </c>
      <c r="AI336" s="90">
        <v>1</v>
      </c>
      <c r="AJ336" s="90">
        <v>0</v>
      </c>
      <c r="AK336" s="92">
        <v>2025</v>
      </c>
      <c r="AL336" s="90" t="s">
        <v>230</v>
      </c>
      <c r="AM336" s="92">
        <v>55</v>
      </c>
      <c r="AN336" s="90" t="s">
        <v>135</v>
      </c>
      <c r="AO336" s="90">
        <v>1</v>
      </c>
      <c r="AP336" s="90" t="s">
        <v>79</v>
      </c>
      <c r="AQ336" s="30">
        <v>28.7</v>
      </c>
    </row>
    <row r="337" spans="1:43" ht="15" customHeight="1" outlineLevel="1" x14ac:dyDescent="0.3">
      <c r="A337" s="101" t="s">
        <v>683</v>
      </c>
      <c r="B337" s="90" t="s">
        <v>137</v>
      </c>
      <c r="C337" s="91">
        <v>44240</v>
      </c>
      <c r="D337" s="91"/>
      <c r="E337" s="92">
        <v>0</v>
      </c>
      <c r="F337" s="90"/>
      <c r="G337" s="90"/>
      <c r="H337" s="90"/>
      <c r="I337" s="90"/>
      <c r="J337" s="91">
        <v>45618</v>
      </c>
      <c r="K337" s="90" t="s">
        <v>124</v>
      </c>
      <c r="L337" s="90" t="s">
        <v>125</v>
      </c>
      <c r="M337" s="90"/>
      <c r="N337" s="90"/>
      <c r="O337" s="90" t="s">
        <v>171</v>
      </c>
      <c r="P337" s="90"/>
      <c r="Q337" s="90" t="s">
        <v>137</v>
      </c>
      <c r="R337" s="92">
        <v>1</v>
      </c>
      <c r="S337" s="30"/>
      <c r="T337" s="91">
        <v>45646</v>
      </c>
      <c r="U337" s="90" t="s">
        <v>582</v>
      </c>
      <c r="V337" s="91"/>
      <c r="W337" s="90"/>
      <c r="X337" s="92">
        <v>45</v>
      </c>
      <c r="Y337" s="30"/>
      <c r="Z337" s="30"/>
      <c r="AA337" s="30">
        <v>5978</v>
      </c>
      <c r="AB337" s="91">
        <v>45901</v>
      </c>
      <c r="AC337" s="91">
        <v>46169</v>
      </c>
      <c r="AD337" s="91"/>
      <c r="AE337" s="90"/>
      <c r="AF337" s="90"/>
      <c r="AG337" s="30"/>
      <c r="AH337" s="90">
        <v>1</v>
      </c>
      <c r="AI337" s="90">
        <v>1</v>
      </c>
      <c r="AJ337" s="90">
        <v>0</v>
      </c>
      <c r="AK337" s="92">
        <v>2024</v>
      </c>
      <c r="AL337" s="90" t="s">
        <v>219</v>
      </c>
      <c r="AM337" s="92"/>
      <c r="AN337" s="90"/>
      <c r="AO337" s="90">
        <v>0</v>
      </c>
      <c r="AP337" s="90" t="s">
        <v>80</v>
      </c>
      <c r="AQ337" s="30">
        <v>45.3</v>
      </c>
    </row>
    <row r="338" spans="1:43" ht="15" customHeight="1" outlineLevel="1" x14ac:dyDescent="0.3">
      <c r="A338" s="101" t="s">
        <v>683</v>
      </c>
      <c r="B338" s="90" t="s">
        <v>137</v>
      </c>
      <c r="C338" s="91">
        <v>44240</v>
      </c>
      <c r="D338" s="91">
        <v>45901</v>
      </c>
      <c r="E338" s="92">
        <v>1</v>
      </c>
      <c r="F338" s="90" t="s">
        <v>276</v>
      </c>
      <c r="G338" s="90" t="s">
        <v>601</v>
      </c>
      <c r="H338" s="90" t="s">
        <v>279</v>
      </c>
      <c r="I338" s="90">
        <v>0</v>
      </c>
      <c r="J338" s="91">
        <v>45946</v>
      </c>
      <c r="K338" s="90" t="s">
        <v>131</v>
      </c>
      <c r="L338" s="90" t="s">
        <v>125</v>
      </c>
      <c r="M338" s="90"/>
      <c r="N338" s="90" t="s">
        <v>133</v>
      </c>
      <c r="O338" s="90" t="s">
        <v>144</v>
      </c>
      <c r="P338" s="90" t="s">
        <v>596</v>
      </c>
      <c r="Q338" s="90" t="s">
        <v>130</v>
      </c>
      <c r="R338" s="92">
        <v>1</v>
      </c>
      <c r="S338" s="30"/>
      <c r="T338" s="91">
        <v>46009</v>
      </c>
      <c r="U338" s="90" t="s">
        <v>582</v>
      </c>
      <c r="V338" s="91">
        <v>46181</v>
      </c>
      <c r="W338" s="90" t="s">
        <v>607</v>
      </c>
      <c r="X338" s="92">
        <v>45</v>
      </c>
      <c r="Y338" s="30"/>
      <c r="Z338" s="30">
        <v>5978</v>
      </c>
      <c r="AA338" s="30">
        <v>5978</v>
      </c>
      <c r="AB338" s="91">
        <v>45901</v>
      </c>
      <c r="AC338" s="91">
        <v>46169</v>
      </c>
      <c r="AD338" s="91"/>
      <c r="AE338" s="90"/>
      <c r="AF338" s="90"/>
      <c r="AG338" s="30"/>
      <c r="AH338" s="90">
        <v>1</v>
      </c>
      <c r="AI338" s="90">
        <v>1</v>
      </c>
      <c r="AJ338" s="90">
        <v>1</v>
      </c>
      <c r="AK338" s="92">
        <v>2025</v>
      </c>
      <c r="AL338" s="90" t="s">
        <v>229</v>
      </c>
      <c r="AM338" s="92">
        <v>45</v>
      </c>
      <c r="AN338" s="90" t="s">
        <v>135</v>
      </c>
      <c r="AO338" s="90">
        <v>1</v>
      </c>
      <c r="AP338" s="90" t="s">
        <v>79</v>
      </c>
      <c r="AQ338" s="30">
        <v>56.1</v>
      </c>
    </row>
    <row r="339" spans="1:43" ht="15" customHeight="1" outlineLevel="1" x14ac:dyDescent="0.3">
      <c r="A339" s="101" t="s">
        <v>684</v>
      </c>
      <c r="B339" s="90" t="s">
        <v>137</v>
      </c>
      <c r="C339" s="91">
        <v>45088</v>
      </c>
      <c r="D339" s="91"/>
      <c r="E339" s="92">
        <v>0</v>
      </c>
      <c r="F339" s="90"/>
      <c r="G339" s="90"/>
      <c r="H339" s="90"/>
      <c r="I339" s="90"/>
      <c r="J339" s="91">
        <v>45595</v>
      </c>
      <c r="K339" s="90" t="s">
        <v>124</v>
      </c>
      <c r="L339" s="90" t="s">
        <v>125</v>
      </c>
      <c r="M339" s="90"/>
      <c r="N339" s="90"/>
      <c r="O339" s="90" t="s">
        <v>171</v>
      </c>
      <c r="P339" s="90"/>
      <c r="Q339" s="90" t="s">
        <v>137</v>
      </c>
      <c r="R339" s="92">
        <v>1</v>
      </c>
      <c r="S339" s="30"/>
      <c r="T339" s="91">
        <v>45623</v>
      </c>
      <c r="U339" s="90" t="s">
        <v>582</v>
      </c>
      <c r="V339" s="91"/>
      <c r="W339" s="90"/>
      <c r="X339" s="92">
        <v>45</v>
      </c>
      <c r="Y339" s="30"/>
      <c r="Z339" s="30"/>
      <c r="AA339" s="30">
        <v>7531</v>
      </c>
      <c r="AB339" s="91">
        <v>45878</v>
      </c>
      <c r="AC339" s="91">
        <v>46202</v>
      </c>
      <c r="AD339" s="91"/>
      <c r="AE339" s="90"/>
      <c r="AF339" s="90"/>
      <c r="AG339" s="30"/>
      <c r="AH339" s="90">
        <v>1</v>
      </c>
      <c r="AI339" s="90">
        <v>1</v>
      </c>
      <c r="AJ339" s="90">
        <v>0</v>
      </c>
      <c r="AK339" s="92">
        <v>2024</v>
      </c>
      <c r="AL339" s="90" t="s">
        <v>218</v>
      </c>
      <c r="AM339" s="92"/>
      <c r="AN339" s="90"/>
      <c r="AO339" s="90">
        <v>0</v>
      </c>
      <c r="AP339" s="90" t="s">
        <v>80</v>
      </c>
      <c r="AQ339" s="30">
        <v>16.7</v>
      </c>
    </row>
    <row r="340" spans="1:43" ht="15" customHeight="1" x14ac:dyDescent="0.3">
      <c r="A340" s="101" t="s">
        <v>684</v>
      </c>
      <c r="B340" s="90" t="s">
        <v>137</v>
      </c>
      <c r="C340" s="91">
        <v>45088</v>
      </c>
      <c r="D340" s="91">
        <v>45878</v>
      </c>
      <c r="E340" s="92">
        <v>1</v>
      </c>
      <c r="F340" s="90" t="s">
        <v>276</v>
      </c>
      <c r="G340" s="90" t="s">
        <v>601</v>
      </c>
      <c r="H340" s="90" t="s">
        <v>279</v>
      </c>
      <c r="I340" s="90">
        <v>0</v>
      </c>
      <c r="J340" s="91">
        <v>45979</v>
      </c>
      <c r="K340" s="90" t="s">
        <v>131</v>
      </c>
      <c r="L340" s="90" t="s">
        <v>125</v>
      </c>
      <c r="M340" s="90"/>
      <c r="N340" s="90" t="s">
        <v>133</v>
      </c>
      <c r="O340" s="90" t="s">
        <v>144</v>
      </c>
      <c r="P340" s="90" t="s">
        <v>596</v>
      </c>
      <c r="Q340" s="90" t="s">
        <v>130</v>
      </c>
      <c r="R340" s="92">
        <v>1</v>
      </c>
      <c r="S340" s="30"/>
      <c r="T340" s="91">
        <v>46009</v>
      </c>
      <c r="U340" s="90" t="s">
        <v>582</v>
      </c>
      <c r="V340" s="91"/>
      <c r="W340" s="90"/>
      <c r="X340" s="92">
        <v>45</v>
      </c>
      <c r="Y340" s="30"/>
      <c r="Z340" s="30">
        <v>7866.5</v>
      </c>
      <c r="AA340" s="30">
        <v>7531</v>
      </c>
      <c r="AB340" s="91">
        <v>45878</v>
      </c>
      <c r="AC340" s="91">
        <v>46202</v>
      </c>
      <c r="AD340" s="91"/>
      <c r="AE340" s="90"/>
      <c r="AF340" s="90"/>
      <c r="AG340" s="30"/>
      <c r="AH340" s="90">
        <v>1</v>
      </c>
      <c r="AI340" s="90">
        <v>1</v>
      </c>
      <c r="AJ340" s="90">
        <v>0</v>
      </c>
      <c r="AK340" s="92">
        <v>2025</v>
      </c>
      <c r="AL340" s="90" t="s">
        <v>230</v>
      </c>
      <c r="AM340" s="92">
        <v>101</v>
      </c>
      <c r="AN340" s="90" t="s">
        <v>145</v>
      </c>
      <c r="AO340" s="90">
        <v>1</v>
      </c>
      <c r="AP340" s="90" t="s">
        <v>79</v>
      </c>
      <c r="AQ340" s="30">
        <v>29.3</v>
      </c>
    </row>
    <row r="341" spans="1:43" ht="15" customHeight="1" outlineLevel="1" x14ac:dyDescent="0.3">
      <c r="A341" s="101" t="s">
        <v>685</v>
      </c>
      <c r="B341" s="90" t="s">
        <v>137</v>
      </c>
      <c r="C341" s="91">
        <v>44655</v>
      </c>
      <c r="D341" s="91"/>
      <c r="E341" s="92">
        <v>0</v>
      </c>
      <c r="F341" s="90"/>
      <c r="G341" s="90"/>
      <c r="H341" s="90"/>
      <c r="I341" s="90"/>
      <c r="J341" s="91">
        <v>45606</v>
      </c>
      <c r="K341" s="90" t="s">
        <v>124</v>
      </c>
      <c r="L341" s="90" t="s">
        <v>125</v>
      </c>
      <c r="M341" s="90"/>
      <c r="N341" s="90"/>
      <c r="O341" s="90" t="s">
        <v>171</v>
      </c>
      <c r="P341" s="90"/>
      <c r="Q341" s="90" t="s">
        <v>137</v>
      </c>
      <c r="R341" s="92">
        <v>1</v>
      </c>
      <c r="S341" s="30"/>
      <c r="T341" s="91">
        <v>45634</v>
      </c>
      <c r="U341" s="90" t="s">
        <v>582</v>
      </c>
      <c r="V341" s="91"/>
      <c r="W341" s="90"/>
      <c r="X341" s="92">
        <v>45</v>
      </c>
      <c r="Y341" s="30"/>
      <c r="Z341" s="30"/>
      <c r="AA341" s="30">
        <v>8885</v>
      </c>
      <c r="AB341" s="91">
        <v>45889</v>
      </c>
      <c r="AC341" s="91">
        <v>46202</v>
      </c>
      <c r="AD341" s="91"/>
      <c r="AE341" s="90"/>
      <c r="AF341" s="90"/>
      <c r="AG341" s="30"/>
      <c r="AH341" s="90">
        <v>1</v>
      </c>
      <c r="AI341" s="90">
        <v>1</v>
      </c>
      <c r="AJ341" s="90">
        <v>0</v>
      </c>
      <c r="AK341" s="92">
        <v>2024</v>
      </c>
      <c r="AL341" s="90" t="s">
        <v>219</v>
      </c>
      <c r="AM341" s="92"/>
      <c r="AN341" s="90"/>
      <c r="AO341" s="90">
        <v>0</v>
      </c>
      <c r="AP341" s="90" t="s">
        <v>80</v>
      </c>
      <c r="AQ341" s="30">
        <v>31.3</v>
      </c>
    </row>
    <row r="342" spans="1:43" ht="15" customHeight="1" outlineLevel="1" x14ac:dyDescent="0.3">
      <c r="A342" s="101" t="s">
        <v>685</v>
      </c>
      <c r="B342" s="90" t="s">
        <v>137</v>
      </c>
      <c r="C342" s="91">
        <v>44655</v>
      </c>
      <c r="D342" s="91">
        <v>45889</v>
      </c>
      <c r="E342" s="92">
        <v>1</v>
      </c>
      <c r="F342" s="90" t="s">
        <v>276</v>
      </c>
      <c r="G342" s="90" t="s">
        <v>601</v>
      </c>
      <c r="H342" s="90" t="s">
        <v>279</v>
      </c>
      <c r="I342" s="90">
        <v>0</v>
      </c>
      <c r="J342" s="91">
        <v>45979</v>
      </c>
      <c r="K342" s="90" t="s">
        <v>131</v>
      </c>
      <c r="L342" s="90" t="s">
        <v>125</v>
      </c>
      <c r="M342" s="90"/>
      <c r="N342" s="90" t="s">
        <v>133</v>
      </c>
      <c r="O342" s="90" t="s">
        <v>144</v>
      </c>
      <c r="P342" s="90" t="s">
        <v>596</v>
      </c>
      <c r="Q342" s="90" t="s">
        <v>130</v>
      </c>
      <c r="R342" s="92">
        <v>1</v>
      </c>
      <c r="S342" s="30"/>
      <c r="T342" s="91">
        <v>46009</v>
      </c>
      <c r="U342" s="90" t="s">
        <v>582</v>
      </c>
      <c r="V342" s="91"/>
      <c r="W342" s="90"/>
      <c r="X342" s="92">
        <v>45</v>
      </c>
      <c r="Y342" s="30"/>
      <c r="Z342" s="30">
        <v>9244.7999999999993</v>
      </c>
      <c r="AA342" s="30">
        <v>8885</v>
      </c>
      <c r="AB342" s="91">
        <v>45889</v>
      </c>
      <c r="AC342" s="91">
        <v>46202</v>
      </c>
      <c r="AD342" s="91"/>
      <c r="AE342" s="90"/>
      <c r="AF342" s="90"/>
      <c r="AG342" s="30"/>
      <c r="AH342" s="90">
        <v>1</v>
      </c>
      <c r="AI342" s="90">
        <v>1</v>
      </c>
      <c r="AJ342" s="90">
        <v>0</v>
      </c>
      <c r="AK342" s="92">
        <v>2025</v>
      </c>
      <c r="AL342" s="90" t="s">
        <v>230</v>
      </c>
      <c r="AM342" s="92">
        <v>90</v>
      </c>
      <c r="AN342" s="90" t="s">
        <v>145</v>
      </c>
      <c r="AO342" s="90">
        <v>1</v>
      </c>
      <c r="AP342" s="90" t="s">
        <v>79</v>
      </c>
      <c r="AQ342" s="30">
        <v>43.6</v>
      </c>
    </row>
    <row r="343" spans="1:43" ht="15" customHeight="1" outlineLevel="1" x14ac:dyDescent="0.3">
      <c r="A343" s="101" t="s">
        <v>686</v>
      </c>
      <c r="B343" s="90" t="s">
        <v>137</v>
      </c>
      <c r="C343" s="91">
        <v>44957</v>
      </c>
      <c r="D343" s="91"/>
      <c r="E343" s="92">
        <v>0</v>
      </c>
      <c r="F343" s="90"/>
      <c r="G343" s="90"/>
      <c r="H343" s="90"/>
      <c r="I343" s="90"/>
      <c r="J343" s="91">
        <v>45515</v>
      </c>
      <c r="K343" s="90" t="s">
        <v>124</v>
      </c>
      <c r="L343" s="90" t="s">
        <v>125</v>
      </c>
      <c r="M343" s="90"/>
      <c r="N343" s="90"/>
      <c r="O343" s="90" t="s">
        <v>171</v>
      </c>
      <c r="P343" s="90"/>
      <c r="Q343" s="90" t="s">
        <v>137</v>
      </c>
      <c r="R343" s="92">
        <v>1</v>
      </c>
      <c r="S343" s="30"/>
      <c r="T343" s="91">
        <v>45543</v>
      </c>
      <c r="U343" s="90" t="s">
        <v>582</v>
      </c>
      <c r="V343" s="91"/>
      <c r="W343" s="90"/>
      <c r="X343" s="92">
        <v>45</v>
      </c>
      <c r="Y343" s="30"/>
      <c r="Z343" s="30"/>
      <c r="AA343" s="30">
        <v>5851.5</v>
      </c>
      <c r="AB343" s="91">
        <v>45798</v>
      </c>
      <c r="AC343" s="91">
        <v>46078</v>
      </c>
      <c r="AD343" s="91"/>
      <c r="AE343" s="90"/>
      <c r="AF343" s="90"/>
      <c r="AG343" s="30"/>
      <c r="AH343" s="90">
        <v>1</v>
      </c>
      <c r="AI343" s="90">
        <v>1</v>
      </c>
      <c r="AJ343" s="90">
        <v>0</v>
      </c>
      <c r="AK343" s="92">
        <v>2024</v>
      </c>
      <c r="AL343" s="90" t="s">
        <v>216</v>
      </c>
      <c r="AM343" s="92"/>
      <c r="AN343" s="90"/>
      <c r="AO343" s="90">
        <v>0</v>
      </c>
      <c r="AP343" s="90" t="s">
        <v>80</v>
      </c>
      <c r="AQ343" s="30">
        <v>18.399999999999999</v>
      </c>
    </row>
    <row r="344" spans="1:43" ht="15" customHeight="1" outlineLevel="1" x14ac:dyDescent="0.3">
      <c r="A344" s="101" t="s">
        <v>686</v>
      </c>
      <c r="B344" s="90" t="s">
        <v>137</v>
      </c>
      <c r="C344" s="91">
        <v>44957</v>
      </c>
      <c r="D344" s="91">
        <v>45798</v>
      </c>
      <c r="E344" s="92">
        <v>1</v>
      </c>
      <c r="F344" s="90" t="s">
        <v>276</v>
      </c>
      <c r="G344" s="90" t="s">
        <v>601</v>
      </c>
      <c r="H344" s="90" t="s">
        <v>279</v>
      </c>
      <c r="I344" s="90">
        <v>0</v>
      </c>
      <c r="J344" s="91">
        <v>45885</v>
      </c>
      <c r="K344" s="90" t="s">
        <v>131</v>
      </c>
      <c r="L344" s="90" t="s">
        <v>125</v>
      </c>
      <c r="M344" s="90"/>
      <c r="N344" s="90"/>
      <c r="O344" s="90" t="s">
        <v>157</v>
      </c>
      <c r="P344" s="90" t="s">
        <v>596</v>
      </c>
      <c r="Q344" s="90" t="s">
        <v>130</v>
      </c>
      <c r="R344" s="92">
        <v>1</v>
      </c>
      <c r="S344" s="30"/>
      <c r="T344" s="91">
        <v>45968</v>
      </c>
      <c r="U344" s="90" t="s">
        <v>582</v>
      </c>
      <c r="V344" s="91">
        <v>46079</v>
      </c>
      <c r="W344" s="90" t="s">
        <v>607</v>
      </c>
      <c r="X344" s="92">
        <v>45</v>
      </c>
      <c r="Y344" s="30"/>
      <c r="Z344" s="30">
        <v>5851.5</v>
      </c>
      <c r="AA344" s="30">
        <v>5851.5</v>
      </c>
      <c r="AB344" s="91">
        <v>45798</v>
      </c>
      <c r="AC344" s="91">
        <v>46078</v>
      </c>
      <c r="AD344" s="91"/>
      <c r="AE344" s="90"/>
      <c r="AF344" s="90"/>
      <c r="AG344" s="30"/>
      <c r="AH344" s="90">
        <v>1</v>
      </c>
      <c r="AI344" s="90">
        <v>1</v>
      </c>
      <c r="AJ344" s="90">
        <v>1</v>
      </c>
      <c r="AK344" s="92">
        <v>2025</v>
      </c>
      <c r="AL344" s="90" t="s">
        <v>227</v>
      </c>
      <c r="AM344" s="92">
        <v>87</v>
      </c>
      <c r="AN344" s="90" t="s">
        <v>145</v>
      </c>
      <c r="AO344" s="90">
        <v>0</v>
      </c>
      <c r="AP344" s="90" t="s">
        <v>79</v>
      </c>
      <c r="AQ344" s="30">
        <v>30.5</v>
      </c>
    </row>
    <row r="345" spans="1:43" ht="15" customHeight="1" x14ac:dyDescent="0.3">
      <c r="A345" s="101" t="s">
        <v>686</v>
      </c>
      <c r="B345" s="90" t="s">
        <v>137</v>
      </c>
      <c r="C345" s="91">
        <v>44957</v>
      </c>
      <c r="D345" s="91">
        <v>46079</v>
      </c>
      <c r="E345" s="92">
        <v>2</v>
      </c>
      <c r="F345" s="90" t="s">
        <v>1532</v>
      </c>
      <c r="G345" s="90"/>
      <c r="H345" s="90"/>
      <c r="I345" s="90">
        <v>0</v>
      </c>
      <c r="J345" s="91">
        <v>46192</v>
      </c>
      <c r="K345" s="90" t="s">
        <v>131</v>
      </c>
      <c r="L345" s="90" t="s">
        <v>125</v>
      </c>
      <c r="M345" s="90"/>
      <c r="N345" s="90" t="s">
        <v>133</v>
      </c>
      <c r="O345" s="90" t="s">
        <v>1516</v>
      </c>
      <c r="P345" s="90" t="s">
        <v>596</v>
      </c>
      <c r="Q345" s="90" t="s">
        <v>137</v>
      </c>
      <c r="R345" s="92">
        <v>1</v>
      </c>
      <c r="S345" s="30"/>
      <c r="T345" s="91"/>
      <c r="U345" s="90" t="s">
        <v>611</v>
      </c>
      <c r="V345" s="91"/>
      <c r="W345" s="90"/>
      <c r="X345" s="92">
        <v>45</v>
      </c>
      <c r="Y345" s="30"/>
      <c r="Z345" s="30">
        <v>3840</v>
      </c>
      <c r="AA345" s="30">
        <v>5851.5</v>
      </c>
      <c r="AB345" s="91">
        <v>45798</v>
      </c>
      <c r="AC345" s="91">
        <v>46078</v>
      </c>
      <c r="AD345" s="91"/>
      <c r="AE345" s="90"/>
      <c r="AF345" s="90"/>
      <c r="AG345" s="30"/>
      <c r="AH345" s="90">
        <v>0</v>
      </c>
      <c r="AI345" s="90">
        <v>0</v>
      </c>
      <c r="AJ345" s="90">
        <v>0</v>
      </c>
      <c r="AK345" s="92">
        <v>2026</v>
      </c>
      <c r="AL345" s="90" t="s">
        <v>237</v>
      </c>
      <c r="AM345" s="92">
        <v>113</v>
      </c>
      <c r="AN345" s="90" t="s">
        <v>150</v>
      </c>
      <c r="AO345" s="90">
        <v>1</v>
      </c>
      <c r="AP345" s="90" t="s">
        <v>79</v>
      </c>
      <c r="AQ345" s="30">
        <v>40.6</v>
      </c>
    </row>
    <row r="346" spans="1:43" ht="15" customHeight="1" outlineLevel="1" x14ac:dyDescent="0.3">
      <c r="A346" s="101" t="s">
        <v>687</v>
      </c>
      <c r="B346" s="90" t="s">
        <v>137</v>
      </c>
      <c r="C346" s="91">
        <v>45045</v>
      </c>
      <c r="D346" s="91"/>
      <c r="E346" s="92">
        <v>0</v>
      </c>
      <c r="F346" s="90"/>
      <c r="G346" s="90"/>
      <c r="H346" s="90"/>
      <c r="I346" s="90"/>
      <c r="J346" s="91">
        <v>45596</v>
      </c>
      <c r="K346" s="90" t="s">
        <v>124</v>
      </c>
      <c r="L346" s="90" t="s">
        <v>125</v>
      </c>
      <c r="M346" s="90"/>
      <c r="N346" s="90"/>
      <c r="O346" s="90" t="s">
        <v>171</v>
      </c>
      <c r="P346" s="90"/>
      <c r="Q346" s="90" t="s">
        <v>137</v>
      </c>
      <c r="R346" s="92">
        <v>1</v>
      </c>
      <c r="S346" s="30"/>
      <c r="T346" s="91">
        <v>45624</v>
      </c>
      <c r="U346" s="90" t="s">
        <v>582</v>
      </c>
      <c r="V346" s="91"/>
      <c r="W346" s="90"/>
      <c r="X346" s="92">
        <v>45</v>
      </c>
      <c r="Y346" s="30"/>
      <c r="Z346" s="30"/>
      <c r="AA346" s="30">
        <v>6806</v>
      </c>
      <c r="AB346" s="91">
        <v>45879</v>
      </c>
      <c r="AC346" s="91"/>
      <c r="AD346" s="91"/>
      <c r="AE346" s="90"/>
      <c r="AF346" s="90"/>
      <c r="AG346" s="30"/>
      <c r="AH346" s="90">
        <v>1</v>
      </c>
      <c r="AI346" s="90">
        <v>1</v>
      </c>
      <c r="AJ346" s="90">
        <v>0</v>
      </c>
      <c r="AK346" s="92">
        <v>2024</v>
      </c>
      <c r="AL346" s="90" t="s">
        <v>218</v>
      </c>
      <c r="AM346" s="92"/>
      <c r="AN346" s="90"/>
      <c r="AO346" s="90">
        <v>0</v>
      </c>
      <c r="AP346" s="90" t="s">
        <v>80</v>
      </c>
      <c r="AQ346" s="30">
        <v>18.100000000000001</v>
      </c>
    </row>
    <row r="347" spans="1:43" ht="15" customHeight="1" outlineLevel="1" x14ac:dyDescent="0.3">
      <c r="A347" s="101" t="s">
        <v>687</v>
      </c>
      <c r="B347" s="90" t="s">
        <v>137</v>
      </c>
      <c r="C347" s="91">
        <v>45045</v>
      </c>
      <c r="D347" s="91">
        <v>45879</v>
      </c>
      <c r="E347" s="92">
        <v>1</v>
      </c>
      <c r="F347" s="90" t="s">
        <v>276</v>
      </c>
      <c r="G347" s="90" t="s">
        <v>601</v>
      </c>
      <c r="H347" s="90" t="s">
        <v>279</v>
      </c>
      <c r="I347" s="90">
        <v>0</v>
      </c>
      <c r="J347" s="91">
        <v>45967</v>
      </c>
      <c r="K347" s="90" t="s">
        <v>131</v>
      </c>
      <c r="L347" s="90" t="s">
        <v>125</v>
      </c>
      <c r="M347" s="90"/>
      <c r="N347" s="90" t="s">
        <v>133</v>
      </c>
      <c r="O347" s="90" t="s">
        <v>139</v>
      </c>
      <c r="P347" s="90" t="s">
        <v>596</v>
      </c>
      <c r="Q347" s="90" t="s">
        <v>130</v>
      </c>
      <c r="R347" s="92">
        <v>1</v>
      </c>
      <c r="S347" s="30"/>
      <c r="T347" s="91">
        <v>46007</v>
      </c>
      <c r="U347" s="90" t="s">
        <v>602</v>
      </c>
      <c r="V347" s="91"/>
      <c r="W347" s="90"/>
      <c r="X347" s="92">
        <v>45</v>
      </c>
      <c r="Y347" s="30"/>
      <c r="Z347" s="30">
        <v>6806</v>
      </c>
      <c r="AA347" s="30">
        <v>6806</v>
      </c>
      <c r="AB347" s="91">
        <v>45879</v>
      </c>
      <c r="AC347" s="91"/>
      <c r="AD347" s="91"/>
      <c r="AE347" s="90"/>
      <c r="AF347" s="90"/>
      <c r="AG347" s="30"/>
      <c r="AH347" s="90">
        <v>0</v>
      </c>
      <c r="AI347" s="90">
        <v>1</v>
      </c>
      <c r="AJ347" s="90">
        <v>0</v>
      </c>
      <c r="AK347" s="92">
        <v>2025</v>
      </c>
      <c r="AL347" s="90" t="s">
        <v>230</v>
      </c>
      <c r="AM347" s="92">
        <v>88</v>
      </c>
      <c r="AN347" s="90" t="s">
        <v>145</v>
      </c>
      <c r="AO347" s="90">
        <v>0</v>
      </c>
      <c r="AP347" s="90" t="s">
        <v>79</v>
      </c>
      <c r="AQ347" s="30">
        <v>30.3</v>
      </c>
    </row>
    <row r="348" spans="1:43" ht="15" customHeight="1" outlineLevel="1" x14ac:dyDescent="0.3">
      <c r="A348" s="101" t="s">
        <v>687</v>
      </c>
      <c r="B348" s="90" t="s">
        <v>137</v>
      </c>
      <c r="C348" s="91">
        <v>45045</v>
      </c>
      <c r="D348" s="91">
        <v>45879</v>
      </c>
      <c r="E348" s="92">
        <v>1</v>
      </c>
      <c r="F348" s="90" t="s">
        <v>276</v>
      </c>
      <c r="G348" s="90" t="s">
        <v>601</v>
      </c>
      <c r="H348" s="90" t="s">
        <v>279</v>
      </c>
      <c r="I348" s="90">
        <v>0</v>
      </c>
      <c r="J348" s="91">
        <v>46007</v>
      </c>
      <c r="K348" s="90" t="s">
        <v>131</v>
      </c>
      <c r="L348" s="90" t="s">
        <v>125</v>
      </c>
      <c r="M348" s="90"/>
      <c r="N348" s="90" t="s">
        <v>133</v>
      </c>
      <c r="O348" s="90" t="s">
        <v>144</v>
      </c>
      <c r="P348" s="90" t="s">
        <v>596</v>
      </c>
      <c r="Q348" s="90" t="s">
        <v>130</v>
      </c>
      <c r="R348" s="92">
        <v>2</v>
      </c>
      <c r="S348" s="30">
        <v>40</v>
      </c>
      <c r="T348" s="91">
        <v>46037</v>
      </c>
      <c r="U348" s="90" t="s">
        <v>582</v>
      </c>
      <c r="V348" s="91"/>
      <c r="W348" s="90"/>
      <c r="X348" s="92">
        <v>45</v>
      </c>
      <c r="Y348" s="30">
        <v>352</v>
      </c>
      <c r="Z348" s="30">
        <v>6806</v>
      </c>
      <c r="AA348" s="30">
        <v>6806</v>
      </c>
      <c r="AB348" s="91">
        <v>45879</v>
      </c>
      <c r="AC348" s="91"/>
      <c r="AD348" s="91"/>
      <c r="AE348" s="90"/>
      <c r="AF348" s="90"/>
      <c r="AG348" s="30"/>
      <c r="AH348" s="90">
        <v>1</v>
      </c>
      <c r="AI348" s="90">
        <v>1</v>
      </c>
      <c r="AJ348" s="90">
        <v>0</v>
      </c>
      <c r="AK348" s="92">
        <v>2025</v>
      </c>
      <c r="AL348" s="90" t="s">
        <v>231</v>
      </c>
      <c r="AM348" s="92">
        <v>128</v>
      </c>
      <c r="AN348" s="90" t="s">
        <v>155</v>
      </c>
      <c r="AO348" s="90">
        <v>1</v>
      </c>
      <c r="AP348" s="90" t="s">
        <v>79</v>
      </c>
      <c r="AQ348" s="30">
        <v>31.6</v>
      </c>
    </row>
    <row r="349" spans="1:43" ht="15" customHeight="1" outlineLevel="1" x14ac:dyDescent="0.3">
      <c r="A349" s="101" t="s">
        <v>688</v>
      </c>
      <c r="B349" s="90" t="s">
        <v>137</v>
      </c>
      <c r="C349" s="91">
        <v>45052</v>
      </c>
      <c r="D349" s="91"/>
      <c r="E349" s="92">
        <v>0</v>
      </c>
      <c r="F349" s="90"/>
      <c r="G349" s="90"/>
      <c r="H349" s="90"/>
      <c r="I349" s="90"/>
      <c r="J349" s="91">
        <v>45521</v>
      </c>
      <c r="K349" s="90" t="s">
        <v>124</v>
      </c>
      <c r="L349" s="90" t="s">
        <v>125</v>
      </c>
      <c r="M349" s="90"/>
      <c r="N349" s="90"/>
      <c r="O349" s="90" t="s">
        <v>171</v>
      </c>
      <c r="P349" s="90"/>
      <c r="Q349" s="90" t="s">
        <v>137</v>
      </c>
      <c r="R349" s="92">
        <v>1</v>
      </c>
      <c r="S349" s="30"/>
      <c r="T349" s="91">
        <v>45549</v>
      </c>
      <c r="U349" s="90" t="s">
        <v>582</v>
      </c>
      <c r="V349" s="91"/>
      <c r="W349" s="90"/>
      <c r="X349" s="92">
        <v>45</v>
      </c>
      <c r="Y349" s="30"/>
      <c r="Z349" s="30"/>
      <c r="AA349" s="30">
        <v>8284</v>
      </c>
      <c r="AB349" s="91">
        <v>45804</v>
      </c>
      <c r="AC349" s="91"/>
      <c r="AD349" s="91"/>
      <c r="AE349" s="90"/>
      <c r="AF349" s="90"/>
      <c r="AG349" s="30"/>
      <c r="AH349" s="90">
        <v>1</v>
      </c>
      <c r="AI349" s="90">
        <v>1</v>
      </c>
      <c r="AJ349" s="90">
        <v>0</v>
      </c>
      <c r="AK349" s="92">
        <v>2024</v>
      </c>
      <c r="AL349" s="90" t="s">
        <v>216</v>
      </c>
      <c r="AM349" s="92"/>
      <c r="AN349" s="90"/>
      <c r="AO349" s="90">
        <v>0</v>
      </c>
      <c r="AP349" s="90" t="s">
        <v>80</v>
      </c>
      <c r="AQ349" s="30">
        <v>15.4</v>
      </c>
    </row>
    <row r="350" spans="1:43" ht="15" customHeight="1" outlineLevel="1" x14ac:dyDescent="0.3">
      <c r="A350" s="101" t="s">
        <v>688</v>
      </c>
      <c r="B350" s="90" t="s">
        <v>137</v>
      </c>
      <c r="C350" s="91">
        <v>45052</v>
      </c>
      <c r="D350" s="91">
        <v>45804</v>
      </c>
      <c r="E350" s="92">
        <v>1</v>
      </c>
      <c r="F350" s="90" t="s">
        <v>276</v>
      </c>
      <c r="G350" s="90" t="s">
        <v>601</v>
      </c>
      <c r="H350" s="90" t="s">
        <v>279</v>
      </c>
      <c r="I350" s="90">
        <v>0</v>
      </c>
      <c r="J350" s="91">
        <v>45885</v>
      </c>
      <c r="K350" s="90" t="s">
        <v>131</v>
      </c>
      <c r="L350" s="90" t="s">
        <v>125</v>
      </c>
      <c r="M350" s="90"/>
      <c r="N350" s="90"/>
      <c r="O350" s="90" t="s">
        <v>157</v>
      </c>
      <c r="P350" s="90" t="s">
        <v>596</v>
      </c>
      <c r="Q350" s="90" t="s">
        <v>130</v>
      </c>
      <c r="R350" s="92">
        <v>1</v>
      </c>
      <c r="S350" s="30"/>
      <c r="T350" s="91">
        <v>45965</v>
      </c>
      <c r="U350" s="90" t="s">
        <v>602</v>
      </c>
      <c r="V350" s="91"/>
      <c r="W350" s="90"/>
      <c r="X350" s="92">
        <v>45</v>
      </c>
      <c r="Y350" s="30"/>
      <c r="Z350" s="30">
        <v>8284</v>
      </c>
      <c r="AA350" s="30">
        <v>8284</v>
      </c>
      <c r="AB350" s="91">
        <v>45804</v>
      </c>
      <c r="AC350" s="91"/>
      <c r="AD350" s="91"/>
      <c r="AE350" s="90"/>
      <c r="AF350" s="90"/>
      <c r="AG350" s="30"/>
      <c r="AH350" s="90">
        <v>0</v>
      </c>
      <c r="AI350" s="90">
        <v>1</v>
      </c>
      <c r="AJ350" s="90">
        <v>0</v>
      </c>
      <c r="AK350" s="92">
        <v>2025</v>
      </c>
      <c r="AL350" s="90" t="s">
        <v>227</v>
      </c>
      <c r="AM350" s="92">
        <v>81</v>
      </c>
      <c r="AN350" s="90" t="s">
        <v>140</v>
      </c>
      <c r="AO350" s="90">
        <v>0</v>
      </c>
      <c r="AP350" s="90" t="s">
        <v>79</v>
      </c>
      <c r="AQ350" s="30">
        <v>27.4</v>
      </c>
    </row>
    <row r="351" spans="1:43" ht="15" customHeight="1" x14ac:dyDescent="0.3">
      <c r="A351" s="101" t="s">
        <v>688</v>
      </c>
      <c r="B351" s="90" t="s">
        <v>137</v>
      </c>
      <c r="C351" s="91">
        <v>45052</v>
      </c>
      <c r="D351" s="91">
        <v>45804</v>
      </c>
      <c r="E351" s="92">
        <v>1</v>
      </c>
      <c r="F351" s="90" t="s">
        <v>276</v>
      </c>
      <c r="G351" s="90" t="s">
        <v>601</v>
      </c>
      <c r="H351" s="90" t="s">
        <v>279</v>
      </c>
      <c r="I351" s="90">
        <v>0</v>
      </c>
      <c r="J351" s="91">
        <v>45967</v>
      </c>
      <c r="K351" s="90" t="s">
        <v>131</v>
      </c>
      <c r="L351" s="90" t="s">
        <v>125</v>
      </c>
      <c r="M351" s="90"/>
      <c r="N351" s="90" t="s">
        <v>133</v>
      </c>
      <c r="O351" s="90" t="s">
        <v>139</v>
      </c>
      <c r="P351" s="90" t="s">
        <v>596</v>
      </c>
      <c r="Q351" s="90" t="s">
        <v>130</v>
      </c>
      <c r="R351" s="92">
        <v>2</v>
      </c>
      <c r="S351" s="30">
        <v>82</v>
      </c>
      <c r="T351" s="91">
        <v>46008</v>
      </c>
      <c r="U351" s="90" t="s">
        <v>602</v>
      </c>
      <c r="V351" s="91"/>
      <c r="W351" s="90"/>
      <c r="X351" s="92">
        <v>45</v>
      </c>
      <c r="Y351" s="30"/>
      <c r="Z351" s="30">
        <v>8284</v>
      </c>
      <c r="AA351" s="30">
        <v>8284</v>
      </c>
      <c r="AB351" s="91">
        <v>45804</v>
      </c>
      <c r="AC351" s="91"/>
      <c r="AD351" s="91"/>
      <c r="AE351" s="90"/>
      <c r="AF351" s="90"/>
      <c r="AG351" s="30"/>
      <c r="AH351" s="90">
        <v>0</v>
      </c>
      <c r="AI351" s="90">
        <v>1</v>
      </c>
      <c r="AJ351" s="90">
        <v>0</v>
      </c>
      <c r="AK351" s="92">
        <v>2025</v>
      </c>
      <c r="AL351" s="90" t="s">
        <v>230</v>
      </c>
      <c r="AM351" s="92">
        <v>163</v>
      </c>
      <c r="AN351" s="90" t="s">
        <v>158</v>
      </c>
      <c r="AO351" s="90">
        <v>0</v>
      </c>
      <c r="AP351" s="90" t="s">
        <v>79</v>
      </c>
      <c r="AQ351" s="30">
        <v>30.1</v>
      </c>
    </row>
    <row r="352" spans="1:43" ht="15" customHeight="1" x14ac:dyDescent="0.3">
      <c r="A352" s="101" t="s">
        <v>688</v>
      </c>
      <c r="B352" s="90" t="s">
        <v>137</v>
      </c>
      <c r="C352" s="91">
        <v>45052</v>
      </c>
      <c r="D352" s="91">
        <v>45804</v>
      </c>
      <c r="E352" s="92">
        <v>1</v>
      </c>
      <c r="F352" s="90" t="s">
        <v>276</v>
      </c>
      <c r="G352" s="90" t="s">
        <v>601</v>
      </c>
      <c r="H352" s="90" t="s">
        <v>279</v>
      </c>
      <c r="I352" s="90">
        <v>0</v>
      </c>
      <c r="J352" s="91">
        <v>46008</v>
      </c>
      <c r="K352" s="90" t="s">
        <v>131</v>
      </c>
      <c r="L352" s="90" t="s">
        <v>125</v>
      </c>
      <c r="M352" s="90"/>
      <c r="N352" s="90" t="s">
        <v>133</v>
      </c>
      <c r="O352" s="90" t="s">
        <v>144</v>
      </c>
      <c r="P352" s="90" t="s">
        <v>596</v>
      </c>
      <c r="Q352" s="90" t="s">
        <v>130</v>
      </c>
      <c r="R352" s="92">
        <v>3</v>
      </c>
      <c r="S352" s="30">
        <v>41</v>
      </c>
      <c r="T352" s="91">
        <v>46037</v>
      </c>
      <c r="U352" s="90" t="s">
        <v>602</v>
      </c>
      <c r="V352" s="91"/>
      <c r="W352" s="90"/>
      <c r="X352" s="92">
        <v>45</v>
      </c>
      <c r="Y352" s="30">
        <v>352</v>
      </c>
      <c r="Z352" s="30">
        <v>8284</v>
      </c>
      <c r="AA352" s="30">
        <v>8284</v>
      </c>
      <c r="AB352" s="91">
        <v>45804</v>
      </c>
      <c r="AC352" s="91"/>
      <c r="AD352" s="91"/>
      <c r="AE352" s="90"/>
      <c r="AF352" s="90"/>
      <c r="AG352" s="30"/>
      <c r="AH352" s="90">
        <v>0</v>
      </c>
      <c r="AI352" s="90">
        <v>1</v>
      </c>
      <c r="AJ352" s="90">
        <v>0</v>
      </c>
      <c r="AK352" s="92">
        <v>2025</v>
      </c>
      <c r="AL352" s="90" t="s">
        <v>231</v>
      </c>
      <c r="AM352" s="92">
        <v>204</v>
      </c>
      <c r="AN352" s="90" t="s">
        <v>163</v>
      </c>
      <c r="AO352" s="90">
        <v>0</v>
      </c>
      <c r="AP352" s="90" t="s">
        <v>79</v>
      </c>
      <c r="AQ352" s="30">
        <v>31.4</v>
      </c>
    </row>
    <row r="353" spans="1:43" ht="15" customHeight="1" x14ac:dyDescent="0.3">
      <c r="A353" s="101" t="s">
        <v>688</v>
      </c>
      <c r="B353" s="90" t="s">
        <v>137</v>
      </c>
      <c r="C353" s="91">
        <v>45052</v>
      </c>
      <c r="D353" s="91">
        <v>45804</v>
      </c>
      <c r="E353" s="92">
        <v>1</v>
      </c>
      <c r="F353" s="90" t="s">
        <v>276</v>
      </c>
      <c r="G353" s="90" t="s">
        <v>601</v>
      </c>
      <c r="H353" s="90" t="s">
        <v>279</v>
      </c>
      <c r="I353" s="90">
        <v>0</v>
      </c>
      <c r="J353" s="91">
        <v>46048</v>
      </c>
      <c r="K353" s="90" t="s">
        <v>131</v>
      </c>
      <c r="L353" s="90" t="s">
        <v>132</v>
      </c>
      <c r="M353" s="90" t="s">
        <v>593</v>
      </c>
      <c r="N353" s="90" t="s">
        <v>133</v>
      </c>
      <c r="O353" s="90" t="s">
        <v>144</v>
      </c>
      <c r="P353" s="90" t="s">
        <v>596</v>
      </c>
      <c r="Q353" s="90" t="s">
        <v>130</v>
      </c>
      <c r="R353" s="92">
        <v>4</v>
      </c>
      <c r="S353" s="30">
        <v>40</v>
      </c>
      <c r="T353" s="91">
        <v>46101</v>
      </c>
      <c r="U353" s="90" t="s">
        <v>582</v>
      </c>
      <c r="V353" s="91"/>
      <c r="W353" s="90"/>
      <c r="X353" s="92">
        <v>45</v>
      </c>
      <c r="Y353" s="30">
        <v>352</v>
      </c>
      <c r="Z353" s="30">
        <v>8284</v>
      </c>
      <c r="AA353" s="30">
        <v>8284</v>
      </c>
      <c r="AB353" s="91">
        <v>45804</v>
      </c>
      <c r="AC353" s="91"/>
      <c r="AD353" s="91"/>
      <c r="AE353" s="90"/>
      <c r="AF353" s="90"/>
      <c r="AG353" s="30"/>
      <c r="AH353" s="90">
        <v>1</v>
      </c>
      <c r="AI353" s="90">
        <v>1</v>
      </c>
      <c r="AJ353" s="90">
        <v>0</v>
      </c>
      <c r="AK353" s="92">
        <v>2026</v>
      </c>
      <c r="AL353" s="90" t="s">
        <v>232</v>
      </c>
      <c r="AM353" s="92">
        <v>244</v>
      </c>
      <c r="AN353" s="90" t="s">
        <v>174</v>
      </c>
      <c r="AO353" s="90">
        <v>1</v>
      </c>
      <c r="AP353" s="90" t="s">
        <v>79</v>
      </c>
      <c r="AQ353" s="30">
        <v>32.799999999999997</v>
      </c>
    </row>
    <row r="354" spans="1:43" ht="15" customHeight="1" x14ac:dyDescent="0.3">
      <c r="A354" s="101" t="s">
        <v>689</v>
      </c>
      <c r="B354" s="90" t="s">
        <v>137</v>
      </c>
      <c r="C354" s="91">
        <v>44773</v>
      </c>
      <c r="D354" s="91"/>
      <c r="E354" s="92">
        <v>0</v>
      </c>
      <c r="F354" s="90"/>
      <c r="G354" s="90"/>
      <c r="H354" s="90"/>
      <c r="I354" s="90"/>
      <c r="J354" s="91">
        <v>45399</v>
      </c>
      <c r="K354" s="90" t="s">
        <v>124</v>
      </c>
      <c r="L354" s="90" t="s">
        <v>125</v>
      </c>
      <c r="M354" s="90"/>
      <c r="N354" s="90"/>
      <c r="O354" s="90" t="s">
        <v>171</v>
      </c>
      <c r="P354" s="90"/>
      <c r="Q354" s="90" t="s">
        <v>137</v>
      </c>
      <c r="R354" s="92">
        <v>1</v>
      </c>
      <c r="S354" s="30"/>
      <c r="T354" s="91">
        <v>45427</v>
      </c>
      <c r="U354" s="90" t="s">
        <v>582</v>
      </c>
      <c r="V354" s="91"/>
      <c r="W354" s="90"/>
      <c r="X354" s="92">
        <v>45</v>
      </c>
      <c r="Y354" s="30"/>
      <c r="Z354" s="30"/>
      <c r="AA354" s="30">
        <v>7157</v>
      </c>
      <c r="AB354" s="91">
        <v>45682</v>
      </c>
      <c r="AC354" s="91">
        <v>46105</v>
      </c>
      <c r="AD354" s="91"/>
      <c r="AE354" s="90"/>
      <c r="AF354" s="90"/>
      <c r="AG354" s="30"/>
      <c r="AH354" s="90">
        <v>1</v>
      </c>
      <c r="AI354" s="90">
        <v>1</v>
      </c>
      <c r="AJ354" s="90">
        <v>0</v>
      </c>
      <c r="AK354" s="92">
        <v>2024</v>
      </c>
      <c r="AL354" s="90" t="s">
        <v>212</v>
      </c>
      <c r="AM354" s="92"/>
      <c r="AN354" s="90"/>
      <c r="AO354" s="90">
        <v>0</v>
      </c>
      <c r="AP354" s="90" t="s">
        <v>80</v>
      </c>
      <c r="AQ354" s="30">
        <v>20.6</v>
      </c>
    </row>
    <row r="355" spans="1:43" ht="15" customHeight="1" x14ac:dyDescent="0.3">
      <c r="A355" s="101" t="s">
        <v>689</v>
      </c>
      <c r="B355" s="90" t="s">
        <v>137</v>
      </c>
      <c r="C355" s="91">
        <v>44773</v>
      </c>
      <c r="D355" s="91">
        <v>45682</v>
      </c>
      <c r="E355" s="92">
        <v>1</v>
      </c>
      <c r="F355" s="90" t="s">
        <v>276</v>
      </c>
      <c r="G355" s="90" t="s">
        <v>601</v>
      </c>
      <c r="H355" s="90" t="s">
        <v>279</v>
      </c>
      <c r="I355" s="90">
        <v>0</v>
      </c>
      <c r="J355" s="91">
        <v>45885</v>
      </c>
      <c r="K355" s="90" t="s">
        <v>131</v>
      </c>
      <c r="L355" s="90" t="s">
        <v>125</v>
      </c>
      <c r="M355" s="90"/>
      <c r="N355" s="90"/>
      <c r="O355" s="90" t="s">
        <v>157</v>
      </c>
      <c r="P355" s="90" t="s">
        <v>596</v>
      </c>
      <c r="Q355" s="90" t="s">
        <v>130</v>
      </c>
      <c r="R355" s="92">
        <v>1</v>
      </c>
      <c r="S355" s="30"/>
      <c r="T355" s="91">
        <v>45968</v>
      </c>
      <c r="U355" s="90" t="s">
        <v>582</v>
      </c>
      <c r="V355" s="91"/>
      <c r="W355" s="90"/>
      <c r="X355" s="92">
        <v>45</v>
      </c>
      <c r="Y355" s="30"/>
      <c r="Z355" s="30">
        <v>9545</v>
      </c>
      <c r="AA355" s="30">
        <v>7157</v>
      </c>
      <c r="AB355" s="91">
        <v>45682</v>
      </c>
      <c r="AC355" s="91">
        <v>46105</v>
      </c>
      <c r="AD355" s="91"/>
      <c r="AE355" s="90"/>
      <c r="AF355" s="90"/>
      <c r="AG355" s="30"/>
      <c r="AH355" s="90">
        <v>1</v>
      </c>
      <c r="AI355" s="90">
        <v>1</v>
      </c>
      <c r="AJ355" s="90">
        <v>0</v>
      </c>
      <c r="AK355" s="92">
        <v>2025</v>
      </c>
      <c r="AL355" s="90" t="s">
        <v>227</v>
      </c>
      <c r="AM355" s="92">
        <v>203</v>
      </c>
      <c r="AN355" s="90" t="s">
        <v>163</v>
      </c>
      <c r="AO355" s="90">
        <v>1</v>
      </c>
      <c r="AP355" s="90" t="s">
        <v>79</v>
      </c>
      <c r="AQ355" s="30">
        <v>36.6</v>
      </c>
    </row>
    <row r="356" spans="1:43" ht="15" customHeight="1" x14ac:dyDescent="0.3">
      <c r="A356" s="101" t="s">
        <v>690</v>
      </c>
      <c r="B356" s="90" t="s">
        <v>130</v>
      </c>
      <c r="C356" s="91">
        <v>45082</v>
      </c>
      <c r="D356" s="91"/>
      <c r="E356" s="92">
        <v>0</v>
      </c>
      <c r="F356" s="90"/>
      <c r="G356" s="90"/>
      <c r="H356" s="90"/>
      <c r="I356" s="90"/>
      <c r="J356" s="91">
        <v>45711</v>
      </c>
      <c r="K356" s="90" t="s">
        <v>124</v>
      </c>
      <c r="L356" s="90" t="s">
        <v>125</v>
      </c>
      <c r="M356" s="90"/>
      <c r="N356" s="90"/>
      <c r="O356" s="90" t="s">
        <v>186</v>
      </c>
      <c r="P356" s="90"/>
      <c r="Q356" s="90" t="s">
        <v>130</v>
      </c>
      <c r="R356" s="92">
        <v>1</v>
      </c>
      <c r="S356" s="30"/>
      <c r="T356" s="91">
        <v>45739</v>
      </c>
      <c r="U356" s="90" t="s">
        <v>582</v>
      </c>
      <c r="V356" s="91"/>
      <c r="W356" s="90"/>
      <c r="X356" s="92">
        <v>45</v>
      </c>
      <c r="Y356" s="30"/>
      <c r="Z356" s="30"/>
      <c r="AA356" s="30">
        <v>0</v>
      </c>
      <c r="AB356" s="91">
        <v>45947</v>
      </c>
      <c r="AC356" s="91">
        <v>45971</v>
      </c>
      <c r="AD356" s="91">
        <v>46000</v>
      </c>
      <c r="AE356" s="90" t="s">
        <v>297</v>
      </c>
      <c r="AF356" s="90" t="s">
        <v>293</v>
      </c>
      <c r="AG356" s="30"/>
      <c r="AH356" s="90">
        <v>1</v>
      </c>
      <c r="AI356" s="90">
        <v>1</v>
      </c>
      <c r="AJ356" s="90">
        <v>0</v>
      </c>
      <c r="AK356" s="92">
        <v>2025</v>
      </c>
      <c r="AL356" s="90" t="s">
        <v>222</v>
      </c>
      <c r="AM356" s="92"/>
      <c r="AN356" s="90"/>
      <c r="AO356" s="90">
        <v>1</v>
      </c>
      <c r="AP356" s="90" t="s">
        <v>80</v>
      </c>
      <c r="AQ356" s="30">
        <v>20.7</v>
      </c>
    </row>
    <row r="357" spans="1:43" ht="15" customHeight="1" x14ac:dyDescent="0.3">
      <c r="A357" s="101" t="s">
        <v>691</v>
      </c>
      <c r="B357" s="90" t="s">
        <v>130</v>
      </c>
      <c r="C357" s="91">
        <v>45104</v>
      </c>
      <c r="D357" s="91"/>
      <c r="E357" s="92">
        <v>0</v>
      </c>
      <c r="F357" s="90"/>
      <c r="G357" s="90"/>
      <c r="H357" s="90"/>
      <c r="I357" s="90"/>
      <c r="J357" s="91">
        <v>45680</v>
      </c>
      <c r="K357" s="90" t="s">
        <v>124</v>
      </c>
      <c r="L357" s="90" t="s">
        <v>125</v>
      </c>
      <c r="M357" s="90"/>
      <c r="N357" s="90"/>
      <c r="O357" s="90" t="s">
        <v>186</v>
      </c>
      <c r="P357" s="90"/>
      <c r="Q357" s="90" t="s">
        <v>130</v>
      </c>
      <c r="R357" s="92">
        <v>1</v>
      </c>
      <c r="S357" s="30"/>
      <c r="T357" s="91">
        <v>45711</v>
      </c>
      <c r="U357" s="90" t="s">
        <v>582</v>
      </c>
      <c r="V357" s="91"/>
      <c r="W357" s="90"/>
      <c r="X357" s="92">
        <v>45</v>
      </c>
      <c r="Y357" s="30"/>
      <c r="Z357" s="30"/>
      <c r="AA357" s="30">
        <v>0</v>
      </c>
      <c r="AB357" s="91">
        <v>45959</v>
      </c>
      <c r="AC357" s="91">
        <v>45971</v>
      </c>
      <c r="AD357" s="91">
        <v>46000</v>
      </c>
      <c r="AE357" s="90" t="s">
        <v>297</v>
      </c>
      <c r="AF357" s="90" t="s">
        <v>293</v>
      </c>
      <c r="AG357" s="30"/>
      <c r="AH357" s="90">
        <v>1</v>
      </c>
      <c r="AI357" s="90">
        <v>1</v>
      </c>
      <c r="AJ357" s="90">
        <v>0</v>
      </c>
      <c r="AK357" s="92">
        <v>2025</v>
      </c>
      <c r="AL357" s="90" t="s">
        <v>221</v>
      </c>
      <c r="AM357" s="92"/>
      <c r="AN357" s="90"/>
      <c r="AO357" s="90">
        <v>1</v>
      </c>
      <c r="AP357" s="90" t="s">
        <v>80</v>
      </c>
      <c r="AQ357" s="30">
        <v>18.899999999999999</v>
      </c>
    </row>
    <row r="358" spans="1:43" ht="15" customHeight="1" x14ac:dyDescent="0.3">
      <c r="A358" s="101" t="s">
        <v>692</v>
      </c>
      <c r="B358" s="90" t="s">
        <v>130</v>
      </c>
      <c r="C358" s="91">
        <v>45104</v>
      </c>
      <c r="D358" s="91"/>
      <c r="E358" s="92">
        <v>0</v>
      </c>
      <c r="F358" s="90"/>
      <c r="G358" s="90"/>
      <c r="H358" s="90"/>
      <c r="I358" s="90"/>
      <c r="J358" s="91">
        <v>45770</v>
      </c>
      <c r="K358" s="90" t="s">
        <v>124</v>
      </c>
      <c r="L358" s="90" t="s">
        <v>125</v>
      </c>
      <c r="M358" s="90"/>
      <c r="N358" s="90"/>
      <c r="O358" s="90" t="s">
        <v>186</v>
      </c>
      <c r="P358" s="90"/>
      <c r="Q358" s="90" t="s">
        <v>130</v>
      </c>
      <c r="R358" s="92">
        <v>1</v>
      </c>
      <c r="S358" s="30"/>
      <c r="T358" s="91">
        <v>45800</v>
      </c>
      <c r="U358" s="90" t="s">
        <v>582</v>
      </c>
      <c r="V358" s="91"/>
      <c r="W358" s="90"/>
      <c r="X358" s="92">
        <v>45</v>
      </c>
      <c r="Y358" s="30"/>
      <c r="Z358" s="30"/>
      <c r="AA358" s="30"/>
      <c r="AB358" s="91"/>
      <c r="AC358" s="91"/>
      <c r="AD358" s="91">
        <v>46000</v>
      </c>
      <c r="AE358" s="90" t="s">
        <v>297</v>
      </c>
      <c r="AF358" s="90" t="s">
        <v>293</v>
      </c>
      <c r="AG358" s="30"/>
      <c r="AH358" s="90">
        <v>1</v>
      </c>
      <c r="AI358" s="90">
        <v>1</v>
      </c>
      <c r="AJ358" s="90">
        <v>0</v>
      </c>
      <c r="AK358" s="92">
        <v>2025</v>
      </c>
      <c r="AL358" s="90" t="s">
        <v>224</v>
      </c>
      <c r="AM358" s="92"/>
      <c r="AN358" s="90"/>
      <c r="AO358" s="90">
        <v>1</v>
      </c>
      <c r="AP358" s="90" t="s">
        <v>80</v>
      </c>
      <c r="AQ358" s="30">
        <v>21.9</v>
      </c>
    </row>
    <row r="359" spans="1:43" ht="15" customHeight="1" outlineLevel="1" x14ac:dyDescent="0.3">
      <c r="A359" s="101" t="s">
        <v>693</v>
      </c>
      <c r="B359" s="90" t="s">
        <v>130</v>
      </c>
      <c r="C359" s="91">
        <v>45173</v>
      </c>
      <c r="D359" s="91"/>
      <c r="E359" s="92">
        <v>0</v>
      </c>
      <c r="F359" s="90"/>
      <c r="G359" s="90"/>
      <c r="H359" s="90"/>
      <c r="I359" s="90"/>
      <c r="J359" s="91">
        <v>46133</v>
      </c>
      <c r="K359" s="90" t="s">
        <v>131</v>
      </c>
      <c r="L359" s="90" t="s">
        <v>132</v>
      </c>
      <c r="M359" s="90" t="s">
        <v>593</v>
      </c>
      <c r="N359" s="90" t="s">
        <v>133</v>
      </c>
      <c r="O359" s="90" t="s">
        <v>139</v>
      </c>
      <c r="P359" s="90" t="s">
        <v>596</v>
      </c>
      <c r="Q359" s="90" t="s">
        <v>130</v>
      </c>
      <c r="R359" s="92">
        <v>1</v>
      </c>
      <c r="S359" s="30"/>
      <c r="T359" s="91">
        <v>46164</v>
      </c>
      <c r="U359" s="90" t="s">
        <v>582</v>
      </c>
      <c r="V359" s="91"/>
      <c r="W359" s="90"/>
      <c r="X359" s="92">
        <v>45</v>
      </c>
      <c r="Y359" s="30"/>
      <c r="Z359" s="30"/>
      <c r="AA359" s="30"/>
      <c r="AB359" s="91"/>
      <c r="AC359" s="91"/>
      <c r="AD359" s="91"/>
      <c r="AE359" s="90"/>
      <c r="AF359" s="90"/>
      <c r="AG359" s="30"/>
      <c r="AH359" s="90">
        <v>1</v>
      </c>
      <c r="AI359" s="90">
        <v>1</v>
      </c>
      <c r="AJ359" s="90">
        <v>0</v>
      </c>
      <c r="AK359" s="92">
        <v>2026</v>
      </c>
      <c r="AL359" s="90" t="s">
        <v>235</v>
      </c>
      <c r="AM359" s="92"/>
      <c r="AN359" s="90"/>
      <c r="AO359" s="90">
        <v>1</v>
      </c>
      <c r="AP359" s="90" t="s">
        <v>80</v>
      </c>
      <c r="AQ359" s="30">
        <v>31.6</v>
      </c>
    </row>
    <row r="360" spans="1:43" ht="15" customHeight="1" outlineLevel="1" x14ac:dyDescent="0.3">
      <c r="A360" s="101" t="s">
        <v>694</v>
      </c>
      <c r="B360" s="90" t="s">
        <v>137</v>
      </c>
      <c r="C360" s="91">
        <v>43643</v>
      </c>
      <c r="D360" s="91"/>
      <c r="E360" s="92">
        <v>0</v>
      </c>
      <c r="F360" s="90"/>
      <c r="G360" s="90"/>
      <c r="H360" s="90"/>
      <c r="I360" s="90"/>
      <c r="J360" s="91">
        <v>45212</v>
      </c>
      <c r="K360" s="90" t="s">
        <v>131</v>
      </c>
      <c r="L360" s="90" t="s">
        <v>125</v>
      </c>
      <c r="M360" s="90"/>
      <c r="N360" s="90" t="s">
        <v>138</v>
      </c>
      <c r="O360" s="90" t="s">
        <v>186</v>
      </c>
      <c r="P360" s="90" t="s">
        <v>596</v>
      </c>
      <c r="Q360" s="90" t="s">
        <v>130</v>
      </c>
      <c r="R360" s="92">
        <v>1</v>
      </c>
      <c r="S360" s="30"/>
      <c r="T360" s="91">
        <v>45243</v>
      </c>
      <c r="U360" s="90" t="s">
        <v>582</v>
      </c>
      <c r="V360" s="91"/>
      <c r="W360" s="90"/>
      <c r="X360" s="92">
        <v>45</v>
      </c>
      <c r="Y360" s="30"/>
      <c r="Z360" s="30"/>
      <c r="AA360" s="30">
        <v>6980</v>
      </c>
      <c r="AB360" s="91">
        <v>45486</v>
      </c>
      <c r="AC360" s="91">
        <v>45918</v>
      </c>
      <c r="AD360" s="91">
        <v>45995</v>
      </c>
      <c r="AE360" s="90" t="s">
        <v>296</v>
      </c>
      <c r="AF360" s="90" t="s">
        <v>292</v>
      </c>
      <c r="AG360" s="30"/>
      <c r="AH360" s="90">
        <v>1</v>
      </c>
      <c r="AI360" s="90">
        <v>1</v>
      </c>
      <c r="AJ360" s="90">
        <v>0</v>
      </c>
      <c r="AK360" s="92">
        <v>2023</v>
      </c>
      <c r="AL360" s="90" t="s">
        <v>206</v>
      </c>
      <c r="AM360" s="92"/>
      <c r="AN360" s="90"/>
      <c r="AO360" s="90">
        <v>0</v>
      </c>
      <c r="AP360" s="90" t="s">
        <v>80</v>
      </c>
      <c r="AQ360" s="30">
        <v>51.6</v>
      </c>
    </row>
    <row r="361" spans="1:43" ht="15" customHeight="1" outlineLevel="1" x14ac:dyDescent="0.3">
      <c r="A361" s="101" t="s">
        <v>694</v>
      </c>
      <c r="B361" s="90" t="s">
        <v>137</v>
      </c>
      <c r="C361" s="91">
        <v>43643</v>
      </c>
      <c r="D361" s="91">
        <v>45486</v>
      </c>
      <c r="E361" s="92">
        <v>1</v>
      </c>
      <c r="F361" s="90" t="s">
        <v>276</v>
      </c>
      <c r="G361" s="90"/>
      <c r="H361" s="90"/>
      <c r="I361" s="90">
        <v>0</v>
      </c>
      <c r="J361" s="91">
        <v>45534</v>
      </c>
      <c r="K361" s="90" t="s">
        <v>131</v>
      </c>
      <c r="L361" s="90" t="s">
        <v>125</v>
      </c>
      <c r="M361" s="90"/>
      <c r="N361" s="90" t="s">
        <v>126</v>
      </c>
      <c r="O361" s="90" t="s">
        <v>175</v>
      </c>
      <c r="P361" s="90" t="s">
        <v>596</v>
      </c>
      <c r="Q361" s="90" t="s">
        <v>130</v>
      </c>
      <c r="R361" s="92">
        <v>1</v>
      </c>
      <c r="S361" s="30"/>
      <c r="T361" s="91">
        <v>45603</v>
      </c>
      <c r="U361" s="90" t="s">
        <v>602</v>
      </c>
      <c r="V361" s="91"/>
      <c r="W361" s="90"/>
      <c r="X361" s="92">
        <v>45</v>
      </c>
      <c r="Y361" s="30"/>
      <c r="Z361" s="30">
        <v>8735.7000000000007</v>
      </c>
      <c r="AA361" s="30">
        <v>6980</v>
      </c>
      <c r="AB361" s="91">
        <v>45486</v>
      </c>
      <c r="AC361" s="91">
        <v>45918</v>
      </c>
      <c r="AD361" s="91">
        <v>45995</v>
      </c>
      <c r="AE361" s="90" t="s">
        <v>296</v>
      </c>
      <c r="AF361" s="90" t="s">
        <v>292</v>
      </c>
      <c r="AG361" s="30"/>
      <c r="AH361" s="90">
        <v>0</v>
      </c>
      <c r="AI361" s="90">
        <v>1</v>
      </c>
      <c r="AJ361" s="90">
        <v>0</v>
      </c>
      <c r="AK361" s="92">
        <v>2024</v>
      </c>
      <c r="AL361" s="90" t="s">
        <v>216</v>
      </c>
      <c r="AM361" s="92">
        <v>48</v>
      </c>
      <c r="AN361" s="90" t="s">
        <v>135</v>
      </c>
      <c r="AO361" s="90">
        <v>0</v>
      </c>
      <c r="AP361" s="90" t="s">
        <v>79</v>
      </c>
      <c r="AQ361" s="30">
        <v>62.2</v>
      </c>
    </row>
    <row r="362" spans="1:43" ht="15" customHeight="1" x14ac:dyDescent="0.3">
      <c r="A362" s="101" t="s">
        <v>694</v>
      </c>
      <c r="B362" s="90" t="s">
        <v>137</v>
      </c>
      <c r="C362" s="91">
        <v>43643</v>
      </c>
      <c r="D362" s="91">
        <v>45486</v>
      </c>
      <c r="E362" s="92">
        <v>1</v>
      </c>
      <c r="F362" s="90" t="s">
        <v>276</v>
      </c>
      <c r="G362" s="90"/>
      <c r="H362" s="90"/>
      <c r="I362" s="90">
        <v>0</v>
      </c>
      <c r="J362" s="91">
        <v>45614</v>
      </c>
      <c r="K362" s="90" t="s">
        <v>131</v>
      </c>
      <c r="L362" s="90" t="s">
        <v>125</v>
      </c>
      <c r="M362" s="90"/>
      <c r="N362" s="90" t="s">
        <v>126</v>
      </c>
      <c r="O362" s="90" t="s">
        <v>175</v>
      </c>
      <c r="P362" s="90" t="s">
        <v>596</v>
      </c>
      <c r="Q362" s="90" t="s">
        <v>130</v>
      </c>
      <c r="R362" s="92">
        <v>2</v>
      </c>
      <c r="S362" s="30">
        <v>80</v>
      </c>
      <c r="T362" s="91">
        <v>45645</v>
      </c>
      <c r="U362" s="90" t="s">
        <v>602</v>
      </c>
      <c r="V362" s="91"/>
      <c r="W362" s="90"/>
      <c r="X362" s="92">
        <v>45</v>
      </c>
      <c r="Y362" s="30"/>
      <c r="Z362" s="30">
        <v>8735.7000000000007</v>
      </c>
      <c r="AA362" s="30">
        <v>6980</v>
      </c>
      <c r="AB362" s="91">
        <v>45486</v>
      </c>
      <c r="AC362" s="91">
        <v>45918</v>
      </c>
      <c r="AD362" s="91">
        <v>45995</v>
      </c>
      <c r="AE362" s="90" t="s">
        <v>296</v>
      </c>
      <c r="AF362" s="90" t="s">
        <v>292</v>
      </c>
      <c r="AG362" s="30"/>
      <c r="AH362" s="90">
        <v>0</v>
      </c>
      <c r="AI362" s="90">
        <v>1</v>
      </c>
      <c r="AJ362" s="90">
        <v>0</v>
      </c>
      <c r="AK362" s="92">
        <v>2024</v>
      </c>
      <c r="AL362" s="90" t="s">
        <v>219</v>
      </c>
      <c r="AM362" s="92">
        <v>128</v>
      </c>
      <c r="AN362" s="90" t="s">
        <v>155</v>
      </c>
      <c r="AO362" s="90">
        <v>0</v>
      </c>
      <c r="AP362" s="90" t="s">
        <v>79</v>
      </c>
      <c r="AQ362" s="30">
        <v>64.8</v>
      </c>
    </row>
    <row r="363" spans="1:43" ht="15" customHeight="1" x14ac:dyDescent="0.3">
      <c r="A363" s="101" t="s">
        <v>694</v>
      </c>
      <c r="B363" s="90" t="s">
        <v>137</v>
      </c>
      <c r="C363" s="91">
        <v>43643</v>
      </c>
      <c r="D363" s="91">
        <v>45486</v>
      </c>
      <c r="E363" s="92">
        <v>1</v>
      </c>
      <c r="F363" s="90" t="s">
        <v>276</v>
      </c>
      <c r="G363" s="90"/>
      <c r="H363" s="90"/>
      <c r="I363" s="90">
        <v>0</v>
      </c>
      <c r="J363" s="91">
        <v>45656</v>
      </c>
      <c r="K363" s="90" t="s">
        <v>131</v>
      </c>
      <c r="L363" s="90" t="s">
        <v>125</v>
      </c>
      <c r="M363" s="90"/>
      <c r="N363" s="90" t="s">
        <v>126</v>
      </c>
      <c r="O363" s="90" t="s">
        <v>175</v>
      </c>
      <c r="P363" s="90" t="s">
        <v>596</v>
      </c>
      <c r="Q363" s="90" t="s">
        <v>130</v>
      </c>
      <c r="R363" s="92">
        <v>3</v>
      </c>
      <c r="S363" s="30">
        <v>42</v>
      </c>
      <c r="T363" s="91">
        <v>45698</v>
      </c>
      <c r="U363" s="90" t="s">
        <v>602</v>
      </c>
      <c r="V363" s="91"/>
      <c r="W363" s="90"/>
      <c r="X363" s="92">
        <v>45</v>
      </c>
      <c r="Y363" s="30"/>
      <c r="Z363" s="30">
        <v>8735.7000000000007</v>
      </c>
      <c r="AA363" s="30">
        <v>6980</v>
      </c>
      <c r="AB363" s="91">
        <v>45486</v>
      </c>
      <c r="AC363" s="91">
        <v>45918</v>
      </c>
      <c r="AD363" s="91">
        <v>45995</v>
      </c>
      <c r="AE363" s="90" t="s">
        <v>296</v>
      </c>
      <c r="AF363" s="90" t="s">
        <v>292</v>
      </c>
      <c r="AG363" s="30"/>
      <c r="AH363" s="90">
        <v>0</v>
      </c>
      <c r="AI363" s="90">
        <v>1</v>
      </c>
      <c r="AJ363" s="90">
        <v>0</v>
      </c>
      <c r="AK363" s="92">
        <v>2024</v>
      </c>
      <c r="AL363" s="90" t="s">
        <v>220</v>
      </c>
      <c r="AM363" s="92">
        <v>170</v>
      </c>
      <c r="AN363" s="90" t="s">
        <v>160</v>
      </c>
      <c r="AO363" s="90">
        <v>0</v>
      </c>
      <c r="AP363" s="90" t="s">
        <v>79</v>
      </c>
      <c r="AQ363" s="30">
        <v>66.2</v>
      </c>
    </row>
    <row r="364" spans="1:43" ht="15" customHeight="1" x14ac:dyDescent="0.3">
      <c r="A364" s="101" t="s">
        <v>694</v>
      </c>
      <c r="B364" s="90" t="s">
        <v>137</v>
      </c>
      <c r="C364" s="91">
        <v>43643</v>
      </c>
      <c r="D364" s="91">
        <v>45486</v>
      </c>
      <c r="E364" s="92">
        <v>1</v>
      </c>
      <c r="F364" s="90" t="s">
        <v>276</v>
      </c>
      <c r="G364" s="90"/>
      <c r="H364" s="90"/>
      <c r="I364" s="90">
        <v>0</v>
      </c>
      <c r="J364" s="91">
        <v>45711</v>
      </c>
      <c r="K364" s="90" t="s">
        <v>131</v>
      </c>
      <c r="L364" s="90" t="s">
        <v>125</v>
      </c>
      <c r="M364" s="90"/>
      <c r="N364" s="90" t="s">
        <v>126</v>
      </c>
      <c r="O364" s="90">
        <v>-53431</v>
      </c>
      <c r="P364" s="90" t="s">
        <v>596</v>
      </c>
      <c r="Q364" s="90" t="s">
        <v>130</v>
      </c>
      <c r="R364" s="92">
        <v>4</v>
      </c>
      <c r="S364" s="30">
        <v>55</v>
      </c>
      <c r="T364" s="91">
        <v>45753</v>
      </c>
      <c r="U364" s="90" t="s">
        <v>602</v>
      </c>
      <c r="V364" s="91"/>
      <c r="W364" s="90"/>
      <c r="X364" s="92">
        <v>45</v>
      </c>
      <c r="Y364" s="30"/>
      <c r="Z364" s="30">
        <v>8735.7000000000007</v>
      </c>
      <c r="AA364" s="30">
        <v>6980</v>
      </c>
      <c r="AB364" s="91">
        <v>45486</v>
      </c>
      <c r="AC364" s="91">
        <v>45918</v>
      </c>
      <c r="AD364" s="91">
        <v>45995</v>
      </c>
      <c r="AE364" s="90" t="s">
        <v>296</v>
      </c>
      <c r="AF364" s="90" t="s">
        <v>292</v>
      </c>
      <c r="AG364" s="30"/>
      <c r="AH364" s="90">
        <v>0</v>
      </c>
      <c r="AI364" s="90">
        <v>1</v>
      </c>
      <c r="AJ364" s="90">
        <v>0</v>
      </c>
      <c r="AK364" s="92">
        <v>2025</v>
      </c>
      <c r="AL364" s="90" t="s">
        <v>222</v>
      </c>
      <c r="AM364" s="92">
        <v>225</v>
      </c>
      <c r="AN364" s="90" t="s">
        <v>172</v>
      </c>
      <c r="AO364" s="90">
        <v>0</v>
      </c>
      <c r="AP364" s="90" t="s">
        <v>79</v>
      </c>
      <c r="AQ364" s="30">
        <v>68</v>
      </c>
    </row>
    <row r="365" spans="1:43" ht="15" customHeight="1" x14ac:dyDescent="0.3">
      <c r="A365" s="101" t="s">
        <v>694</v>
      </c>
      <c r="B365" s="90" t="s">
        <v>137</v>
      </c>
      <c r="C365" s="91">
        <v>43643</v>
      </c>
      <c r="D365" s="91">
        <v>45486</v>
      </c>
      <c r="E365" s="92">
        <v>1</v>
      </c>
      <c r="F365" s="90" t="s">
        <v>276</v>
      </c>
      <c r="G365" s="90"/>
      <c r="H365" s="90"/>
      <c r="I365" s="90">
        <v>0</v>
      </c>
      <c r="J365" s="91">
        <v>45754</v>
      </c>
      <c r="K365" s="90" t="s">
        <v>131</v>
      </c>
      <c r="L365" s="90" t="s">
        <v>125</v>
      </c>
      <c r="M365" s="90"/>
      <c r="N365" s="90" t="s">
        <v>126</v>
      </c>
      <c r="O365" s="90">
        <v>-53431</v>
      </c>
      <c r="P365" s="90" t="s">
        <v>596</v>
      </c>
      <c r="Q365" s="90" t="s">
        <v>130</v>
      </c>
      <c r="R365" s="92">
        <v>5</v>
      </c>
      <c r="S365" s="30">
        <v>43</v>
      </c>
      <c r="T365" s="91">
        <v>45792</v>
      </c>
      <c r="U365" s="90" t="s">
        <v>602</v>
      </c>
      <c r="V365" s="91"/>
      <c r="W365" s="90"/>
      <c r="X365" s="92">
        <v>45</v>
      </c>
      <c r="Y365" s="30"/>
      <c r="Z365" s="30">
        <v>8735.7000000000007</v>
      </c>
      <c r="AA365" s="30">
        <v>6980</v>
      </c>
      <c r="AB365" s="91">
        <v>45486</v>
      </c>
      <c r="AC365" s="91">
        <v>45918</v>
      </c>
      <c r="AD365" s="91">
        <v>45995</v>
      </c>
      <c r="AE365" s="90" t="s">
        <v>296</v>
      </c>
      <c r="AF365" s="90" t="s">
        <v>292</v>
      </c>
      <c r="AG365" s="30"/>
      <c r="AH365" s="90">
        <v>0</v>
      </c>
      <c r="AI365" s="90">
        <v>1</v>
      </c>
      <c r="AJ365" s="90">
        <v>0</v>
      </c>
      <c r="AK365" s="92">
        <v>2025</v>
      </c>
      <c r="AL365" s="90" t="s">
        <v>224</v>
      </c>
      <c r="AM365" s="92">
        <v>268</v>
      </c>
      <c r="AN365" s="90" t="s">
        <v>176</v>
      </c>
      <c r="AO365" s="90">
        <v>0</v>
      </c>
      <c r="AP365" s="90" t="s">
        <v>79</v>
      </c>
      <c r="AQ365" s="30">
        <v>69.400000000000006</v>
      </c>
    </row>
    <row r="366" spans="1:43" ht="15" customHeight="1" x14ac:dyDescent="0.3">
      <c r="A366" s="101" t="s">
        <v>694</v>
      </c>
      <c r="B366" s="90" t="s">
        <v>137</v>
      </c>
      <c r="C366" s="91">
        <v>43643</v>
      </c>
      <c r="D366" s="91">
        <v>45486</v>
      </c>
      <c r="E366" s="92">
        <v>1</v>
      </c>
      <c r="F366" s="90" t="s">
        <v>276</v>
      </c>
      <c r="G366" s="90"/>
      <c r="H366" s="90"/>
      <c r="I366" s="90">
        <v>0</v>
      </c>
      <c r="J366" s="91">
        <v>45803</v>
      </c>
      <c r="K366" s="90" t="s">
        <v>131</v>
      </c>
      <c r="L366" s="90" t="s">
        <v>125</v>
      </c>
      <c r="M366" s="90"/>
      <c r="N366" s="90" t="s">
        <v>126</v>
      </c>
      <c r="O366" s="90">
        <v>-53431</v>
      </c>
      <c r="P366" s="90" t="s">
        <v>596</v>
      </c>
      <c r="Q366" s="90" t="s">
        <v>130</v>
      </c>
      <c r="R366" s="92">
        <v>6</v>
      </c>
      <c r="S366" s="30">
        <v>49</v>
      </c>
      <c r="T366" s="91">
        <v>45839</v>
      </c>
      <c r="U366" s="90" t="s">
        <v>602</v>
      </c>
      <c r="V366" s="91"/>
      <c r="W366" s="90"/>
      <c r="X366" s="92">
        <v>45</v>
      </c>
      <c r="Y366" s="30"/>
      <c r="Z366" s="30">
        <v>8735.7000000000007</v>
      </c>
      <c r="AA366" s="30">
        <v>6980</v>
      </c>
      <c r="AB366" s="91">
        <v>45486</v>
      </c>
      <c r="AC366" s="91">
        <v>45918</v>
      </c>
      <c r="AD366" s="91">
        <v>45995</v>
      </c>
      <c r="AE366" s="90" t="s">
        <v>296</v>
      </c>
      <c r="AF366" s="90" t="s">
        <v>292</v>
      </c>
      <c r="AG366" s="30"/>
      <c r="AH366" s="90">
        <v>0</v>
      </c>
      <c r="AI366" s="90">
        <v>1</v>
      </c>
      <c r="AJ366" s="90">
        <v>0</v>
      </c>
      <c r="AK366" s="92">
        <v>2025</v>
      </c>
      <c r="AL366" s="90" t="s">
        <v>225</v>
      </c>
      <c r="AM366" s="92">
        <v>317</v>
      </c>
      <c r="AN366" s="90" t="s">
        <v>187</v>
      </c>
      <c r="AO366" s="90">
        <v>0</v>
      </c>
      <c r="AP366" s="90" t="s">
        <v>79</v>
      </c>
      <c r="AQ366" s="30">
        <v>71.099999999999994</v>
      </c>
    </row>
    <row r="367" spans="1:43" ht="15" customHeight="1" outlineLevel="1" x14ac:dyDescent="0.3">
      <c r="A367" s="101" t="s">
        <v>694</v>
      </c>
      <c r="B367" s="90" t="s">
        <v>137</v>
      </c>
      <c r="C367" s="91">
        <v>43643</v>
      </c>
      <c r="D367" s="91">
        <v>45486</v>
      </c>
      <c r="E367" s="92">
        <v>1</v>
      </c>
      <c r="F367" s="90" t="s">
        <v>276</v>
      </c>
      <c r="G367" s="90"/>
      <c r="H367" s="90"/>
      <c r="I367" s="90">
        <v>0</v>
      </c>
      <c r="J367" s="91">
        <v>45850</v>
      </c>
      <c r="K367" s="90" t="s">
        <v>131</v>
      </c>
      <c r="L367" s="90" t="s">
        <v>125</v>
      </c>
      <c r="M367" s="90"/>
      <c r="N367" s="90" t="s">
        <v>126</v>
      </c>
      <c r="O367" s="90">
        <v>-867</v>
      </c>
      <c r="P367" s="90" t="s">
        <v>596</v>
      </c>
      <c r="Q367" s="90" t="s">
        <v>130</v>
      </c>
      <c r="R367" s="92">
        <v>7</v>
      </c>
      <c r="S367" s="30">
        <v>47</v>
      </c>
      <c r="T367" s="91">
        <v>45877</v>
      </c>
      <c r="U367" s="90" t="s">
        <v>602</v>
      </c>
      <c r="V367" s="91"/>
      <c r="W367" s="90"/>
      <c r="X367" s="92">
        <v>45</v>
      </c>
      <c r="Y367" s="30"/>
      <c r="Z367" s="30">
        <v>8735.7000000000007</v>
      </c>
      <c r="AA367" s="30">
        <v>6980</v>
      </c>
      <c r="AB367" s="91">
        <v>45486</v>
      </c>
      <c r="AC367" s="91">
        <v>45918</v>
      </c>
      <c r="AD367" s="91">
        <v>45995</v>
      </c>
      <c r="AE367" s="90" t="s">
        <v>296</v>
      </c>
      <c r="AF367" s="90" t="s">
        <v>292</v>
      </c>
      <c r="AG367" s="30"/>
      <c r="AH367" s="90">
        <v>0</v>
      </c>
      <c r="AI367" s="90">
        <v>1</v>
      </c>
      <c r="AJ367" s="90">
        <v>0</v>
      </c>
      <c r="AK367" s="92">
        <v>2025</v>
      </c>
      <c r="AL367" s="90" t="s">
        <v>226</v>
      </c>
      <c r="AM367" s="92">
        <v>364</v>
      </c>
      <c r="AN367" s="90" t="s">
        <v>191</v>
      </c>
      <c r="AO367" s="90">
        <v>0</v>
      </c>
      <c r="AP367" s="90" t="s">
        <v>79</v>
      </c>
      <c r="AQ367" s="30">
        <v>72.599999999999994</v>
      </c>
    </row>
    <row r="368" spans="1:43" ht="15" customHeight="1" outlineLevel="1" x14ac:dyDescent="0.3">
      <c r="A368" s="101" t="s">
        <v>694</v>
      </c>
      <c r="B368" s="90" t="s">
        <v>137</v>
      </c>
      <c r="C368" s="91">
        <v>43643</v>
      </c>
      <c r="D368" s="91">
        <v>45486</v>
      </c>
      <c r="E368" s="92">
        <v>1</v>
      </c>
      <c r="F368" s="90" t="s">
        <v>276</v>
      </c>
      <c r="G368" s="90"/>
      <c r="H368" s="90"/>
      <c r="I368" s="90">
        <v>0</v>
      </c>
      <c r="J368" s="91">
        <v>45888</v>
      </c>
      <c r="K368" s="90" t="s">
        <v>131</v>
      </c>
      <c r="L368" s="90" t="s">
        <v>125</v>
      </c>
      <c r="M368" s="90"/>
      <c r="N368" s="90" t="s">
        <v>133</v>
      </c>
      <c r="O368" s="90">
        <v>-867</v>
      </c>
      <c r="P368" s="90" t="s">
        <v>596</v>
      </c>
      <c r="Q368" s="90" t="s">
        <v>130</v>
      </c>
      <c r="R368" s="92">
        <v>8</v>
      </c>
      <c r="S368" s="30">
        <v>38</v>
      </c>
      <c r="T368" s="91">
        <v>45927</v>
      </c>
      <c r="U368" s="90" t="s">
        <v>602</v>
      </c>
      <c r="V368" s="91"/>
      <c r="W368" s="90"/>
      <c r="X368" s="92">
        <v>45</v>
      </c>
      <c r="Y368" s="30"/>
      <c r="Z368" s="30">
        <v>8735.7000000000007</v>
      </c>
      <c r="AA368" s="30">
        <v>6980</v>
      </c>
      <c r="AB368" s="91">
        <v>45486</v>
      </c>
      <c r="AC368" s="91">
        <v>45918</v>
      </c>
      <c r="AD368" s="91">
        <v>45995</v>
      </c>
      <c r="AE368" s="90" t="s">
        <v>296</v>
      </c>
      <c r="AF368" s="90" t="s">
        <v>292</v>
      </c>
      <c r="AG368" s="30"/>
      <c r="AH368" s="90">
        <v>0</v>
      </c>
      <c r="AI368" s="90">
        <v>1</v>
      </c>
      <c r="AJ368" s="90">
        <v>0</v>
      </c>
      <c r="AK368" s="92">
        <v>2025</v>
      </c>
      <c r="AL368" s="90" t="s">
        <v>227</v>
      </c>
      <c r="AM368" s="92">
        <v>402</v>
      </c>
      <c r="AN368" s="90" t="s">
        <v>195</v>
      </c>
      <c r="AO368" s="90">
        <v>0</v>
      </c>
      <c r="AP368" s="90" t="s">
        <v>79</v>
      </c>
      <c r="AQ368" s="30">
        <v>73.8</v>
      </c>
    </row>
    <row r="369" spans="1:43" ht="15" customHeight="1" outlineLevel="1" x14ac:dyDescent="0.3">
      <c r="A369" s="101" t="s">
        <v>694</v>
      </c>
      <c r="B369" s="90" t="s">
        <v>137</v>
      </c>
      <c r="C369" s="91">
        <v>43643</v>
      </c>
      <c r="D369" s="91">
        <v>45486</v>
      </c>
      <c r="E369" s="92">
        <v>1</v>
      </c>
      <c r="F369" s="90" t="s">
        <v>276</v>
      </c>
      <c r="G369" s="90"/>
      <c r="H369" s="90"/>
      <c r="I369" s="90">
        <v>0</v>
      </c>
      <c r="J369" s="91">
        <v>45928</v>
      </c>
      <c r="K369" s="90" t="s">
        <v>131</v>
      </c>
      <c r="L369" s="90" t="s">
        <v>125</v>
      </c>
      <c r="M369" s="90"/>
      <c r="N369" s="90" t="s">
        <v>133</v>
      </c>
      <c r="O369" s="90">
        <v>-867</v>
      </c>
      <c r="P369" s="90" t="s">
        <v>596</v>
      </c>
      <c r="Q369" s="90" t="s">
        <v>130</v>
      </c>
      <c r="R369" s="92">
        <v>9</v>
      </c>
      <c r="S369" s="30">
        <v>40</v>
      </c>
      <c r="T369" s="91"/>
      <c r="U369" s="90" t="s">
        <v>611</v>
      </c>
      <c r="V369" s="91"/>
      <c r="W369" s="90"/>
      <c r="X369" s="92">
        <v>45</v>
      </c>
      <c r="Y369" s="30"/>
      <c r="Z369" s="30">
        <v>8735.7000000000007</v>
      </c>
      <c r="AA369" s="30">
        <v>6980</v>
      </c>
      <c r="AB369" s="91">
        <v>45486</v>
      </c>
      <c r="AC369" s="91">
        <v>45918</v>
      </c>
      <c r="AD369" s="91">
        <v>45995</v>
      </c>
      <c r="AE369" s="90" t="s">
        <v>296</v>
      </c>
      <c r="AF369" s="90" t="s">
        <v>292</v>
      </c>
      <c r="AG369" s="30"/>
      <c r="AH369" s="90">
        <v>0</v>
      </c>
      <c r="AI369" s="90">
        <v>0</v>
      </c>
      <c r="AJ369" s="90">
        <v>0</v>
      </c>
      <c r="AK369" s="92">
        <v>2025</v>
      </c>
      <c r="AL369" s="90" t="s">
        <v>228</v>
      </c>
      <c r="AM369" s="92">
        <v>442</v>
      </c>
      <c r="AN369" s="90" t="s">
        <v>199</v>
      </c>
      <c r="AO369" s="90">
        <v>1</v>
      </c>
      <c r="AP369" s="90" t="s">
        <v>79</v>
      </c>
      <c r="AQ369" s="30">
        <v>75.2</v>
      </c>
    </row>
    <row r="370" spans="1:43" ht="15" customHeight="1" outlineLevel="1" x14ac:dyDescent="0.3">
      <c r="A370" s="101" t="s">
        <v>695</v>
      </c>
      <c r="B370" s="90" t="s">
        <v>123</v>
      </c>
      <c r="C370" s="91">
        <v>45329</v>
      </c>
      <c r="D370" s="91"/>
      <c r="E370" s="92">
        <v>0</v>
      </c>
      <c r="F370" s="90"/>
      <c r="G370" s="90"/>
      <c r="H370" s="90"/>
      <c r="I370" s="90"/>
      <c r="J370" s="91">
        <v>46050</v>
      </c>
      <c r="K370" s="90" t="s">
        <v>131</v>
      </c>
      <c r="L370" s="90" t="s">
        <v>125</v>
      </c>
      <c r="M370" s="90"/>
      <c r="N370" s="90" t="s">
        <v>133</v>
      </c>
      <c r="O370" s="90" t="s">
        <v>139</v>
      </c>
      <c r="P370" s="90" t="s">
        <v>596</v>
      </c>
      <c r="Q370" s="90" t="s">
        <v>130</v>
      </c>
      <c r="R370" s="92">
        <v>1</v>
      </c>
      <c r="S370" s="30"/>
      <c r="T370" s="91">
        <v>46079</v>
      </c>
      <c r="U370" s="90" t="s">
        <v>582</v>
      </c>
      <c r="V370" s="91"/>
      <c r="W370" s="90"/>
      <c r="X370" s="92">
        <v>45</v>
      </c>
      <c r="Y370" s="30"/>
      <c r="Z370" s="30"/>
      <c r="AA370" s="30"/>
      <c r="AB370" s="91"/>
      <c r="AC370" s="91"/>
      <c r="AD370" s="91"/>
      <c r="AE370" s="90"/>
      <c r="AF370" s="90"/>
      <c r="AG370" s="30"/>
      <c r="AH370" s="90">
        <v>1</v>
      </c>
      <c r="AI370" s="90">
        <v>1</v>
      </c>
      <c r="AJ370" s="90">
        <v>0</v>
      </c>
      <c r="AK370" s="92">
        <v>2026</v>
      </c>
      <c r="AL370" s="90" t="s">
        <v>232</v>
      </c>
      <c r="AM370" s="92"/>
      <c r="AN370" s="90"/>
      <c r="AO370" s="90">
        <v>1</v>
      </c>
      <c r="AP370" s="90" t="s">
        <v>80</v>
      </c>
      <c r="AQ370" s="30">
        <v>23.7</v>
      </c>
    </row>
    <row r="371" spans="1:43" ht="15" customHeight="1" outlineLevel="1" x14ac:dyDescent="0.3">
      <c r="A371" s="101" t="s">
        <v>696</v>
      </c>
      <c r="B371" s="90" t="s">
        <v>130</v>
      </c>
      <c r="C371" s="91">
        <v>45408</v>
      </c>
      <c r="D371" s="91"/>
      <c r="E371" s="92">
        <v>0</v>
      </c>
      <c r="F371" s="90"/>
      <c r="G371" s="90"/>
      <c r="H371" s="90"/>
      <c r="I371" s="90"/>
      <c r="J371" s="91">
        <v>46091</v>
      </c>
      <c r="K371" s="90" t="s">
        <v>124</v>
      </c>
      <c r="L371" s="90" t="s">
        <v>125</v>
      </c>
      <c r="M371" s="90"/>
      <c r="N371" s="90"/>
      <c r="O371" s="90" t="s">
        <v>629</v>
      </c>
      <c r="P371" s="90"/>
      <c r="Q371" s="90" t="s">
        <v>245</v>
      </c>
      <c r="R371" s="92">
        <v>1</v>
      </c>
      <c r="S371" s="30"/>
      <c r="T371" s="91">
        <v>46122</v>
      </c>
      <c r="U371" s="90" t="s">
        <v>582</v>
      </c>
      <c r="V371" s="91"/>
      <c r="W371" s="90"/>
      <c r="X371" s="92">
        <v>45</v>
      </c>
      <c r="Y371" s="30"/>
      <c r="Z371" s="30"/>
      <c r="AA371" s="30"/>
      <c r="AB371" s="91"/>
      <c r="AC371" s="91"/>
      <c r="AD371" s="91"/>
      <c r="AE371" s="90"/>
      <c r="AF371" s="90"/>
      <c r="AG371" s="30"/>
      <c r="AH371" s="90">
        <v>1</v>
      </c>
      <c r="AI371" s="90">
        <v>1</v>
      </c>
      <c r="AJ371" s="90">
        <v>0</v>
      </c>
      <c r="AK371" s="92">
        <v>2026</v>
      </c>
      <c r="AL371" s="90" t="s">
        <v>234</v>
      </c>
      <c r="AM371" s="92"/>
      <c r="AN371" s="90"/>
      <c r="AO371" s="90">
        <v>1</v>
      </c>
      <c r="AP371" s="90" t="s">
        <v>80</v>
      </c>
      <c r="AQ371" s="30">
        <v>22.5</v>
      </c>
    </row>
    <row r="372" spans="1:43" ht="15" customHeight="1" outlineLevel="1" x14ac:dyDescent="0.3">
      <c r="A372" s="101" t="s">
        <v>697</v>
      </c>
      <c r="B372" s="90" t="s">
        <v>137</v>
      </c>
      <c r="C372" s="91">
        <v>43708</v>
      </c>
      <c r="D372" s="91"/>
      <c r="E372" s="92">
        <v>0</v>
      </c>
      <c r="F372" s="90"/>
      <c r="G372" s="90"/>
      <c r="H372" s="90"/>
      <c r="I372" s="90"/>
      <c r="J372" s="91">
        <v>45229</v>
      </c>
      <c r="K372" s="90" t="s">
        <v>131</v>
      </c>
      <c r="L372" s="90" t="s">
        <v>125</v>
      </c>
      <c r="M372" s="90"/>
      <c r="N372" s="90" t="s">
        <v>138</v>
      </c>
      <c r="O372" s="90" t="s">
        <v>186</v>
      </c>
      <c r="P372" s="90" t="s">
        <v>596</v>
      </c>
      <c r="Q372" s="90" t="s">
        <v>130</v>
      </c>
      <c r="R372" s="92">
        <v>1</v>
      </c>
      <c r="S372" s="30"/>
      <c r="T372" s="91">
        <v>45260</v>
      </c>
      <c r="U372" s="90" t="s">
        <v>582</v>
      </c>
      <c r="V372" s="91"/>
      <c r="W372" s="90"/>
      <c r="X372" s="92">
        <v>45</v>
      </c>
      <c r="Y372" s="30"/>
      <c r="Z372" s="30"/>
      <c r="AA372" s="30">
        <v>10030</v>
      </c>
      <c r="AB372" s="91">
        <v>45505</v>
      </c>
      <c r="AC372" s="91">
        <v>45932</v>
      </c>
      <c r="AD372" s="91">
        <v>46177</v>
      </c>
      <c r="AE372" s="90" t="s">
        <v>297</v>
      </c>
      <c r="AF372" s="90" t="s">
        <v>290</v>
      </c>
      <c r="AG372" s="30"/>
      <c r="AH372" s="90">
        <v>1</v>
      </c>
      <c r="AI372" s="90">
        <v>1</v>
      </c>
      <c r="AJ372" s="90">
        <v>0</v>
      </c>
      <c r="AK372" s="92">
        <v>2023</v>
      </c>
      <c r="AL372" s="90" t="s">
        <v>206</v>
      </c>
      <c r="AM372" s="92"/>
      <c r="AN372" s="90"/>
      <c r="AO372" s="90">
        <v>0</v>
      </c>
      <c r="AP372" s="90" t="s">
        <v>80</v>
      </c>
      <c r="AQ372" s="30">
        <v>50</v>
      </c>
    </row>
    <row r="373" spans="1:43" ht="15" customHeight="1" outlineLevel="1" x14ac:dyDescent="0.3">
      <c r="A373" s="101" t="s">
        <v>697</v>
      </c>
      <c r="B373" s="90" t="s">
        <v>137</v>
      </c>
      <c r="C373" s="91">
        <v>43708</v>
      </c>
      <c r="D373" s="91">
        <v>45505</v>
      </c>
      <c r="E373" s="92">
        <v>1</v>
      </c>
      <c r="F373" s="90" t="s">
        <v>276</v>
      </c>
      <c r="G373" s="90" t="s">
        <v>601</v>
      </c>
      <c r="H373" s="90" t="s">
        <v>278</v>
      </c>
      <c r="I373" s="90">
        <v>0</v>
      </c>
      <c r="J373" s="91">
        <v>45572</v>
      </c>
      <c r="K373" s="90" t="s">
        <v>131</v>
      </c>
      <c r="L373" s="90" t="s">
        <v>125</v>
      </c>
      <c r="M373" s="90"/>
      <c r="N373" s="90" t="s">
        <v>126</v>
      </c>
      <c r="O373" s="90" t="s">
        <v>175</v>
      </c>
      <c r="P373" s="90" t="s">
        <v>596</v>
      </c>
      <c r="Q373" s="90" t="s">
        <v>130</v>
      </c>
      <c r="R373" s="92">
        <v>1</v>
      </c>
      <c r="S373" s="30"/>
      <c r="T373" s="91">
        <v>45603</v>
      </c>
      <c r="U373" s="90" t="s">
        <v>582</v>
      </c>
      <c r="V373" s="91">
        <v>45645</v>
      </c>
      <c r="W373" s="90" t="s">
        <v>569</v>
      </c>
      <c r="X373" s="92">
        <v>45</v>
      </c>
      <c r="Y373" s="30"/>
      <c r="Z373" s="30">
        <v>12346.85</v>
      </c>
      <c r="AA373" s="30">
        <v>10030</v>
      </c>
      <c r="AB373" s="91">
        <v>45505</v>
      </c>
      <c r="AC373" s="91">
        <v>45932</v>
      </c>
      <c r="AD373" s="91">
        <v>46177</v>
      </c>
      <c r="AE373" s="90" t="s">
        <v>297</v>
      </c>
      <c r="AF373" s="90" t="s">
        <v>290</v>
      </c>
      <c r="AG373" s="30"/>
      <c r="AH373" s="90">
        <v>1</v>
      </c>
      <c r="AI373" s="90">
        <v>1</v>
      </c>
      <c r="AJ373" s="90">
        <v>1</v>
      </c>
      <c r="AK373" s="92">
        <v>2024</v>
      </c>
      <c r="AL373" s="90" t="s">
        <v>218</v>
      </c>
      <c r="AM373" s="92">
        <v>67</v>
      </c>
      <c r="AN373" s="90" t="s">
        <v>140</v>
      </c>
      <c r="AO373" s="90">
        <v>0</v>
      </c>
      <c r="AP373" s="90" t="s">
        <v>79</v>
      </c>
      <c r="AQ373" s="30">
        <v>61.3</v>
      </c>
    </row>
    <row r="374" spans="1:43" ht="15" customHeight="1" outlineLevel="1" x14ac:dyDescent="0.3">
      <c r="A374" s="101" t="s">
        <v>697</v>
      </c>
      <c r="B374" s="90" t="s">
        <v>137</v>
      </c>
      <c r="C374" s="91">
        <v>43708</v>
      </c>
      <c r="D374" s="91">
        <v>45505</v>
      </c>
      <c r="E374" s="92">
        <v>1</v>
      </c>
      <c r="F374" s="90" t="s">
        <v>276</v>
      </c>
      <c r="G374" s="90" t="s">
        <v>601</v>
      </c>
      <c r="H374" s="90" t="s">
        <v>278</v>
      </c>
      <c r="I374" s="90">
        <v>0</v>
      </c>
      <c r="J374" s="91">
        <v>45711</v>
      </c>
      <c r="K374" s="90" t="s">
        <v>131</v>
      </c>
      <c r="L374" s="90" t="s">
        <v>125</v>
      </c>
      <c r="M374" s="90"/>
      <c r="N374" s="90" t="s">
        <v>126</v>
      </c>
      <c r="O374" s="90">
        <v>-53431</v>
      </c>
      <c r="P374" s="90" t="s">
        <v>596</v>
      </c>
      <c r="Q374" s="90" t="s">
        <v>130</v>
      </c>
      <c r="R374" s="92">
        <v>2</v>
      </c>
      <c r="S374" s="30">
        <v>139</v>
      </c>
      <c r="T374" s="91">
        <v>45743</v>
      </c>
      <c r="U374" s="90" t="s">
        <v>582</v>
      </c>
      <c r="V374" s="91"/>
      <c r="W374" s="90"/>
      <c r="X374" s="92">
        <v>45</v>
      </c>
      <c r="Y374" s="30"/>
      <c r="Z374" s="30">
        <v>12346.85</v>
      </c>
      <c r="AA374" s="30">
        <v>10030</v>
      </c>
      <c r="AB374" s="91">
        <v>45505</v>
      </c>
      <c r="AC374" s="91">
        <v>45932</v>
      </c>
      <c r="AD374" s="91">
        <v>46177</v>
      </c>
      <c r="AE374" s="90" t="s">
        <v>297</v>
      </c>
      <c r="AF374" s="90" t="s">
        <v>290</v>
      </c>
      <c r="AG374" s="30"/>
      <c r="AH374" s="90">
        <v>1</v>
      </c>
      <c r="AI374" s="90">
        <v>1</v>
      </c>
      <c r="AJ374" s="90">
        <v>0</v>
      </c>
      <c r="AK374" s="92">
        <v>2025</v>
      </c>
      <c r="AL374" s="90" t="s">
        <v>222</v>
      </c>
      <c r="AM374" s="92">
        <v>206</v>
      </c>
      <c r="AN374" s="90" t="s">
        <v>163</v>
      </c>
      <c r="AO374" s="90">
        <v>0</v>
      </c>
      <c r="AP374" s="90" t="s">
        <v>79</v>
      </c>
      <c r="AQ374" s="30">
        <v>65.900000000000006</v>
      </c>
    </row>
    <row r="375" spans="1:43" x14ac:dyDescent="0.3">
      <c r="A375" s="102" t="s">
        <v>697</v>
      </c>
      <c r="B375" t="s">
        <v>137</v>
      </c>
      <c r="C375" s="93">
        <v>43708</v>
      </c>
      <c r="D375" s="93">
        <v>45989</v>
      </c>
      <c r="E375">
        <v>2</v>
      </c>
      <c r="F375" t="s">
        <v>275</v>
      </c>
      <c r="I375">
        <v>0</v>
      </c>
      <c r="J375" s="93">
        <v>46048</v>
      </c>
      <c r="K375" t="s">
        <v>131</v>
      </c>
      <c r="L375" t="s">
        <v>132</v>
      </c>
      <c r="M375" t="s">
        <v>593</v>
      </c>
      <c r="N375" t="s">
        <v>133</v>
      </c>
      <c r="O375" t="s">
        <v>139</v>
      </c>
      <c r="P375" t="s">
        <v>596</v>
      </c>
      <c r="Q375" t="s">
        <v>130</v>
      </c>
      <c r="R375">
        <v>1</v>
      </c>
      <c r="T375" s="93">
        <v>46076</v>
      </c>
      <c r="U375" t="s">
        <v>602</v>
      </c>
      <c r="X375">
        <v>45</v>
      </c>
      <c r="Y375">
        <v>352</v>
      </c>
      <c r="Z375">
        <v>4844.8</v>
      </c>
      <c r="AA375">
        <v>10030</v>
      </c>
      <c r="AB375" s="93">
        <v>45505</v>
      </c>
      <c r="AC375" s="93">
        <v>45932</v>
      </c>
      <c r="AD375" s="93">
        <v>46177</v>
      </c>
      <c r="AE375" t="s">
        <v>297</v>
      </c>
      <c r="AF375" t="s">
        <v>290</v>
      </c>
      <c r="AH375">
        <v>0</v>
      </c>
      <c r="AI375">
        <v>1</v>
      </c>
      <c r="AJ375">
        <v>0</v>
      </c>
      <c r="AK375">
        <v>2026</v>
      </c>
      <c r="AL375" t="s">
        <v>232</v>
      </c>
      <c r="AM375">
        <v>59</v>
      </c>
      <c r="AN375" t="s">
        <v>135</v>
      </c>
      <c r="AO375">
        <v>0</v>
      </c>
      <c r="AP375" t="s">
        <v>79</v>
      </c>
      <c r="AQ375">
        <v>77</v>
      </c>
    </row>
    <row r="376" spans="1:43" x14ac:dyDescent="0.3">
      <c r="A376" s="102" t="s">
        <v>697</v>
      </c>
      <c r="B376" t="s">
        <v>137</v>
      </c>
      <c r="C376" s="93">
        <v>43708</v>
      </c>
      <c r="D376" s="93">
        <v>45989</v>
      </c>
      <c r="E376">
        <v>2</v>
      </c>
      <c r="F376" t="s">
        <v>275</v>
      </c>
      <c r="I376">
        <v>0</v>
      </c>
      <c r="J376" s="93">
        <v>46076</v>
      </c>
      <c r="K376" t="s">
        <v>131</v>
      </c>
      <c r="L376" t="s">
        <v>125</v>
      </c>
      <c r="N376" t="s">
        <v>133</v>
      </c>
      <c r="O376" t="s">
        <v>139</v>
      </c>
      <c r="P376" t="s">
        <v>596</v>
      </c>
      <c r="Q376" t="s">
        <v>130</v>
      </c>
      <c r="R376">
        <v>2</v>
      </c>
      <c r="S376">
        <v>28</v>
      </c>
      <c r="T376" s="93">
        <v>46105</v>
      </c>
      <c r="U376" t="s">
        <v>602</v>
      </c>
      <c r="X376">
        <v>45</v>
      </c>
      <c r="Z376">
        <v>4844.8</v>
      </c>
      <c r="AA376">
        <v>10030</v>
      </c>
      <c r="AB376" s="93">
        <v>45505</v>
      </c>
      <c r="AC376" s="93">
        <v>45932</v>
      </c>
      <c r="AD376" s="93">
        <v>46177</v>
      </c>
      <c r="AE376" t="s">
        <v>297</v>
      </c>
      <c r="AF376" t="s">
        <v>290</v>
      </c>
      <c r="AH376">
        <v>0</v>
      </c>
      <c r="AI376">
        <v>1</v>
      </c>
      <c r="AJ376">
        <v>0</v>
      </c>
      <c r="AK376">
        <v>2026</v>
      </c>
      <c r="AL376" t="s">
        <v>233</v>
      </c>
      <c r="AM376">
        <v>87</v>
      </c>
      <c r="AN376" t="s">
        <v>145</v>
      </c>
      <c r="AO376">
        <v>0</v>
      </c>
      <c r="AP376" t="s">
        <v>79</v>
      </c>
      <c r="AQ376">
        <v>77.900000000000006</v>
      </c>
    </row>
    <row r="377" spans="1:43" x14ac:dyDescent="0.3">
      <c r="A377" s="102" t="s">
        <v>697</v>
      </c>
      <c r="B377" t="s">
        <v>137</v>
      </c>
      <c r="C377" s="93">
        <v>43708</v>
      </c>
      <c r="D377" s="93">
        <v>45989</v>
      </c>
      <c r="E377">
        <v>2</v>
      </c>
      <c r="F377" t="s">
        <v>275</v>
      </c>
      <c r="I377">
        <v>0</v>
      </c>
      <c r="J377" s="93">
        <v>46105</v>
      </c>
      <c r="K377" t="s">
        <v>131</v>
      </c>
      <c r="L377" t="s">
        <v>125</v>
      </c>
      <c r="N377" t="s">
        <v>133</v>
      </c>
      <c r="O377" t="s">
        <v>139</v>
      </c>
      <c r="P377" t="s">
        <v>596</v>
      </c>
      <c r="Q377" t="s">
        <v>130</v>
      </c>
      <c r="R377">
        <v>3</v>
      </c>
      <c r="S377">
        <v>29</v>
      </c>
      <c r="T377" s="93">
        <v>46126</v>
      </c>
      <c r="U377" t="s">
        <v>602</v>
      </c>
      <c r="X377">
        <v>45</v>
      </c>
      <c r="Z377">
        <v>4844.8</v>
      </c>
      <c r="AA377">
        <v>10030</v>
      </c>
      <c r="AB377" s="93">
        <v>45505</v>
      </c>
      <c r="AC377" s="93">
        <v>45932</v>
      </c>
      <c r="AD377" s="93">
        <v>46177</v>
      </c>
      <c r="AE377" t="s">
        <v>297</v>
      </c>
      <c r="AF377" t="s">
        <v>290</v>
      </c>
      <c r="AH377">
        <v>0</v>
      </c>
      <c r="AI377">
        <v>1</v>
      </c>
      <c r="AJ377">
        <v>0</v>
      </c>
      <c r="AK377">
        <v>2026</v>
      </c>
      <c r="AL377" t="s">
        <v>234</v>
      </c>
      <c r="AM377">
        <v>116</v>
      </c>
      <c r="AN377" t="s">
        <v>150</v>
      </c>
      <c r="AO377">
        <v>0</v>
      </c>
      <c r="AP377" t="s">
        <v>79</v>
      </c>
      <c r="AQ377">
        <v>78.8</v>
      </c>
    </row>
    <row r="378" spans="1:43" x14ac:dyDescent="0.3">
      <c r="A378" s="102" t="s">
        <v>697</v>
      </c>
      <c r="B378" t="s">
        <v>137</v>
      </c>
      <c r="C378" s="93">
        <v>43708</v>
      </c>
      <c r="D378" s="93">
        <v>45989</v>
      </c>
      <c r="E378">
        <v>2</v>
      </c>
      <c r="F378" t="s">
        <v>275</v>
      </c>
      <c r="I378">
        <v>0</v>
      </c>
      <c r="J378" s="93">
        <v>46126</v>
      </c>
      <c r="K378" t="s">
        <v>124</v>
      </c>
      <c r="L378" t="s">
        <v>125</v>
      </c>
      <c r="O378" t="s">
        <v>177</v>
      </c>
      <c r="Q378" t="s">
        <v>137</v>
      </c>
      <c r="R378">
        <v>4</v>
      </c>
      <c r="S378">
        <v>21</v>
      </c>
      <c r="T378" s="93">
        <v>46164</v>
      </c>
      <c r="U378" t="s">
        <v>602</v>
      </c>
      <c r="X378">
        <v>45</v>
      </c>
      <c r="Z378">
        <v>4844.8</v>
      </c>
      <c r="AA378">
        <v>10030</v>
      </c>
      <c r="AB378" s="93">
        <v>45505</v>
      </c>
      <c r="AC378" s="93">
        <v>45932</v>
      </c>
      <c r="AD378" s="93">
        <v>46177</v>
      </c>
      <c r="AE378" t="s">
        <v>297</v>
      </c>
      <c r="AF378" t="s">
        <v>290</v>
      </c>
      <c r="AH378">
        <v>0</v>
      </c>
      <c r="AI378">
        <v>1</v>
      </c>
      <c r="AJ378">
        <v>0</v>
      </c>
      <c r="AK378">
        <v>2026</v>
      </c>
      <c r="AL378" t="s">
        <v>235</v>
      </c>
      <c r="AM378">
        <v>137</v>
      </c>
      <c r="AN378" t="s">
        <v>155</v>
      </c>
      <c r="AO378">
        <v>1</v>
      </c>
      <c r="AP378" t="s">
        <v>79</v>
      </c>
      <c r="AQ378">
        <v>79.5</v>
      </c>
    </row>
    <row r="379" spans="1:43" x14ac:dyDescent="0.3">
      <c r="A379" s="102" t="s">
        <v>698</v>
      </c>
      <c r="B379" t="s">
        <v>137</v>
      </c>
      <c r="C379" s="93">
        <v>42630</v>
      </c>
      <c r="D379" s="93"/>
      <c r="E379">
        <v>0</v>
      </c>
      <c r="J379" s="93">
        <v>45251</v>
      </c>
      <c r="K379" t="s">
        <v>131</v>
      </c>
      <c r="L379" t="s">
        <v>125</v>
      </c>
      <c r="N379" t="s">
        <v>138</v>
      </c>
      <c r="O379" t="s">
        <v>186</v>
      </c>
      <c r="P379" t="s">
        <v>596</v>
      </c>
      <c r="Q379" t="s">
        <v>130</v>
      </c>
      <c r="R379">
        <v>1</v>
      </c>
      <c r="T379" s="93">
        <v>45302</v>
      </c>
      <c r="U379" t="s">
        <v>582</v>
      </c>
      <c r="X379">
        <v>45</v>
      </c>
      <c r="AA379">
        <v>7628</v>
      </c>
      <c r="AB379" s="93">
        <v>45527</v>
      </c>
      <c r="AC379" s="93">
        <v>45926</v>
      </c>
      <c r="AD379" s="93">
        <v>45995</v>
      </c>
      <c r="AE379" t="s">
        <v>296</v>
      </c>
      <c r="AF379" t="s">
        <v>291</v>
      </c>
      <c r="AH379">
        <v>1</v>
      </c>
      <c r="AI379">
        <v>1</v>
      </c>
      <c r="AJ379">
        <v>0</v>
      </c>
      <c r="AK379">
        <v>2023</v>
      </c>
      <c r="AL379" t="s">
        <v>207</v>
      </c>
      <c r="AO379">
        <v>0</v>
      </c>
      <c r="AP379" t="s">
        <v>80</v>
      </c>
      <c r="AQ379">
        <v>86.2</v>
      </c>
    </row>
    <row r="380" spans="1:43" x14ac:dyDescent="0.3">
      <c r="A380" s="102" t="s">
        <v>698</v>
      </c>
      <c r="B380" t="s">
        <v>137</v>
      </c>
      <c r="C380" s="93">
        <v>42630</v>
      </c>
      <c r="D380" s="93">
        <v>45527</v>
      </c>
      <c r="E380">
        <v>1</v>
      </c>
      <c r="F380" t="s">
        <v>276</v>
      </c>
      <c r="I380">
        <v>0</v>
      </c>
      <c r="J380" s="93">
        <v>45614</v>
      </c>
      <c r="K380" t="s">
        <v>131</v>
      </c>
      <c r="L380" t="s">
        <v>125</v>
      </c>
      <c r="N380" t="s">
        <v>126</v>
      </c>
      <c r="O380" t="s">
        <v>175</v>
      </c>
      <c r="P380" t="s">
        <v>596</v>
      </c>
      <c r="Q380" t="s">
        <v>130</v>
      </c>
      <c r="R380">
        <v>1</v>
      </c>
      <c r="T380" s="93">
        <v>45645</v>
      </c>
      <c r="U380" t="s">
        <v>602</v>
      </c>
      <c r="X380">
        <v>45</v>
      </c>
      <c r="Z380">
        <v>9565.7000000000007</v>
      </c>
      <c r="AA380">
        <v>7628</v>
      </c>
      <c r="AB380" s="93">
        <v>45527</v>
      </c>
      <c r="AC380" s="93">
        <v>45926</v>
      </c>
      <c r="AD380" s="93">
        <v>45995</v>
      </c>
      <c r="AE380" t="s">
        <v>296</v>
      </c>
      <c r="AF380" t="s">
        <v>291</v>
      </c>
      <c r="AH380">
        <v>0</v>
      </c>
      <c r="AI380">
        <v>1</v>
      </c>
      <c r="AJ380">
        <v>0</v>
      </c>
      <c r="AK380">
        <v>2024</v>
      </c>
      <c r="AL380" t="s">
        <v>219</v>
      </c>
      <c r="AM380">
        <v>87</v>
      </c>
      <c r="AN380" t="s">
        <v>145</v>
      </c>
      <c r="AO380">
        <v>0</v>
      </c>
      <c r="AP380" t="s">
        <v>79</v>
      </c>
      <c r="AQ380">
        <v>98.2</v>
      </c>
    </row>
    <row r="381" spans="1:43" x14ac:dyDescent="0.3">
      <c r="A381" s="102" t="s">
        <v>698</v>
      </c>
      <c r="B381" t="s">
        <v>137</v>
      </c>
      <c r="C381" s="93">
        <v>42630</v>
      </c>
      <c r="D381" s="93">
        <v>45527</v>
      </c>
      <c r="E381">
        <v>1</v>
      </c>
      <c r="F381" t="s">
        <v>276</v>
      </c>
      <c r="I381">
        <v>0</v>
      </c>
      <c r="J381" s="93">
        <v>45656</v>
      </c>
      <c r="K381" t="s">
        <v>131</v>
      </c>
      <c r="L381" t="s">
        <v>125</v>
      </c>
      <c r="N381" t="s">
        <v>126</v>
      </c>
      <c r="O381" t="s">
        <v>175</v>
      </c>
      <c r="P381" t="s">
        <v>596</v>
      </c>
      <c r="Q381" t="s">
        <v>130</v>
      </c>
      <c r="R381">
        <v>2</v>
      </c>
      <c r="S381">
        <v>42</v>
      </c>
      <c r="T381" s="93">
        <v>45698</v>
      </c>
      <c r="U381" t="s">
        <v>602</v>
      </c>
      <c r="X381">
        <v>45</v>
      </c>
      <c r="Z381">
        <v>9565.7000000000007</v>
      </c>
      <c r="AA381">
        <v>7628</v>
      </c>
      <c r="AB381" s="93">
        <v>45527</v>
      </c>
      <c r="AC381" s="93">
        <v>45926</v>
      </c>
      <c r="AD381" s="93">
        <v>45995</v>
      </c>
      <c r="AE381" t="s">
        <v>296</v>
      </c>
      <c r="AF381" t="s">
        <v>291</v>
      </c>
      <c r="AH381">
        <v>0</v>
      </c>
      <c r="AI381">
        <v>1</v>
      </c>
      <c r="AJ381">
        <v>0</v>
      </c>
      <c r="AK381">
        <v>2024</v>
      </c>
      <c r="AL381" t="s">
        <v>220</v>
      </c>
      <c r="AM381">
        <v>129</v>
      </c>
      <c r="AN381" t="s">
        <v>155</v>
      </c>
      <c r="AO381">
        <v>0</v>
      </c>
      <c r="AP381" t="s">
        <v>79</v>
      </c>
      <c r="AQ381">
        <v>99.5</v>
      </c>
    </row>
    <row r="382" spans="1:43" x14ac:dyDescent="0.3">
      <c r="A382" s="102" t="s">
        <v>698</v>
      </c>
      <c r="B382" t="s">
        <v>137</v>
      </c>
      <c r="C382" s="93">
        <v>42630</v>
      </c>
      <c r="D382" s="93">
        <v>45527</v>
      </c>
      <c r="E382">
        <v>1</v>
      </c>
      <c r="F382" t="s">
        <v>276</v>
      </c>
      <c r="I382">
        <v>0</v>
      </c>
      <c r="J382" s="93">
        <v>45711</v>
      </c>
      <c r="K382" t="s">
        <v>131</v>
      </c>
      <c r="L382" t="s">
        <v>125</v>
      </c>
      <c r="N382" t="s">
        <v>126</v>
      </c>
      <c r="O382">
        <v>-53431</v>
      </c>
      <c r="P382" t="s">
        <v>596</v>
      </c>
      <c r="Q382" t="s">
        <v>130</v>
      </c>
      <c r="R382">
        <v>3</v>
      </c>
      <c r="S382">
        <v>55</v>
      </c>
      <c r="T382" s="93">
        <v>45753</v>
      </c>
      <c r="U382" t="s">
        <v>602</v>
      </c>
      <c r="X382">
        <v>45</v>
      </c>
      <c r="Z382">
        <v>9565.7000000000007</v>
      </c>
      <c r="AA382">
        <v>7628</v>
      </c>
      <c r="AB382" s="93">
        <v>45527</v>
      </c>
      <c r="AC382" s="93">
        <v>45926</v>
      </c>
      <c r="AD382" s="93">
        <v>45995</v>
      </c>
      <c r="AE382" t="s">
        <v>296</v>
      </c>
      <c r="AF382" t="s">
        <v>291</v>
      </c>
      <c r="AH382">
        <v>0</v>
      </c>
      <c r="AI382">
        <v>1</v>
      </c>
      <c r="AJ382">
        <v>0</v>
      </c>
      <c r="AK382">
        <v>2025</v>
      </c>
      <c r="AL382" t="s">
        <v>222</v>
      </c>
      <c r="AM382">
        <v>184</v>
      </c>
      <c r="AN382" t="s">
        <v>160</v>
      </c>
      <c r="AO382">
        <v>0</v>
      </c>
      <c r="AP382" t="s">
        <v>79</v>
      </c>
      <c r="AQ382">
        <v>101.3</v>
      </c>
    </row>
    <row r="383" spans="1:43" x14ac:dyDescent="0.3">
      <c r="A383" s="102" t="s">
        <v>698</v>
      </c>
      <c r="B383" t="s">
        <v>137</v>
      </c>
      <c r="C383" s="93">
        <v>42630</v>
      </c>
      <c r="D383" s="93">
        <v>45527</v>
      </c>
      <c r="E383">
        <v>1</v>
      </c>
      <c r="F383" t="s">
        <v>276</v>
      </c>
      <c r="I383">
        <v>0</v>
      </c>
      <c r="J383" s="93">
        <v>45754</v>
      </c>
      <c r="K383" t="s">
        <v>131</v>
      </c>
      <c r="L383" t="s">
        <v>125</v>
      </c>
      <c r="N383" t="s">
        <v>126</v>
      </c>
      <c r="O383">
        <v>-53431</v>
      </c>
      <c r="P383" t="s">
        <v>596</v>
      </c>
      <c r="Q383" t="s">
        <v>130</v>
      </c>
      <c r="R383">
        <v>4</v>
      </c>
      <c r="S383">
        <v>43</v>
      </c>
      <c r="T383" s="93">
        <v>45792</v>
      </c>
      <c r="U383" t="s">
        <v>602</v>
      </c>
      <c r="X383">
        <v>45</v>
      </c>
      <c r="Z383">
        <v>9565.7000000000007</v>
      </c>
      <c r="AA383">
        <v>7628</v>
      </c>
      <c r="AB383" s="93">
        <v>45527</v>
      </c>
      <c r="AC383" s="93">
        <v>45926</v>
      </c>
      <c r="AD383" s="93">
        <v>45995</v>
      </c>
      <c r="AE383" t="s">
        <v>296</v>
      </c>
      <c r="AF383" t="s">
        <v>291</v>
      </c>
      <c r="AH383">
        <v>0</v>
      </c>
      <c r="AI383">
        <v>1</v>
      </c>
      <c r="AJ383">
        <v>0</v>
      </c>
      <c r="AK383">
        <v>2025</v>
      </c>
      <c r="AL383" t="s">
        <v>224</v>
      </c>
      <c r="AM383">
        <v>227</v>
      </c>
      <c r="AN383" t="s">
        <v>172</v>
      </c>
      <c r="AO383">
        <v>0</v>
      </c>
      <c r="AP383" t="s">
        <v>79</v>
      </c>
      <c r="AQ383">
        <v>102.8</v>
      </c>
    </row>
    <row r="384" spans="1:43" x14ac:dyDescent="0.3">
      <c r="A384" s="102" t="s">
        <v>698</v>
      </c>
      <c r="B384" t="s">
        <v>137</v>
      </c>
      <c r="C384" s="93">
        <v>42630</v>
      </c>
      <c r="D384" s="93">
        <v>45527</v>
      </c>
      <c r="E384">
        <v>1</v>
      </c>
      <c r="F384" t="s">
        <v>276</v>
      </c>
      <c r="I384">
        <v>0</v>
      </c>
      <c r="J384" s="93">
        <v>45803</v>
      </c>
      <c r="K384" t="s">
        <v>131</v>
      </c>
      <c r="L384" t="s">
        <v>125</v>
      </c>
      <c r="N384" t="s">
        <v>126</v>
      </c>
      <c r="O384">
        <v>-53431</v>
      </c>
      <c r="P384" t="s">
        <v>596</v>
      </c>
      <c r="Q384" t="s">
        <v>130</v>
      </c>
      <c r="R384">
        <v>5</v>
      </c>
      <c r="S384">
        <v>49</v>
      </c>
      <c r="T384" s="93">
        <v>45839</v>
      </c>
      <c r="U384" t="s">
        <v>602</v>
      </c>
      <c r="X384">
        <v>45</v>
      </c>
      <c r="Z384">
        <v>9565.7000000000007</v>
      </c>
      <c r="AA384">
        <v>7628</v>
      </c>
      <c r="AB384" s="93">
        <v>45527</v>
      </c>
      <c r="AC384" s="93">
        <v>45926</v>
      </c>
      <c r="AD384" s="93">
        <v>45995</v>
      </c>
      <c r="AE384" t="s">
        <v>296</v>
      </c>
      <c r="AF384" t="s">
        <v>291</v>
      </c>
      <c r="AH384">
        <v>0</v>
      </c>
      <c r="AI384">
        <v>1</v>
      </c>
      <c r="AJ384">
        <v>0</v>
      </c>
      <c r="AK384">
        <v>2025</v>
      </c>
      <c r="AL384" t="s">
        <v>225</v>
      </c>
      <c r="AM384">
        <v>276</v>
      </c>
      <c r="AN384" t="s">
        <v>178</v>
      </c>
      <c r="AO384">
        <v>0</v>
      </c>
      <c r="AP384" t="s">
        <v>79</v>
      </c>
      <c r="AQ384">
        <v>104.4</v>
      </c>
    </row>
    <row r="385" spans="1:43" x14ac:dyDescent="0.3">
      <c r="A385" s="102" t="s">
        <v>698</v>
      </c>
      <c r="B385" t="s">
        <v>137</v>
      </c>
      <c r="C385" s="93">
        <v>42630</v>
      </c>
      <c r="D385" s="93">
        <v>45527</v>
      </c>
      <c r="E385">
        <v>1</v>
      </c>
      <c r="F385" t="s">
        <v>276</v>
      </c>
      <c r="I385">
        <v>0</v>
      </c>
      <c r="J385" s="93">
        <v>45850</v>
      </c>
      <c r="K385" t="s">
        <v>131</v>
      </c>
      <c r="L385" t="s">
        <v>125</v>
      </c>
      <c r="N385" t="s">
        <v>126</v>
      </c>
      <c r="O385">
        <v>-867</v>
      </c>
      <c r="P385" t="s">
        <v>596</v>
      </c>
      <c r="Q385" t="s">
        <v>130</v>
      </c>
      <c r="R385">
        <v>6</v>
      </c>
      <c r="S385">
        <v>47</v>
      </c>
      <c r="T385" s="93">
        <v>45877</v>
      </c>
      <c r="U385" t="s">
        <v>602</v>
      </c>
      <c r="X385">
        <v>45</v>
      </c>
      <c r="Z385">
        <v>9565.7000000000007</v>
      </c>
      <c r="AA385">
        <v>7628</v>
      </c>
      <c r="AB385" s="93">
        <v>45527</v>
      </c>
      <c r="AC385" s="93">
        <v>45926</v>
      </c>
      <c r="AD385" s="93">
        <v>45995</v>
      </c>
      <c r="AE385" t="s">
        <v>296</v>
      </c>
      <c r="AF385" t="s">
        <v>291</v>
      </c>
      <c r="AH385">
        <v>0</v>
      </c>
      <c r="AI385">
        <v>1</v>
      </c>
      <c r="AJ385">
        <v>0</v>
      </c>
      <c r="AK385">
        <v>2025</v>
      </c>
      <c r="AL385" t="s">
        <v>226</v>
      </c>
      <c r="AM385">
        <v>323</v>
      </c>
      <c r="AN385" t="s">
        <v>187</v>
      </c>
      <c r="AO385">
        <v>0</v>
      </c>
      <c r="AP385" t="s">
        <v>79</v>
      </c>
      <c r="AQ385">
        <v>105.9</v>
      </c>
    </row>
    <row r="386" spans="1:43" x14ac:dyDescent="0.3">
      <c r="A386" s="102" t="s">
        <v>698</v>
      </c>
      <c r="B386" t="s">
        <v>137</v>
      </c>
      <c r="C386" s="93">
        <v>42630</v>
      </c>
      <c r="D386" s="93">
        <v>45527</v>
      </c>
      <c r="E386">
        <v>1</v>
      </c>
      <c r="F386" t="s">
        <v>276</v>
      </c>
      <c r="I386">
        <v>0</v>
      </c>
      <c r="J386" s="93">
        <v>45888</v>
      </c>
      <c r="K386" t="s">
        <v>131</v>
      </c>
      <c r="L386" t="s">
        <v>125</v>
      </c>
      <c r="N386" t="s">
        <v>133</v>
      </c>
      <c r="O386">
        <v>-867</v>
      </c>
      <c r="P386" t="s">
        <v>596</v>
      </c>
      <c r="Q386" t="s">
        <v>130</v>
      </c>
      <c r="R386">
        <v>7</v>
      </c>
      <c r="S386">
        <v>38</v>
      </c>
      <c r="T386" s="93">
        <v>45923</v>
      </c>
      <c r="U386" t="s">
        <v>602</v>
      </c>
      <c r="X386">
        <v>45</v>
      </c>
      <c r="Z386">
        <v>9565.7000000000007</v>
      </c>
      <c r="AA386">
        <v>7628</v>
      </c>
      <c r="AB386" s="93">
        <v>45527</v>
      </c>
      <c r="AC386" s="93">
        <v>45926</v>
      </c>
      <c r="AD386" s="93">
        <v>45995</v>
      </c>
      <c r="AE386" t="s">
        <v>296</v>
      </c>
      <c r="AF386" t="s">
        <v>291</v>
      </c>
      <c r="AH386">
        <v>0</v>
      </c>
      <c r="AI386">
        <v>1</v>
      </c>
      <c r="AJ386">
        <v>0</v>
      </c>
      <c r="AK386">
        <v>2025</v>
      </c>
      <c r="AL386" t="s">
        <v>227</v>
      </c>
      <c r="AM386">
        <v>361</v>
      </c>
      <c r="AN386" t="s">
        <v>191</v>
      </c>
      <c r="AO386">
        <v>1</v>
      </c>
      <c r="AP386" t="s">
        <v>79</v>
      </c>
      <c r="AQ386">
        <v>107.2</v>
      </c>
    </row>
    <row r="387" spans="1:43" x14ac:dyDescent="0.3">
      <c r="A387" s="102" t="s">
        <v>871</v>
      </c>
      <c r="B387" t="s">
        <v>130</v>
      </c>
      <c r="C387" s="93">
        <v>45505</v>
      </c>
      <c r="D387" s="93"/>
      <c r="E387">
        <v>0</v>
      </c>
      <c r="J387" s="93">
        <v>45984</v>
      </c>
      <c r="K387" t="s">
        <v>131</v>
      </c>
      <c r="L387" t="s">
        <v>125</v>
      </c>
      <c r="O387" t="s">
        <v>157</v>
      </c>
      <c r="P387" t="s">
        <v>596</v>
      </c>
      <c r="Q387" t="s">
        <v>130</v>
      </c>
      <c r="R387">
        <v>1</v>
      </c>
      <c r="T387" s="93">
        <v>46014</v>
      </c>
      <c r="U387" t="s">
        <v>582</v>
      </c>
      <c r="X387">
        <v>45</v>
      </c>
      <c r="AB387" s="93"/>
      <c r="AC387" s="93"/>
      <c r="AH387">
        <v>1</v>
      </c>
      <c r="AI387">
        <v>1</v>
      </c>
      <c r="AJ387">
        <v>0</v>
      </c>
      <c r="AK387">
        <v>2025</v>
      </c>
      <c r="AL387" t="s">
        <v>230</v>
      </c>
      <c r="AO387">
        <v>1</v>
      </c>
      <c r="AP387" t="s">
        <v>80</v>
      </c>
      <c r="AQ387">
        <v>15.8</v>
      </c>
    </row>
    <row r="388" spans="1:43" x14ac:dyDescent="0.3">
      <c r="A388" s="102" t="s">
        <v>699</v>
      </c>
      <c r="B388" t="s">
        <v>137</v>
      </c>
      <c r="C388" s="93">
        <v>44127</v>
      </c>
      <c r="D388" s="93"/>
      <c r="E388">
        <v>0</v>
      </c>
      <c r="J388" s="93">
        <v>45355</v>
      </c>
      <c r="K388" t="s">
        <v>131</v>
      </c>
      <c r="L388" t="s">
        <v>125</v>
      </c>
      <c r="N388" t="s">
        <v>138</v>
      </c>
      <c r="O388" t="s">
        <v>186</v>
      </c>
      <c r="P388" t="s">
        <v>596</v>
      </c>
      <c r="Q388" t="s">
        <v>130</v>
      </c>
      <c r="R388">
        <v>1</v>
      </c>
      <c r="T388" s="93">
        <v>45386</v>
      </c>
      <c r="U388" t="s">
        <v>582</v>
      </c>
      <c r="X388">
        <v>45</v>
      </c>
      <c r="AA388">
        <v>8862</v>
      </c>
      <c r="AB388" s="93">
        <v>45636</v>
      </c>
      <c r="AC388" s="93">
        <v>45980</v>
      </c>
      <c r="AH388">
        <v>1</v>
      </c>
      <c r="AI388">
        <v>1</v>
      </c>
      <c r="AJ388">
        <v>0</v>
      </c>
      <c r="AK388">
        <v>2024</v>
      </c>
      <c r="AL388" t="s">
        <v>211</v>
      </c>
      <c r="AO388">
        <v>0</v>
      </c>
      <c r="AP388" t="s">
        <v>80</v>
      </c>
      <c r="AQ388">
        <v>40.4</v>
      </c>
    </row>
    <row r="389" spans="1:43" x14ac:dyDescent="0.3">
      <c r="A389" s="102" t="s">
        <v>699</v>
      </c>
      <c r="B389" t="s">
        <v>137</v>
      </c>
      <c r="C389" s="93">
        <v>44127</v>
      </c>
      <c r="D389" s="93">
        <v>45636</v>
      </c>
      <c r="E389">
        <v>1</v>
      </c>
      <c r="F389" t="s">
        <v>276</v>
      </c>
      <c r="G389" t="s">
        <v>601</v>
      </c>
      <c r="H389" t="s">
        <v>278</v>
      </c>
      <c r="I389">
        <v>0</v>
      </c>
      <c r="J389" s="93">
        <v>45711</v>
      </c>
      <c r="K389" t="s">
        <v>131</v>
      </c>
      <c r="L389" t="s">
        <v>125</v>
      </c>
      <c r="N389" t="s">
        <v>126</v>
      </c>
      <c r="O389">
        <v>-53431</v>
      </c>
      <c r="P389" t="s">
        <v>596</v>
      </c>
      <c r="Q389" t="s">
        <v>130</v>
      </c>
      <c r="R389">
        <v>1</v>
      </c>
      <c r="T389" s="93">
        <v>45753</v>
      </c>
      <c r="U389" t="s">
        <v>602</v>
      </c>
      <c r="X389">
        <v>45</v>
      </c>
      <c r="Z389">
        <v>9749.2639999999992</v>
      </c>
      <c r="AA389">
        <v>8862</v>
      </c>
      <c r="AB389" s="93">
        <v>45636</v>
      </c>
      <c r="AC389" s="93">
        <v>45980</v>
      </c>
      <c r="AH389">
        <v>0</v>
      </c>
      <c r="AI389">
        <v>1</v>
      </c>
      <c r="AJ389">
        <v>0</v>
      </c>
      <c r="AK389">
        <v>2025</v>
      </c>
      <c r="AL389" t="s">
        <v>222</v>
      </c>
      <c r="AM389">
        <v>75</v>
      </c>
      <c r="AN389" t="s">
        <v>140</v>
      </c>
      <c r="AO389">
        <v>0</v>
      </c>
      <c r="AP389" t="s">
        <v>79</v>
      </c>
      <c r="AQ389">
        <v>52.1</v>
      </c>
    </row>
    <row r="390" spans="1:43" x14ac:dyDescent="0.3">
      <c r="A390" s="102" t="s">
        <v>699</v>
      </c>
      <c r="B390" t="s">
        <v>137</v>
      </c>
      <c r="C390" s="93">
        <v>44127</v>
      </c>
      <c r="D390" s="93">
        <v>45636</v>
      </c>
      <c r="E390">
        <v>1</v>
      </c>
      <c r="F390" t="s">
        <v>276</v>
      </c>
      <c r="G390" t="s">
        <v>601</v>
      </c>
      <c r="H390" t="s">
        <v>278</v>
      </c>
      <c r="I390">
        <v>0</v>
      </c>
      <c r="J390" s="93">
        <v>45754</v>
      </c>
      <c r="K390" t="s">
        <v>131</v>
      </c>
      <c r="L390" t="s">
        <v>125</v>
      </c>
      <c r="N390" t="s">
        <v>126</v>
      </c>
      <c r="O390">
        <v>-53431</v>
      </c>
      <c r="P390" t="s">
        <v>596</v>
      </c>
      <c r="Q390" t="s">
        <v>130</v>
      </c>
      <c r="R390">
        <v>2</v>
      </c>
      <c r="S390">
        <v>43</v>
      </c>
      <c r="T390" s="93">
        <v>45792</v>
      </c>
      <c r="U390" t="s">
        <v>582</v>
      </c>
      <c r="X390">
        <v>45</v>
      </c>
      <c r="Z390">
        <v>9749.2639999999992</v>
      </c>
      <c r="AA390">
        <v>8862</v>
      </c>
      <c r="AB390" s="93">
        <v>45636</v>
      </c>
      <c r="AC390" s="93">
        <v>45980</v>
      </c>
      <c r="AH390">
        <v>1</v>
      </c>
      <c r="AI390">
        <v>1</v>
      </c>
      <c r="AJ390">
        <v>0</v>
      </c>
      <c r="AK390">
        <v>2025</v>
      </c>
      <c r="AL390" t="s">
        <v>224</v>
      </c>
      <c r="AM390">
        <v>118</v>
      </c>
      <c r="AN390" t="s">
        <v>150</v>
      </c>
      <c r="AO390">
        <v>0</v>
      </c>
      <c r="AP390" t="s">
        <v>79</v>
      </c>
      <c r="AQ390">
        <v>53.5</v>
      </c>
    </row>
    <row r="391" spans="1:43" x14ac:dyDescent="0.3">
      <c r="A391" s="102" t="s">
        <v>699</v>
      </c>
      <c r="B391" t="s">
        <v>137</v>
      </c>
      <c r="C391" s="93">
        <v>44127</v>
      </c>
      <c r="D391" s="93">
        <v>45982</v>
      </c>
      <c r="E391">
        <v>2</v>
      </c>
      <c r="F391" t="s">
        <v>276</v>
      </c>
      <c r="G391" t="s">
        <v>601</v>
      </c>
      <c r="H391" t="s">
        <v>278</v>
      </c>
      <c r="I391">
        <v>0</v>
      </c>
      <c r="J391" s="93">
        <v>46069</v>
      </c>
      <c r="K391" t="s">
        <v>131</v>
      </c>
      <c r="L391" t="s">
        <v>132</v>
      </c>
      <c r="M391" t="s">
        <v>593</v>
      </c>
      <c r="N391" t="s">
        <v>133</v>
      </c>
      <c r="O391" t="s">
        <v>139</v>
      </c>
      <c r="P391" t="s">
        <v>596</v>
      </c>
      <c r="Q391" t="s">
        <v>130</v>
      </c>
      <c r="R391">
        <v>1</v>
      </c>
      <c r="T391" s="93">
        <v>46101</v>
      </c>
      <c r="U391" t="s">
        <v>602</v>
      </c>
      <c r="X391">
        <v>45</v>
      </c>
      <c r="Z391">
        <v>5226</v>
      </c>
      <c r="AA391">
        <v>8862</v>
      </c>
      <c r="AB391" s="93">
        <v>45636</v>
      </c>
      <c r="AC391" s="93">
        <v>45980</v>
      </c>
      <c r="AH391">
        <v>0</v>
      </c>
      <c r="AI391">
        <v>1</v>
      </c>
      <c r="AJ391">
        <v>0</v>
      </c>
      <c r="AK391">
        <v>2026</v>
      </c>
      <c r="AL391" t="s">
        <v>233</v>
      </c>
      <c r="AM391">
        <v>87</v>
      </c>
      <c r="AN391" t="s">
        <v>145</v>
      </c>
      <c r="AO391">
        <v>0</v>
      </c>
      <c r="AP391" t="s">
        <v>79</v>
      </c>
      <c r="AQ391">
        <v>63.9</v>
      </c>
    </row>
    <row r="392" spans="1:43" x14ac:dyDescent="0.3">
      <c r="A392" s="102" t="s">
        <v>699</v>
      </c>
      <c r="B392" t="s">
        <v>137</v>
      </c>
      <c r="C392" s="93">
        <v>44127</v>
      </c>
      <c r="D392" s="93">
        <v>45982</v>
      </c>
      <c r="E392">
        <v>2</v>
      </c>
      <c r="F392" t="s">
        <v>276</v>
      </c>
      <c r="G392" t="s">
        <v>601</v>
      </c>
      <c r="H392" t="s">
        <v>278</v>
      </c>
      <c r="I392">
        <v>0</v>
      </c>
      <c r="J392" s="93">
        <v>46112</v>
      </c>
      <c r="K392" t="s">
        <v>131</v>
      </c>
      <c r="L392" t="s">
        <v>132</v>
      </c>
      <c r="M392" t="s">
        <v>593</v>
      </c>
      <c r="N392" t="s">
        <v>133</v>
      </c>
      <c r="O392" t="s">
        <v>139</v>
      </c>
      <c r="P392" t="s">
        <v>596</v>
      </c>
      <c r="Q392" t="s">
        <v>130</v>
      </c>
      <c r="R392">
        <v>2</v>
      </c>
      <c r="S392">
        <v>43</v>
      </c>
      <c r="T392" s="93">
        <v>46133</v>
      </c>
      <c r="U392" t="s">
        <v>602</v>
      </c>
      <c r="X392">
        <v>45</v>
      </c>
      <c r="Z392">
        <v>5226</v>
      </c>
      <c r="AA392">
        <v>8862</v>
      </c>
      <c r="AB392" s="93">
        <v>45636</v>
      </c>
      <c r="AC392" s="93">
        <v>45980</v>
      </c>
      <c r="AD392" s="93"/>
      <c r="AH392">
        <v>0</v>
      </c>
      <c r="AI392">
        <v>1</v>
      </c>
      <c r="AJ392">
        <v>0</v>
      </c>
      <c r="AK392">
        <v>2026</v>
      </c>
      <c r="AL392" t="s">
        <v>234</v>
      </c>
      <c r="AM392">
        <v>130</v>
      </c>
      <c r="AN392" t="s">
        <v>155</v>
      </c>
      <c r="AO392">
        <v>0</v>
      </c>
      <c r="AP392" t="s">
        <v>79</v>
      </c>
      <c r="AQ392">
        <v>65.3</v>
      </c>
    </row>
    <row r="393" spans="1:43" x14ac:dyDescent="0.3">
      <c r="A393" s="102" t="s">
        <v>699</v>
      </c>
      <c r="B393" t="s">
        <v>137</v>
      </c>
      <c r="C393" s="93">
        <v>44127</v>
      </c>
      <c r="D393" s="93">
        <v>45982</v>
      </c>
      <c r="E393">
        <v>2</v>
      </c>
      <c r="F393" t="s">
        <v>276</v>
      </c>
      <c r="G393" t="s">
        <v>601</v>
      </c>
      <c r="H393" t="s">
        <v>278</v>
      </c>
      <c r="I393">
        <v>0</v>
      </c>
      <c r="J393" s="93">
        <v>46133</v>
      </c>
      <c r="K393" t="s">
        <v>131</v>
      </c>
      <c r="L393" t="s">
        <v>125</v>
      </c>
      <c r="N393" t="s">
        <v>133</v>
      </c>
      <c r="O393" t="s">
        <v>139</v>
      </c>
      <c r="P393" t="s">
        <v>596</v>
      </c>
      <c r="Q393" t="s">
        <v>130</v>
      </c>
      <c r="R393">
        <v>3</v>
      </c>
      <c r="S393">
        <v>21</v>
      </c>
      <c r="T393" s="93">
        <v>46164</v>
      </c>
      <c r="U393" t="s">
        <v>582</v>
      </c>
      <c r="X393">
        <v>45</v>
      </c>
      <c r="Z393">
        <v>5226</v>
      </c>
      <c r="AA393">
        <v>8862</v>
      </c>
      <c r="AB393" s="93">
        <v>45636</v>
      </c>
      <c r="AC393" s="93">
        <v>45980</v>
      </c>
      <c r="AD393" s="93"/>
      <c r="AH393">
        <v>1</v>
      </c>
      <c r="AI393">
        <v>1</v>
      </c>
      <c r="AJ393">
        <v>0</v>
      </c>
      <c r="AK393">
        <v>2026</v>
      </c>
      <c r="AL393" t="s">
        <v>235</v>
      </c>
      <c r="AM393">
        <v>151</v>
      </c>
      <c r="AN393" t="s">
        <v>158</v>
      </c>
      <c r="AO393">
        <v>1</v>
      </c>
      <c r="AP393" t="s">
        <v>79</v>
      </c>
      <c r="AQ393">
        <v>66</v>
      </c>
    </row>
    <row r="394" spans="1:43" x14ac:dyDescent="0.3">
      <c r="A394" s="102" t="s">
        <v>700</v>
      </c>
      <c r="B394" t="s">
        <v>137</v>
      </c>
      <c r="C394" s="93">
        <v>41973</v>
      </c>
      <c r="D394" s="93"/>
      <c r="E394">
        <v>0</v>
      </c>
      <c r="J394" s="93">
        <v>45251</v>
      </c>
      <c r="K394" t="s">
        <v>131</v>
      </c>
      <c r="L394" t="s">
        <v>125</v>
      </c>
      <c r="N394" t="s">
        <v>138</v>
      </c>
      <c r="O394" t="s">
        <v>186</v>
      </c>
      <c r="P394" t="s">
        <v>596</v>
      </c>
      <c r="Q394" t="s">
        <v>130</v>
      </c>
      <c r="R394">
        <v>1</v>
      </c>
      <c r="T394" s="93">
        <v>45302</v>
      </c>
      <c r="U394" t="s">
        <v>582</v>
      </c>
      <c r="X394">
        <v>45</v>
      </c>
      <c r="AA394">
        <v>7272</v>
      </c>
      <c r="AB394" s="93">
        <v>45527</v>
      </c>
      <c r="AC394" s="93">
        <v>45981</v>
      </c>
      <c r="AD394" s="93">
        <v>46019</v>
      </c>
      <c r="AE394" t="s">
        <v>297</v>
      </c>
      <c r="AF394" t="s">
        <v>284</v>
      </c>
      <c r="AH394">
        <v>1</v>
      </c>
      <c r="AI394">
        <v>1</v>
      </c>
      <c r="AJ394">
        <v>0</v>
      </c>
      <c r="AK394">
        <v>2023</v>
      </c>
      <c r="AL394" t="s">
        <v>207</v>
      </c>
      <c r="AO394">
        <v>0</v>
      </c>
      <c r="AP394" t="s">
        <v>80</v>
      </c>
      <c r="AQ394">
        <v>107.8</v>
      </c>
    </row>
    <row r="395" spans="1:43" x14ac:dyDescent="0.3">
      <c r="A395" s="102" t="s">
        <v>700</v>
      </c>
      <c r="B395" t="s">
        <v>137</v>
      </c>
      <c r="C395" s="93">
        <v>41973</v>
      </c>
      <c r="D395" s="93">
        <v>45527</v>
      </c>
      <c r="E395">
        <v>1</v>
      </c>
      <c r="F395" t="s">
        <v>276</v>
      </c>
      <c r="I395">
        <v>0</v>
      </c>
      <c r="J395" s="93">
        <v>45582</v>
      </c>
      <c r="K395" t="s">
        <v>131</v>
      </c>
      <c r="L395" t="s">
        <v>125</v>
      </c>
      <c r="N395" t="s">
        <v>126</v>
      </c>
      <c r="O395" t="s">
        <v>175</v>
      </c>
      <c r="P395" t="s">
        <v>596</v>
      </c>
      <c r="Q395" t="s">
        <v>130</v>
      </c>
      <c r="R395">
        <v>1</v>
      </c>
      <c r="T395" s="93">
        <v>45645</v>
      </c>
      <c r="U395" t="s">
        <v>602</v>
      </c>
      <c r="X395">
        <v>45</v>
      </c>
      <c r="Z395">
        <v>9330.7000000000007</v>
      </c>
      <c r="AA395">
        <v>7272</v>
      </c>
      <c r="AB395" s="93">
        <v>45527</v>
      </c>
      <c r="AC395" s="93">
        <v>45981</v>
      </c>
      <c r="AD395" s="93">
        <v>46019</v>
      </c>
      <c r="AE395" t="s">
        <v>297</v>
      </c>
      <c r="AF395" t="s">
        <v>284</v>
      </c>
      <c r="AH395">
        <v>0</v>
      </c>
      <c r="AI395">
        <v>1</v>
      </c>
      <c r="AJ395">
        <v>0</v>
      </c>
      <c r="AK395">
        <v>2024</v>
      </c>
      <c r="AL395" t="s">
        <v>218</v>
      </c>
      <c r="AM395">
        <v>55</v>
      </c>
      <c r="AN395" t="s">
        <v>135</v>
      </c>
      <c r="AO395">
        <v>0</v>
      </c>
      <c r="AP395" t="s">
        <v>79</v>
      </c>
      <c r="AQ395">
        <v>118.7</v>
      </c>
    </row>
    <row r="396" spans="1:43" x14ac:dyDescent="0.3">
      <c r="A396" s="102" t="s">
        <v>700</v>
      </c>
      <c r="B396" t="s">
        <v>137</v>
      </c>
      <c r="C396" s="93">
        <v>41973</v>
      </c>
      <c r="D396" s="93">
        <v>45527</v>
      </c>
      <c r="E396">
        <v>1</v>
      </c>
      <c r="F396" t="s">
        <v>276</v>
      </c>
      <c r="I396">
        <v>0</v>
      </c>
      <c r="J396" s="93">
        <v>45656</v>
      </c>
      <c r="K396" t="s">
        <v>131</v>
      </c>
      <c r="L396" t="s">
        <v>125</v>
      </c>
      <c r="N396" t="s">
        <v>126</v>
      </c>
      <c r="O396" t="s">
        <v>175</v>
      </c>
      <c r="P396" t="s">
        <v>596</v>
      </c>
      <c r="Q396" t="s">
        <v>130</v>
      </c>
      <c r="R396">
        <v>2</v>
      </c>
      <c r="S396">
        <v>74</v>
      </c>
      <c r="T396" s="93">
        <v>45698</v>
      </c>
      <c r="U396" t="s">
        <v>602</v>
      </c>
      <c r="X396">
        <v>45</v>
      </c>
      <c r="Z396">
        <v>9330.7000000000007</v>
      </c>
      <c r="AA396">
        <v>7272</v>
      </c>
      <c r="AB396" s="93">
        <v>45527</v>
      </c>
      <c r="AC396" s="93">
        <v>45981</v>
      </c>
      <c r="AD396" s="93">
        <v>46019</v>
      </c>
      <c r="AE396" t="s">
        <v>297</v>
      </c>
      <c r="AF396" t="s">
        <v>284</v>
      </c>
      <c r="AH396">
        <v>0</v>
      </c>
      <c r="AI396">
        <v>1</v>
      </c>
      <c r="AJ396">
        <v>0</v>
      </c>
      <c r="AK396">
        <v>2024</v>
      </c>
      <c r="AL396" t="s">
        <v>220</v>
      </c>
      <c r="AM396">
        <v>129</v>
      </c>
      <c r="AN396" t="s">
        <v>155</v>
      </c>
      <c r="AO396">
        <v>0</v>
      </c>
      <c r="AP396" t="s">
        <v>79</v>
      </c>
      <c r="AQ396">
        <v>121.2</v>
      </c>
    </row>
    <row r="397" spans="1:43" x14ac:dyDescent="0.3">
      <c r="A397" s="102" t="s">
        <v>700</v>
      </c>
      <c r="B397" t="s">
        <v>137</v>
      </c>
      <c r="C397" s="93">
        <v>41973</v>
      </c>
      <c r="D397" s="93">
        <v>45527</v>
      </c>
      <c r="E397">
        <v>1</v>
      </c>
      <c r="F397" t="s">
        <v>276</v>
      </c>
      <c r="I397">
        <v>0</v>
      </c>
      <c r="J397" s="93">
        <v>45711</v>
      </c>
      <c r="K397" t="s">
        <v>131</v>
      </c>
      <c r="L397" t="s">
        <v>125</v>
      </c>
      <c r="N397" t="s">
        <v>126</v>
      </c>
      <c r="O397">
        <v>-53431</v>
      </c>
      <c r="P397" t="s">
        <v>596</v>
      </c>
      <c r="Q397" t="s">
        <v>130</v>
      </c>
      <c r="R397">
        <v>3</v>
      </c>
      <c r="S397">
        <v>55</v>
      </c>
      <c r="T397" s="93">
        <v>45753</v>
      </c>
      <c r="U397" t="s">
        <v>602</v>
      </c>
      <c r="X397">
        <v>45</v>
      </c>
      <c r="Z397">
        <v>9330.7000000000007</v>
      </c>
      <c r="AA397">
        <v>7272</v>
      </c>
      <c r="AB397" s="93">
        <v>45527</v>
      </c>
      <c r="AC397" s="93">
        <v>45981</v>
      </c>
      <c r="AD397" s="93">
        <v>46019</v>
      </c>
      <c r="AE397" t="s">
        <v>297</v>
      </c>
      <c r="AF397" t="s">
        <v>284</v>
      </c>
      <c r="AH397">
        <v>0</v>
      </c>
      <c r="AI397">
        <v>1</v>
      </c>
      <c r="AJ397">
        <v>0</v>
      </c>
      <c r="AK397">
        <v>2025</v>
      </c>
      <c r="AL397" t="s">
        <v>222</v>
      </c>
      <c r="AM397">
        <v>184</v>
      </c>
      <c r="AN397" t="s">
        <v>160</v>
      </c>
      <c r="AO397">
        <v>0</v>
      </c>
      <c r="AP397" t="s">
        <v>79</v>
      </c>
      <c r="AQ397">
        <v>123</v>
      </c>
    </row>
    <row r="398" spans="1:43" x14ac:dyDescent="0.3">
      <c r="A398" s="102" t="s">
        <v>700</v>
      </c>
      <c r="B398" t="s">
        <v>137</v>
      </c>
      <c r="C398" s="93">
        <v>41973</v>
      </c>
      <c r="D398" s="93">
        <v>45527</v>
      </c>
      <c r="E398">
        <v>1</v>
      </c>
      <c r="F398" t="s">
        <v>276</v>
      </c>
      <c r="I398">
        <v>0</v>
      </c>
      <c r="J398" s="93">
        <v>45754</v>
      </c>
      <c r="K398" t="s">
        <v>131</v>
      </c>
      <c r="L398" t="s">
        <v>125</v>
      </c>
      <c r="N398" t="s">
        <v>126</v>
      </c>
      <c r="O398">
        <v>-53431</v>
      </c>
      <c r="P398" t="s">
        <v>596</v>
      </c>
      <c r="Q398" t="s">
        <v>130</v>
      </c>
      <c r="R398">
        <v>4</v>
      </c>
      <c r="S398">
        <v>43</v>
      </c>
      <c r="T398" s="93">
        <v>45792</v>
      </c>
      <c r="U398" t="s">
        <v>602</v>
      </c>
      <c r="X398">
        <v>45</v>
      </c>
      <c r="Z398">
        <v>9330.7000000000007</v>
      </c>
      <c r="AA398">
        <v>7272</v>
      </c>
      <c r="AB398" s="93">
        <v>45527</v>
      </c>
      <c r="AC398" s="93">
        <v>45981</v>
      </c>
      <c r="AD398" s="93">
        <v>46019</v>
      </c>
      <c r="AE398" t="s">
        <v>297</v>
      </c>
      <c r="AF398" t="s">
        <v>284</v>
      </c>
      <c r="AH398">
        <v>0</v>
      </c>
      <c r="AI398">
        <v>1</v>
      </c>
      <c r="AJ398">
        <v>0</v>
      </c>
      <c r="AK398">
        <v>2025</v>
      </c>
      <c r="AL398" t="s">
        <v>224</v>
      </c>
      <c r="AM398">
        <v>227</v>
      </c>
      <c r="AN398" t="s">
        <v>172</v>
      </c>
      <c r="AO398">
        <v>0</v>
      </c>
      <c r="AP398" t="s">
        <v>79</v>
      </c>
      <c r="AQ398">
        <v>124.4</v>
      </c>
    </row>
    <row r="399" spans="1:43" x14ac:dyDescent="0.3">
      <c r="A399" s="102" t="s">
        <v>700</v>
      </c>
      <c r="B399" t="s">
        <v>137</v>
      </c>
      <c r="C399" s="93">
        <v>41973</v>
      </c>
      <c r="D399" s="93">
        <v>45527</v>
      </c>
      <c r="E399">
        <v>1</v>
      </c>
      <c r="F399" t="s">
        <v>276</v>
      </c>
      <c r="I399">
        <v>0</v>
      </c>
      <c r="J399" s="93">
        <v>45803</v>
      </c>
      <c r="K399" t="s">
        <v>131</v>
      </c>
      <c r="L399" t="s">
        <v>125</v>
      </c>
      <c r="N399" t="s">
        <v>126</v>
      </c>
      <c r="O399">
        <v>-53431</v>
      </c>
      <c r="P399" t="s">
        <v>596</v>
      </c>
      <c r="Q399" t="s">
        <v>130</v>
      </c>
      <c r="R399">
        <v>5</v>
      </c>
      <c r="S399">
        <v>49</v>
      </c>
      <c r="T399" s="93">
        <v>45839</v>
      </c>
      <c r="U399" t="s">
        <v>602</v>
      </c>
      <c r="X399">
        <v>45</v>
      </c>
      <c r="Z399">
        <v>9330.7000000000007</v>
      </c>
      <c r="AA399">
        <v>7272</v>
      </c>
      <c r="AB399" s="93">
        <v>45527</v>
      </c>
      <c r="AC399" s="93">
        <v>45981</v>
      </c>
      <c r="AD399" s="93">
        <v>46019</v>
      </c>
      <c r="AE399" t="s">
        <v>297</v>
      </c>
      <c r="AF399" t="s">
        <v>284</v>
      </c>
      <c r="AH399">
        <v>0</v>
      </c>
      <c r="AI399">
        <v>1</v>
      </c>
      <c r="AJ399">
        <v>0</v>
      </c>
      <c r="AK399">
        <v>2025</v>
      </c>
      <c r="AL399" t="s">
        <v>225</v>
      </c>
      <c r="AM399">
        <v>276</v>
      </c>
      <c r="AN399" t="s">
        <v>178</v>
      </c>
      <c r="AO399">
        <v>0</v>
      </c>
      <c r="AP399" t="s">
        <v>79</v>
      </c>
      <c r="AQ399">
        <v>126</v>
      </c>
    </row>
    <row r="400" spans="1:43" x14ac:dyDescent="0.3">
      <c r="A400" s="102" t="s">
        <v>700</v>
      </c>
      <c r="B400" t="s">
        <v>137</v>
      </c>
      <c r="C400" s="93">
        <v>41973</v>
      </c>
      <c r="D400" s="93">
        <v>45527</v>
      </c>
      <c r="E400">
        <v>1</v>
      </c>
      <c r="F400" t="s">
        <v>276</v>
      </c>
      <c r="I400">
        <v>0</v>
      </c>
      <c r="J400" s="93">
        <v>45850</v>
      </c>
      <c r="K400" t="s">
        <v>131</v>
      </c>
      <c r="L400" t="s">
        <v>125</v>
      </c>
      <c r="N400" t="s">
        <v>126</v>
      </c>
      <c r="O400">
        <v>-867</v>
      </c>
      <c r="P400" t="s">
        <v>596</v>
      </c>
      <c r="Q400" t="s">
        <v>130</v>
      </c>
      <c r="R400">
        <v>6</v>
      </c>
      <c r="S400">
        <v>47</v>
      </c>
      <c r="T400" s="93">
        <v>45877</v>
      </c>
      <c r="U400" t="s">
        <v>602</v>
      </c>
      <c r="X400">
        <v>45</v>
      </c>
      <c r="Z400">
        <v>9330.7000000000007</v>
      </c>
      <c r="AA400">
        <v>7272</v>
      </c>
      <c r="AB400" s="93">
        <v>45527</v>
      </c>
      <c r="AC400" s="93">
        <v>45981</v>
      </c>
      <c r="AD400" s="93">
        <v>46019</v>
      </c>
      <c r="AE400" t="s">
        <v>297</v>
      </c>
      <c r="AF400" t="s">
        <v>284</v>
      </c>
      <c r="AH400">
        <v>0</v>
      </c>
      <c r="AI400">
        <v>1</v>
      </c>
      <c r="AJ400">
        <v>0</v>
      </c>
      <c r="AK400">
        <v>2025</v>
      </c>
      <c r="AL400" t="s">
        <v>226</v>
      </c>
      <c r="AM400">
        <v>323</v>
      </c>
      <c r="AN400" t="s">
        <v>187</v>
      </c>
      <c r="AO400">
        <v>0</v>
      </c>
      <c r="AP400" t="s">
        <v>79</v>
      </c>
      <c r="AQ400">
        <v>127.5</v>
      </c>
    </row>
    <row r="401" spans="1:43" x14ac:dyDescent="0.3">
      <c r="A401" s="102" t="s">
        <v>700</v>
      </c>
      <c r="B401" t="s">
        <v>137</v>
      </c>
      <c r="C401" s="93">
        <v>41973</v>
      </c>
      <c r="D401" s="93">
        <v>45527</v>
      </c>
      <c r="E401">
        <v>1</v>
      </c>
      <c r="F401" t="s">
        <v>276</v>
      </c>
      <c r="I401">
        <v>0</v>
      </c>
      <c r="J401" s="93">
        <v>45888</v>
      </c>
      <c r="K401" t="s">
        <v>131</v>
      </c>
      <c r="L401" t="s">
        <v>125</v>
      </c>
      <c r="N401" t="s">
        <v>133</v>
      </c>
      <c r="O401">
        <v>-867</v>
      </c>
      <c r="P401" t="s">
        <v>596</v>
      </c>
      <c r="Q401" t="s">
        <v>130</v>
      </c>
      <c r="R401">
        <v>7</v>
      </c>
      <c r="S401">
        <v>38</v>
      </c>
      <c r="T401" s="93">
        <v>45923</v>
      </c>
      <c r="U401" t="s">
        <v>602</v>
      </c>
      <c r="X401">
        <v>45</v>
      </c>
      <c r="Z401">
        <v>9330.7000000000007</v>
      </c>
      <c r="AA401">
        <v>7272</v>
      </c>
      <c r="AB401" s="93">
        <v>45527</v>
      </c>
      <c r="AC401" s="93">
        <v>45981</v>
      </c>
      <c r="AD401" s="93">
        <v>46019</v>
      </c>
      <c r="AE401" t="s">
        <v>297</v>
      </c>
      <c r="AF401" t="s">
        <v>284</v>
      </c>
      <c r="AH401">
        <v>0</v>
      </c>
      <c r="AI401">
        <v>1</v>
      </c>
      <c r="AJ401">
        <v>0</v>
      </c>
      <c r="AK401">
        <v>2025</v>
      </c>
      <c r="AL401" t="s">
        <v>227</v>
      </c>
      <c r="AM401">
        <v>361</v>
      </c>
      <c r="AN401" t="s">
        <v>191</v>
      </c>
      <c r="AO401">
        <v>0</v>
      </c>
      <c r="AP401" t="s">
        <v>79</v>
      </c>
      <c r="AQ401">
        <v>128.80000000000001</v>
      </c>
    </row>
    <row r="402" spans="1:43" x14ac:dyDescent="0.3">
      <c r="A402" s="102" t="s">
        <v>700</v>
      </c>
      <c r="B402" t="s">
        <v>137</v>
      </c>
      <c r="C402" s="93">
        <v>41973</v>
      </c>
      <c r="D402" s="93">
        <v>45527</v>
      </c>
      <c r="E402">
        <v>1</v>
      </c>
      <c r="F402" t="s">
        <v>276</v>
      </c>
      <c r="I402">
        <v>0</v>
      </c>
      <c r="J402" s="93">
        <v>45934</v>
      </c>
      <c r="K402" t="s">
        <v>131</v>
      </c>
      <c r="L402" t="s">
        <v>125</v>
      </c>
      <c r="N402" t="s">
        <v>133</v>
      </c>
      <c r="O402" t="s">
        <v>139</v>
      </c>
      <c r="P402" t="s">
        <v>596</v>
      </c>
      <c r="Q402" t="s">
        <v>130</v>
      </c>
      <c r="R402">
        <v>8</v>
      </c>
      <c r="S402">
        <v>46</v>
      </c>
      <c r="T402" s="93">
        <v>45968</v>
      </c>
      <c r="U402" t="s">
        <v>602</v>
      </c>
      <c r="X402">
        <v>45</v>
      </c>
      <c r="Z402">
        <v>9330.7000000000007</v>
      </c>
      <c r="AA402">
        <v>7272</v>
      </c>
      <c r="AB402" s="93">
        <v>45527</v>
      </c>
      <c r="AC402" s="93">
        <v>45981</v>
      </c>
      <c r="AD402" s="93">
        <v>46019</v>
      </c>
      <c r="AE402" t="s">
        <v>297</v>
      </c>
      <c r="AF402" t="s">
        <v>284</v>
      </c>
      <c r="AH402">
        <v>0</v>
      </c>
      <c r="AI402">
        <v>1</v>
      </c>
      <c r="AJ402">
        <v>0</v>
      </c>
      <c r="AK402">
        <v>2025</v>
      </c>
      <c r="AL402" t="s">
        <v>229</v>
      </c>
      <c r="AM402">
        <v>407</v>
      </c>
      <c r="AN402" t="s">
        <v>195</v>
      </c>
      <c r="AO402">
        <v>1</v>
      </c>
      <c r="AP402" t="s">
        <v>79</v>
      </c>
      <c r="AQ402">
        <v>130.30000000000001</v>
      </c>
    </row>
    <row r="403" spans="1:43" x14ac:dyDescent="0.3">
      <c r="A403" s="102" t="s">
        <v>701</v>
      </c>
      <c r="B403" t="s">
        <v>137</v>
      </c>
      <c r="C403" s="93">
        <v>42077</v>
      </c>
      <c r="E403">
        <v>0</v>
      </c>
      <c r="J403" s="93">
        <v>45313</v>
      </c>
      <c r="K403" t="s">
        <v>131</v>
      </c>
      <c r="L403" t="s">
        <v>125</v>
      </c>
      <c r="N403" t="s">
        <v>138</v>
      </c>
      <c r="O403" t="s">
        <v>186</v>
      </c>
      <c r="P403" t="s">
        <v>596</v>
      </c>
      <c r="Q403" t="s">
        <v>130</v>
      </c>
      <c r="R403">
        <v>1</v>
      </c>
      <c r="T403" s="93">
        <v>45344</v>
      </c>
      <c r="U403" t="s">
        <v>602</v>
      </c>
      <c r="X403">
        <v>45</v>
      </c>
      <c r="AA403">
        <v>2163.5410000000002</v>
      </c>
      <c r="AB403" s="93">
        <v>45754</v>
      </c>
      <c r="AC403" s="93">
        <v>45918</v>
      </c>
      <c r="AD403" s="93">
        <v>45995</v>
      </c>
      <c r="AE403" t="s">
        <v>296</v>
      </c>
      <c r="AF403" t="s">
        <v>292</v>
      </c>
      <c r="AH403">
        <v>0</v>
      </c>
      <c r="AI403">
        <v>1</v>
      </c>
      <c r="AJ403">
        <v>0</v>
      </c>
      <c r="AK403">
        <v>2024</v>
      </c>
      <c r="AL403" t="s">
        <v>209</v>
      </c>
      <c r="AO403">
        <v>0</v>
      </c>
      <c r="AP403" t="s">
        <v>80</v>
      </c>
      <c r="AQ403">
        <v>106.4</v>
      </c>
    </row>
    <row r="404" spans="1:43" x14ac:dyDescent="0.3">
      <c r="A404" s="102" t="s">
        <v>701</v>
      </c>
      <c r="B404" t="s">
        <v>137</v>
      </c>
      <c r="C404" s="93">
        <v>42077</v>
      </c>
      <c r="E404">
        <v>0</v>
      </c>
      <c r="J404" s="93">
        <v>45355</v>
      </c>
      <c r="K404" t="s">
        <v>131</v>
      </c>
      <c r="L404" t="s">
        <v>125</v>
      </c>
      <c r="N404" t="s">
        <v>138</v>
      </c>
      <c r="O404" t="s">
        <v>186</v>
      </c>
      <c r="P404" t="s">
        <v>596</v>
      </c>
      <c r="Q404" t="s">
        <v>130</v>
      </c>
      <c r="R404">
        <v>2</v>
      </c>
      <c r="S404">
        <v>42</v>
      </c>
      <c r="T404" s="93">
        <v>45386</v>
      </c>
      <c r="U404" t="s">
        <v>602</v>
      </c>
      <c r="X404">
        <v>45</v>
      </c>
      <c r="AA404">
        <v>2163.5410000000002</v>
      </c>
      <c r="AB404" s="93">
        <v>45754</v>
      </c>
      <c r="AC404" s="93">
        <v>45918</v>
      </c>
      <c r="AD404" s="93">
        <v>45995</v>
      </c>
      <c r="AE404" t="s">
        <v>296</v>
      </c>
      <c r="AF404" t="s">
        <v>292</v>
      </c>
      <c r="AH404">
        <v>0</v>
      </c>
      <c r="AI404">
        <v>1</v>
      </c>
      <c r="AJ404">
        <v>0</v>
      </c>
      <c r="AK404">
        <v>2024</v>
      </c>
      <c r="AL404" t="s">
        <v>211</v>
      </c>
      <c r="AO404">
        <v>0</v>
      </c>
      <c r="AP404" t="s">
        <v>80</v>
      </c>
      <c r="AQ404">
        <v>107.8</v>
      </c>
    </row>
    <row r="405" spans="1:43" x14ac:dyDescent="0.3">
      <c r="A405" s="102" t="s">
        <v>701</v>
      </c>
      <c r="B405" t="s">
        <v>137</v>
      </c>
      <c r="C405" s="93">
        <v>42077</v>
      </c>
      <c r="E405">
        <v>0</v>
      </c>
      <c r="J405" s="93">
        <v>45397</v>
      </c>
      <c r="K405" t="s">
        <v>131</v>
      </c>
      <c r="L405" t="s">
        <v>125</v>
      </c>
      <c r="N405" t="s">
        <v>138</v>
      </c>
      <c r="O405" t="s">
        <v>186</v>
      </c>
      <c r="P405" t="s">
        <v>596</v>
      </c>
      <c r="Q405" t="s">
        <v>130</v>
      </c>
      <c r="R405">
        <v>3</v>
      </c>
      <c r="S405">
        <v>42</v>
      </c>
      <c r="T405" s="93">
        <v>45449</v>
      </c>
      <c r="U405" t="s">
        <v>602</v>
      </c>
      <c r="X405">
        <v>45</v>
      </c>
      <c r="AA405">
        <v>2163.5410000000002</v>
      </c>
      <c r="AB405" s="93">
        <v>45754</v>
      </c>
      <c r="AC405" s="93">
        <v>45918</v>
      </c>
      <c r="AD405" s="93">
        <v>45995</v>
      </c>
      <c r="AE405" t="s">
        <v>296</v>
      </c>
      <c r="AF405" t="s">
        <v>292</v>
      </c>
      <c r="AH405">
        <v>0</v>
      </c>
      <c r="AI405">
        <v>1</v>
      </c>
      <c r="AJ405">
        <v>0</v>
      </c>
      <c r="AK405">
        <v>2024</v>
      </c>
      <c r="AL405" t="s">
        <v>212</v>
      </c>
      <c r="AO405">
        <v>0</v>
      </c>
      <c r="AP405" t="s">
        <v>80</v>
      </c>
      <c r="AQ405">
        <v>109.2</v>
      </c>
    </row>
    <row r="406" spans="1:43" x14ac:dyDescent="0.3">
      <c r="A406" s="102" t="s">
        <v>701</v>
      </c>
      <c r="B406" t="s">
        <v>137</v>
      </c>
      <c r="C406" s="93">
        <v>42077</v>
      </c>
      <c r="E406">
        <v>0</v>
      </c>
      <c r="J406" s="93">
        <v>45460</v>
      </c>
      <c r="K406" t="s">
        <v>131</v>
      </c>
      <c r="L406" t="s">
        <v>125</v>
      </c>
      <c r="N406" t="s">
        <v>138</v>
      </c>
      <c r="O406" t="s">
        <v>186</v>
      </c>
      <c r="P406" t="s">
        <v>596</v>
      </c>
      <c r="Q406" t="s">
        <v>130</v>
      </c>
      <c r="R406">
        <v>4</v>
      </c>
      <c r="S406">
        <v>63</v>
      </c>
      <c r="T406" s="93">
        <v>45482</v>
      </c>
      <c r="U406" t="s">
        <v>602</v>
      </c>
      <c r="X406">
        <v>45</v>
      </c>
      <c r="AA406">
        <v>2163.5410000000002</v>
      </c>
      <c r="AB406" s="93">
        <v>45754</v>
      </c>
      <c r="AC406" s="93">
        <v>45918</v>
      </c>
      <c r="AD406" s="93">
        <v>45995</v>
      </c>
      <c r="AE406" t="s">
        <v>296</v>
      </c>
      <c r="AF406" t="s">
        <v>292</v>
      </c>
      <c r="AH406">
        <v>0</v>
      </c>
      <c r="AI406">
        <v>1</v>
      </c>
      <c r="AJ406">
        <v>0</v>
      </c>
      <c r="AK406">
        <v>2024</v>
      </c>
      <c r="AL406" t="s">
        <v>214</v>
      </c>
      <c r="AO406">
        <v>0</v>
      </c>
      <c r="AP406" t="s">
        <v>80</v>
      </c>
      <c r="AQ406">
        <v>111.3</v>
      </c>
    </row>
    <row r="407" spans="1:43" x14ac:dyDescent="0.3">
      <c r="A407" s="102" t="s">
        <v>701</v>
      </c>
      <c r="B407" t="s">
        <v>137</v>
      </c>
      <c r="C407" s="93">
        <v>42077</v>
      </c>
      <c r="D407" s="93"/>
      <c r="E407">
        <v>0</v>
      </c>
      <c r="J407" s="93">
        <v>45483</v>
      </c>
      <c r="K407" t="s">
        <v>131</v>
      </c>
      <c r="L407" t="s">
        <v>125</v>
      </c>
      <c r="N407" t="s">
        <v>138</v>
      </c>
      <c r="O407" t="s">
        <v>186</v>
      </c>
      <c r="P407" t="s">
        <v>596</v>
      </c>
      <c r="Q407" t="s">
        <v>130</v>
      </c>
      <c r="R407">
        <v>5</v>
      </c>
      <c r="S407">
        <v>23</v>
      </c>
      <c r="T407" s="93">
        <v>45519</v>
      </c>
      <c r="U407" t="s">
        <v>582</v>
      </c>
      <c r="X407">
        <v>45</v>
      </c>
      <c r="AA407">
        <v>2163.5410000000002</v>
      </c>
      <c r="AB407" s="93">
        <v>45754</v>
      </c>
      <c r="AC407" s="93">
        <v>45918</v>
      </c>
      <c r="AD407" s="93">
        <v>45995</v>
      </c>
      <c r="AE407" t="s">
        <v>296</v>
      </c>
      <c r="AF407" t="s">
        <v>292</v>
      </c>
      <c r="AH407">
        <v>1</v>
      </c>
      <c r="AI407">
        <v>1</v>
      </c>
      <c r="AJ407">
        <v>0</v>
      </c>
      <c r="AK407">
        <v>2024</v>
      </c>
      <c r="AL407" t="s">
        <v>215</v>
      </c>
      <c r="AO407">
        <v>1</v>
      </c>
      <c r="AP407" t="s">
        <v>80</v>
      </c>
      <c r="AQ407">
        <v>112</v>
      </c>
    </row>
    <row r="408" spans="1:43" x14ac:dyDescent="0.3">
      <c r="A408" s="102" t="s">
        <v>702</v>
      </c>
      <c r="B408" t="s">
        <v>137</v>
      </c>
      <c r="C408" s="93">
        <v>42156</v>
      </c>
      <c r="D408" s="93"/>
      <c r="E408">
        <v>0</v>
      </c>
      <c r="J408" s="93">
        <v>45327</v>
      </c>
      <c r="K408" t="s">
        <v>124</v>
      </c>
      <c r="L408" t="s">
        <v>125</v>
      </c>
      <c r="O408" t="s">
        <v>171</v>
      </c>
      <c r="Q408" t="s">
        <v>137</v>
      </c>
      <c r="R408">
        <v>1</v>
      </c>
      <c r="T408" s="93">
        <v>45355</v>
      </c>
      <c r="U408" t="s">
        <v>582</v>
      </c>
      <c r="X408">
        <v>45</v>
      </c>
      <c r="AA408">
        <v>0</v>
      </c>
      <c r="AB408" s="93">
        <v>45610</v>
      </c>
      <c r="AC408" s="93">
        <v>46019</v>
      </c>
      <c r="AD408" s="93">
        <v>46019</v>
      </c>
      <c r="AE408" t="s">
        <v>297</v>
      </c>
      <c r="AF408" t="s">
        <v>284</v>
      </c>
      <c r="AH408">
        <v>1</v>
      </c>
      <c r="AI408">
        <v>1</v>
      </c>
      <c r="AJ408">
        <v>0</v>
      </c>
      <c r="AK408">
        <v>2024</v>
      </c>
      <c r="AL408" t="s">
        <v>210</v>
      </c>
      <c r="AO408">
        <v>0</v>
      </c>
      <c r="AP408" t="s">
        <v>80</v>
      </c>
      <c r="AQ408">
        <v>104.3</v>
      </c>
    </row>
    <row r="409" spans="1:43" x14ac:dyDescent="0.3">
      <c r="A409" s="102" t="s">
        <v>702</v>
      </c>
      <c r="B409" t="s">
        <v>137</v>
      </c>
      <c r="C409" s="93">
        <v>42156</v>
      </c>
      <c r="D409" s="93">
        <v>45610</v>
      </c>
      <c r="E409">
        <v>1</v>
      </c>
      <c r="F409" t="s">
        <v>276</v>
      </c>
      <c r="G409" t="s">
        <v>601</v>
      </c>
      <c r="H409" t="s">
        <v>279</v>
      </c>
      <c r="I409">
        <v>0</v>
      </c>
      <c r="J409" s="93">
        <v>45691</v>
      </c>
      <c r="K409" t="s">
        <v>131</v>
      </c>
      <c r="L409" t="s">
        <v>125</v>
      </c>
      <c r="N409" t="s">
        <v>138</v>
      </c>
      <c r="O409" t="s">
        <v>157</v>
      </c>
      <c r="P409" t="s">
        <v>596</v>
      </c>
      <c r="Q409" t="s">
        <v>130</v>
      </c>
      <c r="R409">
        <v>1</v>
      </c>
      <c r="T409" s="93">
        <v>45723</v>
      </c>
      <c r="U409" t="s">
        <v>602</v>
      </c>
      <c r="X409">
        <v>45</v>
      </c>
      <c r="Z409">
        <v>4079</v>
      </c>
      <c r="AA409">
        <v>0</v>
      </c>
      <c r="AB409" s="93">
        <v>45610</v>
      </c>
      <c r="AC409" s="93">
        <v>46019</v>
      </c>
      <c r="AD409" s="93">
        <v>46019</v>
      </c>
      <c r="AE409" t="s">
        <v>297</v>
      </c>
      <c r="AF409" t="s">
        <v>284</v>
      </c>
      <c r="AH409">
        <v>0</v>
      </c>
      <c r="AI409">
        <v>1</v>
      </c>
      <c r="AJ409">
        <v>0</v>
      </c>
      <c r="AK409">
        <v>2025</v>
      </c>
      <c r="AL409" t="s">
        <v>222</v>
      </c>
      <c r="AM409">
        <v>81</v>
      </c>
      <c r="AN409" t="s">
        <v>140</v>
      </c>
      <c r="AO409">
        <v>0</v>
      </c>
      <c r="AP409" t="s">
        <v>79</v>
      </c>
      <c r="AQ409">
        <v>116.3</v>
      </c>
    </row>
    <row r="410" spans="1:43" x14ac:dyDescent="0.3">
      <c r="A410" s="102" t="s">
        <v>702</v>
      </c>
      <c r="B410" t="s">
        <v>137</v>
      </c>
      <c r="C410" s="93">
        <v>42156</v>
      </c>
      <c r="D410" s="93">
        <v>45610</v>
      </c>
      <c r="E410">
        <v>1</v>
      </c>
      <c r="F410" t="s">
        <v>276</v>
      </c>
      <c r="G410" t="s">
        <v>601</v>
      </c>
      <c r="H410" t="s">
        <v>279</v>
      </c>
      <c r="I410">
        <v>0</v>
      </c>
      <c r="J410" s="93">
        <v>45754</v>
      </c>
      <c r="K410" t="s">
        <v>131</v>
      </c>
      <c r="L410" t="s">
        <v>125</v>
      </c>
      <c r="O410" t="s">
        <v>157</v>
      </c>
      <c r="P410" t="s">
        <v>596</v>
      </c>
      <c r="Q410" t="s">
        <v>130</v>
      </c>
      <c r="R410">
        <v>2</v>
      </c>
      <c r="S410">
        <v>63</v>
      </c>
      <c r="T410" s="93">
        <v>45792</v>
      </c>
      <c r="U410" t="s">
        <v>602</v>
      </c>
      <c r="X410">
        <v>45</v>
      </c>
      <c r="Z410">
        <v>4079</v>
      </c>
      <c r="AA410">
        <v>0</v>
      </c>
      <c r="AB410" s="93">
        <v>45610</v>
      </c>
      <c r="AC410" s="93">
        <v>46019</v>
      </c>
      <c r="AD410" s="93">
        <v>46019</v>
      </c>
      <c r="AE410" t="s">
        <v>297</v>
      </c>
      <c r="AF410" t="s">
        <v>284</v>
      </c>
      <c r="AH410">
        <v>0</v>
      </c>
      <c r="AI410">
        <v>1</v>
      </c>
      <c r="AJ410">
        <v>0</v>
      </c>
      <c r="AK410">
        <v>2025</v>
      </c>
      <c r="AL410" t="s">
        <v>224</v>
      </c>
      <c r="AM410">
        <v>144</v>
      </c>
      <c r="AN410" t="s">
        <v>155</v>
      </c>
      <c r="AO410">
        <v>0</v>
      </c>
      <c r="AP410" t="s">
        <v>79</v>
      </c>
      <c r="AQ410">
        <v>118.4</v>
      </c>
    </row>
    <row r="411" spans="1:43" x14ac:dyDescent="0.3">
      <c r="A411" s="102" t="s">
        <v>702</v>
      </c>
      <c r="B411" t="s">
        <v>137</v>
      </c>
      <c r="C411" s="93">
        <v>42156</v>
      </c>
      <c r="D411" s="93">
        <v>45610</v>
      </c>
      <c r="E411">
        <v>1</v>
      </c>
      <c r="F411" t="s">
        <v>276</v>
      </c>
      <c r="G411" t="s">
        <v>601</v>
      </c>
      <c r="H411" t="s">
        <v>279</v>
      </c>
      <c r="I411">
        <v>0</v>
      </c>
      <c r="J411" s="93">
        <v>45803</v>
      </c>
      <c r="K411" t="s">
        <v>131</v>
      </c>
      <c r="L411" t="s">
        <v>125</v>
      </c>
      <c r="N411" t="s">
        <v>126</v>
      </c>
      <c r="O411" t="s">
        <v>157</v>
      </c>
      <c r="P411" t="s">
        <v>596</v>
      </c>
      <c r="Q411" t="s">
        <v>130</v>
      </c>
      <c r="R411">
        <v>3</v>
      </c>
      <c r="S411">
        <v>49</v>
      </c>
      <c r="T411" s="93">
        <v>45839</v>
      </c>
      <c r="U411" t="s">
        <v>602</v>
      </c>
      <c r="X411">
        <v>45</v>
      </c>
      <c r="Z411">
        <v>4079</v>
      </c>
      <c r="AA411">
        <v>0</v>
      </c>
      <c r="AB411" s="93">
        <v>45610</v>
      </c>
      <c r="AC411" s="93">
        <v>46019</v>
      </c>
      <c r="AD411" s="93">
        <v>46019</v>
      </c>
      <c r="AE411" t="s">
        <v>297</v>
      </c>
      <c r="AF411" t="s">
        <v>284</v>
      </c>
      <c r="AH411">
        <v>0</v>
      </c>
      <c r="AI411">
        <v>1</v>
      </c>
      <c r="AJ411">
        <v>0</v>
      </c>
      <c r="AK411">
        <v>2025</v>
      </c>
      <c r="AL411" t="s">
        <v>225</v>
      </c>
      <c r="AM411">
        <v>193</v>
      </c>
      <c r="AN411" t="s">
        <v>163</v>
      </c>
      <c r="AO411">
        <v>0</v>
      </c>
      <c r="AP411" t="s">
        <v>79</v>
      </c>
      <c r="AQ411">
        <v>120</v>
      </c>
    </row>
    <row r="412" spans="1:43" x14ac:dyDescent="0.3">
      <c r="A412" s="102" t="s">
        <v>702</v>
      </c>
      <c r="B412" t="s">
        <v>137</v>
      </c>
      <c r="C412" s="93">
        <v>42156</v>
      </c>
      <c r="D412" s="93">
        <v>45610</v>
      </c>
      <c r="E412">
        <v>1</v>
      </c>
      <c r="F412" t="s">
        <v>276</v>
      </c>
      <c r="G412" t="s">
        <v>601</v>
      </c>
      <c r="H412" t="s">
        <v>279</v>
      </c>
      <c r="I412">
        <v>0</v>
      </c>
      <c r="J412" s="93">
        <v>45850</v>
      </c>
      <c r="K412" t="s">
        <v>131</v>
      </c>
      <c r="L412" t="s">
        <v>125</v>
      </c>
      <c r="N412" t="s">
        <v>126</v>
      </c>
      <c r="O412" t="s">
        <v>157</v>
      </c>
      <c r="P412" t="s">
        <v>596</v>
      </c>
      <c r="Q412" t="s">
        <v>130</v>
      </c>
      <c r="R412">
        <v>4</v>
      </c>
      <c r="S412">
        <v>47</v>
      </c>
      <c r="T412" s="93">
        <v>45877</v>
      </c>
      <c r="U412" t="s">
        <v>602</v>
      </c>
      <c r="X412">
        <v>45</v>
      </c>
      <c r="Z412">
        <v>4079</v>
      </c>
      <c r="AA412">
        <v>0</v>
      </c>
      <c r="AB412" s="93">
        <v>45610</v>
      </c>
      <c r="AC412" s="93">
        <v>46019</v>
      </c>
      <c r="AD412" s="93">
        <v>46019</v>
      </c>
      <c r="AE412" t="s">
        <v>297</v>
      </c>
      <c r="AF412" t="s">
        <v>284</v>
      </c>
      <c r="AH412">
        <v>0</v>
      </c>
      <c r="AI412">
        <v>1</v>
      </c>
      <c r="AJ412">
        <v>0</v>
      </c>
      <c r="AK412">
        <v>2025</v>
      </c>
      <c r="AL412" t="s">
        <v>226</v>
      </c>
      <c r="AM412">
        <v>240</v>
      </c>
      <c r="AN412" t="s">
        <v>174</v>
      </c>
      <c r="AO412">
        <v>0</v>
      </c>
      <c r="AP412" t="s">
        <v>79</v>
      </c>
      <c r="AQ412">
        <v>121.5</v>
      </c>
    </row>
    <row r="413" spans="1:43" x14ac:dyDescent="0.3">
      <c r="A413" s="102" t="s">
        <v>702</v>
      </c>
      <c r="B413" t="s">
        <v>137</v>
      </c>
      <c r="C413" s="93">
        <v>42156</v>
      </c>
      <c r="D413" s="93">
        <v>45610</v>
      </c>
      <c r="E413">
        <v>1</v>
      </c>
      <c r="F413" t="s">
        <v>276</v>
      </c>
      <c r="G413" t="s">
        <v>601</v>
      </c>
      <c r="H413" t="s">
        <v>279</v>
      </c>
      <c r="I413">
        <v>0</v>
      </c>
      <c r="J413" s="93">
        <v>45888</v>
      </c>
      <c r="K413" t="s">
        <v>131</v>
      </c>
      <c r="L413" t="s">
        <v>125</v>
      </c>
      <c r="N413" t="s">
        <v>133</v>
      </c>
      <c r="O413" t="s">
        <v>157</v>
      </c>
      <c r="P413" t="s">
        <v>596</v>
      </c>
      <c r="Q413" t="s">
        <v>130</v>
      </c>
      <c r="R413">
        <v>5</v>
      </c>
      <c r="S413">
        <v>38</v>
      </c>
      <c r="T413" s="93">
        <v>45923</v>
      </c>
      <c r="U413" t="s">
        <v>582</v>
      </c>
      <c r="X413">
        <v>45</v>
      </c>
      <c r="Z413">
        <v>4079</v>
      </c>
      <c r="AA413">
        <v>0</v>
      </c>
      <c r="AB413" s="93">
        <v>45610</v>
      </c>
      <c r="AC413" s="93">
        <v>46019</v>
      </c>
      <c r="AD413" s="93">
        <v>46019</v>
      </c>
      <c r="AE413" t="s">
        <v>297</v>
      </c>
      <c r="AF413" t="s">
        <v>284</v>
      </c>
      <c r="AH413">
        <v>1</v>
      </c>
      <c r="AI413">
        <v>1</v>
      </c>
      <c r="AJ413">
        <v>0</v>
      </c>
      <c r="AK413">
        <v>2025</v>
      </c>
      <c r="AL413" t="s">
        <v>227</v>
      </c>
      <c r="AM413">
        <v>278</v>
      </c>
      <c r="AN413" t="s">
        <v>178</v>
      </c>
      <c r="AO413">
        <v>1</v>
      </c>
      <c r="AP413" t="s">
        <v>79</v>
      </c>
      <c r="AQ413">
        <v>122.8</v>
      </c>
    </row>
    <row r="414" spans="1:43" x14ac:dyDescent="0.3">
      <c r="A414" s="102" t="s">
        <v>872</v>
      </c>
      <c r="B414" t="s">
        <v>130</v>
      </c>
      <c r="C414" s="93">
        <v>45505</v>
      </c>
      <c r="E414">
        <v>0</v>
      </c>
      <c r="J414" s="93">
        <v>46025</v>
      </c>
      <c r="K414" t="s">
        <v>131</v>
      </c>
      <c r="L414" t="s">
        <v>125</v>
      </c>
      <c r="O414" t="s">
        <v>157</v>
      </c>
      <c r="P414" t="s">
        <v>596</v>
      </c>
      <c r="Q414" t="s">
        <v>130</v>
      </c>
      <c r="R414">
        <v>1</v>
      </c>
      <c r="T414" s="93">
        <v>46056</v>
      </c>
      <c r="U414" t="s">
        <v>582</v>
      </c>
      <c r="X414">
        <v>45</v>
      </c>
      <c r="AH414">
        <v>1</v>
      </c>
      <c r="AI414">
        <v>1</v>
      </c>
      <c r="AJ414">
        <v>0</v>
      </c>
      <c r="AK414">
        <v>2026</v>
      </c>
      <c r="AL414" t="s">
        <v>232</v>
      </c>
      <c r="AO414">
        <v>1</v>
      </c>
      <c r="AP414" t="s">
        <v>80</v>
      </c>
      <c r="AQ414">
        <v>17.100000000000001</v>
      </c>
    </row>
    <row r="415" spans="1:43" x14ac:dyDescent="0.3">
      <c r="A415" s="102" t="s">
        <v>873</v>
      </c>
      <c r="B415" t="s">
        <v>130</v>
      </c>
      <c r="C415" s="93">
        <v>45505</v>
      </c>
      <c r="E415">
        <v>0</v>
      </c>
      <c r="J415" s="93">
        <v>46056</v>
      </c>
      <c r="K415" t="s">
        <v>131</v>
      </c>
      <c r="L415" t="s">
        <v>125</v>
      </c>
      <c r="O415" t="s">
        <v>157</v>
      </c>
      <c r="P415" t="s">
        <v>596</v>
      </c>
      <c r="Q415" t="s">
        <v>130</v>
      </c>
      <c r="R415">
        <v>1</v>
      </c>
      <c r="T415" s="93">
        <v>46084</v>
      </c>
      <c r="U415" t="s">
        <v>582</v>
      </c>
      <c r="X415">
        <v>45</v>
      </c>
      <c r="AH415">
        <v>1</v>
      </c>
      <c r="AI415">
        <v>1</v>
      </c>
      <c r="AJ415">
        <v>0</v>
      </c>
      <c r="AK415">
        <v>2026</v>
      </c>
      <c r="AL415" t="s">
        <v>233</v>
      </c>
      <c r="AO415">
        <v>1</v>
      </c>
      <c r="AP415" t="s">
        <v>80</v>
      </c>
      <c r="AQ415">
        <v>18.100000000000001</v>
      </c>
    </row>
    <row r="416" spans="1:43" x14ac:dyDescent="0.3">
      <c r="A416" s="102" t="s">
        <v>874</v>
      </c>
      <c r="B416" t="s">
        <v>130</v>
      </c>
      <c r="C416" s="93">
        <v>45505</v>
      </c>
      <c r="E416">
        <v>0</v>
      </c>
      <c r="J416" s="93">
        <v>46025</v>
      </c>
      <c r="K416" t="s">
        <v>131</v>
      </c>
      <c r="L416" t="s">
        <v>125</v>
      </c>
      <c r="O416" t="s">
        <v>157</v>
      </c>
      <c r="P416" t="s">
        <v>596</v>
      </c>
      <c r="Q416" t="s">
        <v>130</v>
      </c>
      <c r="R416">
        <v>1</v>
      </c>
      <c r="T416" s="93">
        <v>46056</v>
      </c>
      <c r="U416" t="s">
        <v>582</v>
      </c>
      <c r="X416">
        <v>45</v>
      </c>
      <c r="AH416">
        <v>1</v>
      </c>
      <c r="AI416">
        <v>1</v>
      </c>
      <c r="AJ416">
        <v>0</v>
      </c>
      <c r="AK416">
        <v>2026</v>
      </c>
      <c r="AL416" t="s">
        <v>232</v>
      </c>
      <c r="AO416">
        <v>1</v>
      </c>
      <c r="AP416" t="s">
        <v>80</v>
      </c>
      <c r="AQ416">
        <v>17.100000000000001</v>
      </c>
    </row>
    <row r="417" spans="1:43" x14ac:dyDescent="0.3">
      <c r="A417" s="102" t="s">
        <v>875</v>
      </c>
      <c r="B417" t="s">
        <v>130</v>
      </c>
      <c r="C417" s="93">
        <v>45505</v>
      </c>
      <c r="E417">
        <v>0</v>
      </c>
      <c r="J417" s="93">
        <v>46056</v>
      </c>
      <c r="K417" t="s">
        <v>131</v>
      </c>
      <c r="L417" t="s">
        <v>125</v>
      </c>
      <c r="O417" t="s">
        <v>157</v>
      </c>
      <c r="P417" t="s">
        <v>596</v>
      </c>
      <c r="Q417" t="s">
        <v>130</v>
      </c>
      <c r="R417">
        <v>1</v>
      </c>
      <c r="T417" s="93">
        <v>46084</v>
      </c>
      <c r="U417" t="s">
        <v>582</v>
      </c>
      <c r="X417">
        <v>45</v>
      </c>
      <c r="AH417">
        <v>1</v>
      </c>
      <c r="AI417">
        <v>1</v>
      </c>
      <c r="AJ417">
        <v>0</v>
      </c>
      <c r="AK417">
        <v>2026</v>
      </c>
      <c r="AL417" t="s">
        <v>233</v>
      </c>
      <c r="AO417">
        <v>1</v>
      </c>
      <c r="AP417" t="s">
        <v>80</v>
      </c>
      <c r="AQ417">
        <v>18.100000000000001</v>
      </c>
    </row>
    <row r="418" spans="1:43" x14ac:dyDescent="0.3">
      <c r="A418" s="102" t="s">
        <v>876</v>
      </c>
      <c r="B418" t="s">
        <v>130</v>
      </c>
      <c r="C418" s="93">
        <v>45505</v>
      </c>
      <c r="E418">
        <v>0</v>
      </c>
      <c r="J418" s="93">
        <v>45984</v>
      </c>
      <c r="K418" t="s">
        <v>131</v>
      </c>
      <c r="L418" t="s">
        <v>125</v>
      </c>
      <c r="O418" t="s">
        <v>157</v>
      </c>
      <c r="P418" t="s">
        <v>596</v>
      </c>
      <c r="Q418" t="s">
        <v>130</v>
      </c>
      <c r="R418">
        <v>1</v>
      </c>
      <c r="T418" s="93">
        <v>46014</v>
      </c>
      <c r="U418" t="s">
        <v>582</v>
      </c>
      <c r="X418">
        <v>45</v>
      </c>
      <c r="AH418">
        <v>1</v>
      </c>
      <c r="AI418">
        <v>1</v>
      </c>
      <c r="AJ418">
        <v>0</v>
      </c>
      <c r="AK418">
        <v>2025</v>
      </c>
      <c r="AL418" t="s">
        <v>230</v>
      </c>
      <c r="AO418">
        <v>1</v>
      </c>
      <c r="AP418" t="s">
        <v>80</v>
      </c>
      <c r="AQ418">
        <v>15.8</v>
      </c>
    </row>
    <row r="419" spans="1:43" x14ac:dyDescent="0.3">
      <c r="A419" s="102" t="s">
        <v>877</v>
      </c>
      <c r="B419" t="s">
        <v>130</v>
      </c>
      <c r="C419" s="93">
        <v>45505</v>
      </c>
      <c r="E419">
        <v>0</v>
      </c>
      <c r="J419" s="93">
        <v>46056</v>
      </c>
      <c r="K419" t="s">
        <v>131</v>
      </c>
      <c r="L419" t="s">
        <v>125</v>
      </c>
      <c r="O419" t="s">
        <v>157</v>
      </c>
      <c r="P419" t="s">
        <v>596</v>
      </c>
      <c r="Q419" t="s">
        <v>130</v>
      </c>
      <c r="R419">
        <v>1</v>
      </c>
      <c r="T419" s="93">
        <v>46084</v>
      </c>
      <c r="U419" t="s">
        <v>582</v>
      </c>
      <c r="X419">
        <v>45</v>
      </c>
      <c r="AB419" s="93"/>
      <c r="AH419">
        <v>1</v>
      </c>
      <c r="AI419">
        <v>1</v>
      </c>
      <c r="AJ419">
        <v>0</v>
      </c>
      <c r="AK419">
        <v>2026</v>
      </c>
      <c r="AL419" t="s">
        <v>233</v>
      </c>
      <c r="AO419">
        <v>1</v>
      </c>
      <c r="AP419" t="s">
        <v>80</v>
      </c>
      <c r="AQ419">
        <v>18.100000000000001</v>
      </c>
    </row>
    <row r="420" spans="1:43" x14ac:dyDescent="0.3">
      <c r="A420" s="102" t="s">
        <v>878</v>
      </c>
      <c r="B420" t="s">
        <v>130</v>
      </c>
      <c r="C420" s="93">
        <v>45505</v>
      </c>
      <c r="D420" s="93"/>
      <c r="E420">
        <v>0</v>
      </c>
      <c r="J420" s="93">
        <v>45984</v>
      </c>
      <c r="K420" t="s">
        <v>131</v>
      </c>
      <c r="L420" t="s">
        <v>125</v>
      </c>
      <c r="O420" t="s">
        <v>157</v>
      </c>
      <c r="P420" t="s">
        <v>596</v>
      </c>
      <c r="Q420" t="s">
        <v>130</v>
      </c>
      <c r="R420">
        <v>1</v>
      </c>
      <c r="T420" s="93">
        <v>46014</v>
      </c>
      <c r="U420" t="s">
        <v>582</v>
      </c>
      <c r="V420" s="93">
        <v>46206</v>
      </c>
      <c r="W420" t="s">
        <v>569</v>
      </c>
      <c r="X420">
        <v>45</v>
      </c>
      <c r="AB420" s="93"/>
      <c r="AH420">
        <v>1</v>
      </c>
      <c r="AI420">
        <v>1</v>
      </c>
      <c r="AJ420">
        <v>1</v>
      </c>
      <c r="AK420">
        <v>2025</v>
      </c>
      <c r="AL420" t="s">
        <v>230</v>
      </c>
      <c r="AO420">
        <v>1</v>
      </c>
      <c r="AP420" t="s">
        <v>80</v>
      </c>
      <c r="AQ420">
        <v>15.8</v>
      </c>
    </row>
    <row r="421" spans="1:43" x14ac:dyDescent="0.3">
      <c r="A421" s="102" t="s">
        <v>703</v>
      </c>
      <c r="B421" t="s">
        <v>130</v>
      </c>
      <c r="C421" s="93">
        <v>45350</v>
      </c>
      <c r="D421" s="93"/>
      <c r="E421">
        <v>0</v>
      </c>
      <c r="J421" s="93">
        <v>45853</v>
      </c>
      <c r="K421" t="s">
        <v>131</v>
      </c>
      <c r="L421" t="s">
        <v>125</v>
      </c>
      <c r="O421" t="s">
        <v>157</v>
      </c>
      <c r="P421" t="s">
        <v>596</v>
      </c>
      <c r="Q421" t="s">
        <v>130</v>
      </c>
      <c r="R421">
        <v>1</v>
      </c>
      <c r="T421" s="93">
        <v>45884</v>
      </c>
      <c r="U421" t="s">
        <v>582</v>
      </c>
      <c r="X421">
        <v>45</v>
      </c>
      <c r="AA421">
        <v>4429</v>
      </c>
      <c r="AB421" s="93">
        <v>46139</v>
      </c>
      <c r="AH421">
        <v>1</v>
      </c>
      <c r="AI421">
        <v>1</v>
      </c>
      <c r="AJ421">
        <v>0</v>
      </c>
      <c r="AK421">
        <v>2025</v>
      </c>
      <c r="AL421" t="s">
        <v>226</v>
      </c>
      <c r="AO421">
        <v>0</v>
      </c>
      <c r="AP421" t="s">
        <v>80</v>
      </c>
      <c r="AQ421">
        <v>16.5</v>
      </c>
    </row>
    <row r="422" spans="1:43" x14ac:dyDescent="0.3">
      <c r="A422" s="102" t="s">
        <v>703</v>
      </c>
      <c r="B422" t="s">
        <v>130</v>
      </c>
      <c r="C422" s="93">
        <v>45350</v>
      </c>
      <c r="D422" s="93">
        <v>46139</v>
      </c>
      <c r="E422">
        <v>1</v>
      </c>
      <c r="F422" t="s">
        <v>276</v>
      </c>
      <c r="G422" t="s">
        <v>601</v>
      </c>
      <c r="H422" t="s">
        <v>278</v>
      </c>
      <c r="I422">
        <v>0</v>
      </c>
      <c r="J422" s="93">
        <v>46196</v>
      </c>
      <c r="K422" t="s">
        <v>131</v>
      </c>
      <c r="L422" t="s">
        <v>132</v>
      </c>
      <c r="M422" t="s">
        <v>593</v>
      </c>
      <c r="N422" t="s">
        <v>133</v>
      </c>
      <c r="O422" t="s">
        <v>1512</v>
      </c>
      <c r="P422" t="s">
        <v>1530</v>
      </c>
      <c r="Q422" t="s">
        <v>137</v>
      </c>
      <c r="R422">
        <v>1</v>
      </c>
      <c r="T422" s="93"/>
      <c r="U422" t="s">
        <v>611</v>
      </c>
      <c r="X422">
        <v>45</v>
      </c>
      <c r="Z422">
        <v>4429</v>
      </c>
      <c r="AA422">
        <v>4429</v>
      </c>
      <c r="AB422" s="93">
        <v>46139</v>
      </c>
      <c r="AH422">
        <v>0</v>
      </c>
      <c r="AI422">
        <v>0</v>
      </c>
      <c r="AJ422">
        <v>0</v>
      </c>
      <c r="AK422">
        <v>2026</v>
      </c>
      <c r="AL422" t="s">
        <v>237</v>
      </c>
      <c r="AM422">
        <v>57</v>
      </c>
      <c r="AN422" t="s">
        <v>135</v>
      </c>
      <c r="AO422">
        <v>1</v>
      </c>
      <c r="AP422" t="s">
        <v>79</v>
      </c>
      <c r="AQ422">
        <v>27.8</v>
      </c>
    </row>
    <row r="423" spans="1:43" x14ac:dyDescent="0.3">
      <c r="A423" s="102" t="s">
        <v>879</v>
      </c>
      <c r="B423" t="s">
        <v>130</v>
      </c>
      <c r="C423" s="93">
        <v>45505</v>
      </c>
      <c r="E423">
        <v>0</v>
      </c>
      <c r="J423" s="93">
        <v>46056</v>
      </c>
      <c r="K423" t="s">
        <v>131</v>
      </c>
      <c r="L423" t="s">
        <v>125</v>
      </c>
      <c r="O423" t="s">
        <v>157</v>
      </c>
      <c r="P423" t="s">
        <v>596</v>
      </c>
      <c r="Q423" t="s">
        <v>130</v>
      </c>
      <c r="R423">
        <v>1</v>
      </c>
      <c r="T423" s="93">
        <v>46084</v>
      </c>
      <c r="U423" t="s">
        <v>582</v>
      </c>
      <c r="X423">
        <v>45</v>
      </c>
      <c r="AH423">
        <v>1</v>
      </c>
      <c r="AI423">
        <v>1</v>
      </c>
      <c r="AJ423">
        <v>0</v>
      </c>
      <c r="AK423">
        <v>2026</v>
      </c>
      <c r="AL423" t="s">
        <v>233</v>
      </c>
      <c r="AO423">
        <v>1</v>
      </c>
      <c r="AP423" t="s">
        <v>80</v>
      </c>
      <c r="AQ423">
        <v>18.100000000000001</v>
      </c>
    </row>
    <row r="424" spans="1:43" x14ac:dyDescent="0.3">
      <c r="A424" s="102" t="s">
        <v>880</v>
      </c>
      <c r="B424" t="s">
        <v>130</v>
      </c>
      <c r="C424" s="93">
        <v>45505</v>
      </c>
      <c r="E424">
        <v>0</v>
      </c>
      <c r="J424" s="93">
        <v>46056</v>
      </c>
      <c r="K424" t="s">
        <v>131</v>
      </c>
      <c r="L424" t="s">
        <v>125</v>
      </c>
      <c r="O424" t="s">
        <v>157</v>
      </c>
      <c r="P424" t="s">
        <v>596</v>
      </c>
      <c r="Q424" t="s">
        <v>130</v>
      </c>
      <c r="R424">
        <v>1</v>
      </c>
      <c r="T424" s="93">
        <v>46084</v>
      </c>
      <c r="U424" t="s">
        <v>582</v>
      </c>
      <c r="X424">
        <v>45</v>
      </c>
      <c r="AH424">
        <v>1</v>
      </c>
      <c r="AI424">
        <v>1</v>
      </c>
      <c r="AJ424">
        <v>0</v>
      </c>
      <c r="AK424">
        <v>2026</v>
      </c>
      <c r="AL424" t="s">
        <v>233</v>
      </c>
      <c r="AO424">
        <v>1</v>
      </c>
      <c r="AP424" t="s">
        <v>80</v>
      </c>
      <c r="AQ424">
        <v>18.100000000000001</v>
      </c>
    </row>
    <row r="425" spans="1:43" x14ac:dyDescent="0.3">
      <c r="A425" s="102" t="s">
        <v>881</v>
      </c>
      <c r="B425" t="s">
        <v>130</v>
      </c>
      <c r="C425" s="93">
        <v>45505</v>
      </c>
      <c r="E425">
        <v>0</v>
      </c>
      <c r="J425" s="93">
        <v>45984</v>
      </c>
      <c r="K425" t="s">
        <v>131</v>
      </c>
      <c r="L425" t="s">
        <v>125</v>
      </c>
      <c r="O425" t="s">
        <v>157</v>
      </c>
      <c r="P425" t="s">
        <v>596</v>
      </c>
      <c r="Q425" t="s">
        <v>130</v>
      </c>
      <c r="R425">
        <v>1</v>
      </c>
      <c r="T425" s="93">
        <v>46014</v>
      </c>
      <c r="U425" t="s">
        <v>582</v>
      </c>
      <c r="X425">
        <v>45</v>
      </c>
      <c r="AH425">
        <v>1</v>
      </c>
      <c r="AI425">
        <v>1</v>
      </c>
      <c r="AJ425">
        <v>0</v>
      </c>
      <c r="AK425">
        <v>2025</v>
      </c>
      <c r="AL425" t="s">
        <v>230</v>
      </c>
      <c r="AO425">
        <v>1</v>
      </c>
      <c r="AP425" t="s">
        <v>80</v>
      </c>
      <c r="AQ425">
        <v>15.8</v>
      </c>
    </row>
    <row r="426" spans="1:43" x14ac:dyDescent="0.3">
      <c r="A426" s="102" t="s">
        <v>882</v>
      </c>
      <c r="B426" t="s">
        <v>130</v>
      </c>
      <c r="C426" s="93">
        <v>45505</v>
      </c>
      <c r="E426">
        <v>0</v>
      </c>
      <c r="J426" s="93">
        <v>45984</v>
      </c>
      <c r="K426" t="s">
        <v>131</v>
      </c>
      <c r="L426" t="s">
        <v>125</v>
      </c>
      <c r="O426" t="s">
        <v>157</v>
      </c>
      <c r="P426" t="s">
        <v>596</v>
      </c>
      <c r="Q426" t="s">
        <v>130</v>
      </c>
      <c r="R426">
        <v>1</v>
      </c>
      <c r="T426" s="93">
        <v>46014</v>
      </c>
      <c r="U426" t="s">
        <v>582</v>
      </c>
      <c r="X426">
        <v>45</v>
      </c>
      <c r="AH426">
        <v>1</v>
      </c>
      <c r="AI426">
        <v>1</v>
      </c>
      <c r="AJ426">
        <v>0</v>
      </c>
      <c r="AK426">
        <v>2025</v>
      </c>
      <c r="AL426" t="s">
        <v>230</v>
      </c>
      <c r="AO426">
        <v>1</v>
      </c>
      <c r="AP426" t="s">
        <v>80</v>
      </c>
      <c r="AQ426">
        <v>15.8</v>
      </c>
    </row>
    <row r="427" spans="1:43" x14ac:dyDescent="0.3">
      <c r="A427" s="102" t="s">
        <v>883</v>
      </c>
      <c r="B427" t="s">
        <v>130</v>
      </c>
      <c r="C427" s="93">
        <v>45505</v>
      </c>
      <c r="E427">
        <v>0</v>
      </c>
      <c r="J427" s="93">
        <v>45984</v>
      </c>
      <c r="K427" t="s">
        <v>131</v>
      </c>
      <c r="L427" t="s">
        <v>125</v>
      </c>
      <c r="O427" t="s">
        <v>157</v>
      </c>
      <c r="P427" t="s">
        <v>596</v>
      </c>
      <c r="Q427" t="s">
        <v>130</v>
      </c>
      <c r="R427">
        <v>1</v>
      </c>
      <c r="T427" s="93">
        <v>46014</v>
      </c>
      <c r="U427" t="s">
        <v>582</v>
      </c>
      <c r="V427" s="93">
        <v>46203</v>
      </c>
      <c r="W427" t="s">
        <v>569</v>
      </c>
      <c r="X427">
        <v>45</v>
      </c>
      <c r="AH427">
        <v>1</v>
      </c>
      <c r="AI427">
        <v>1</v>
      </c>
      <c r="AJ427">
        <v>1</v>
      </c>
      <c r="AK427">
        <v>2025</v>
      </c>
      <c r="AL427" t="s">
        <v>230</v>
      </c>
      <c r="AO427">
        <v>0</v>
      </c>
      <c r="AP427" t="s">
        <v>80</v>
      </c>
      <c r="AQ427">
        <v>15.8</v>
      </c>
    </row>
    <row r="428" spans="1:43" x14ac:dyDescent="0.3">
      <c r="A428" s="102" t="s">
        <v>883</v>
      </c>
      <c r="B428" t="s">
        <v>130</v>
      </c>
      <c r="C428" s="93">
        <v>45505</v>
      </c>
      <c r="E428">
        <v>0</v>
      </c>
      <c r="J428" s="93">
        <v>46204</v>
      </c>
      <c r="K428" t="s">
        <v>124</v>
      </c>
      <c r="L428" t="s">
        <v>125</v>
      </c>
      <c r="O428" t="s">
        <v>177</v>
      </c>
      <c r="Q428" t="s">
        <v>137</v>
      </c>
      <c r="R428">
        <v>2</v>
      </c>
      <c r="S428">
        <v>220</v>
      </c>
      <c r="T428" s="93"/>
      <c r="U428" t="s">
        <v>611</v>
      </c>
      <c r="X428">
        <v>45</v>
      </c>
      <c r="AH428">
        <v>0</v>
      </c>
      <c r="AI428">
        <v>0</v>
      </c>
      <c r="AJ428">
        <v>0</v>
      </c>
      <c r="AK428">
        <v>2026</v>
      </c>
      <c r="AL428" t="s">
        <v>377</v>
      </c>
      <c r="AO428">
        <v>1</v>
      </c>
      <c r="AP428" t="s">
        <v>80</v>
      </c>
      <c r="AQ428">
        <v>23</v>
      </c>
    </row>
    <row r="429" spans="1:43" x14ac:dyDescent="0.3">
      <c r="A429" s="102" t="s">
        <v>884</v>
      </c>
      <c r="B429" t="s">
        <v>130</v>
      </c>
      <c r="C429" s="93">
        <v>45505</v>
      </c>
      <c r="E429">
        <v>0</v>
      </c>
      <c r="J429" s="93">
        <v>45984</v>
      </c>
      <c r="K429" t="s">
        <v>131</v>
      </c>
      <c r="L429" t="s">
        <v>125</v>
      </c>
      <c r="O429" t="s">
        <v>157</v>
      </c>
      <c r="P429" t="s">
        <v>596</v>
      </c>
      <c r="Q429" t="s">
        <v>130</v>
      </c>
      <c r="R429">
        <v>1</v>
      </c>
      <c r="T429" s="93">
        <v>46014</v>
      </c>
      <c r="U429" t="s">
        <v>582</v>
      </c>
      <c r="V429" s="93">
        <v>46206</v>
      </c>
      <c r="W429" t="s">
        <v>569</v>
      </c>
      <c r="X429">
        <v>45</v>
      </c>
      <c r="AH429">
        <v>1</v>
      </c>
      <c r="AI429">
        <v>1</v>
      </c>
      <c r="AJ429">
        <v>1</v>
      </c>
      <c r="AK429">
        <v>2025</v>
      </c>
      <c r="AL429" t="s">
        <v>230</v>
      </c>
      <c r="AO429">
        <v>1</v>
      </c>
      <c r="AP429" t="s">
        <v>80</v>
      </c>
      <c r="AQ429">
        <v>15.8</v>
      </c>
    </row>
    <row r="430" spans="1:43" x14ac:dyDescent="0.3">
      <c r="A430" s="102" t="s">
        <v>885</v>
      </c>
      <c r="B430" t="s">
        <v>130</v>
      </c>
      <c r="C430" s="93">
        <v>45505</v>
      </c>
      <c r="E430">
        <v>0</v>
      </c>
      <c r="J430" s="93">
        <v>46056</v>
      </c>
      <c r="K430" t="s">
        <v>131</v>
      </c>
      <c r="L430" t="s">
        <v>125</v>
      </c>
      <c r="O430" t="s">
        <v>157</v>
      </c>
      <c r="P430" t="s">
        <v>596</v>
      </c>
      <c r="Q430" t="s">
        <v>130</v>
      </c>
      <c r="R430">
        <v>1</v>
      </c>
      <c r="T430" s="93">
        <v>46084</v>
      </c>
      <c r="U430" t="s">
        <v>582</v>
      </c>
      <c r="X430">
        <v>45</v>
      </c>
      <c r="AH430">
        <v>1</v>
      </c>
      <c r="AI430">
        <v>1</v>
      </c>
      <c r="AJ430">
        <v>0</v>
      </c>
      <c r="AK430">
        <v>2026</v>
      </c>
      <c r="AL430" t="s">
        <v>233</v>
      </c>
      <c r="AO430">
        <v>1</v>
      </c>
      <c r="AP430" t="s">
        <v>80</v>
      </c>
      <c r="AQ430">
        <v>18.100000000000001</v>
      </c>
    </row>
    <row r="431" spans="1:43" x14ac:dyDescent="0.3">
      <c r="A431" s="102" t="s">
        <v>886</v>
      </c>
      <c r="B431" t="s">
        <v>130</v>
      </c>
      <c r="C431" s="93">
        <v>45505</v>
      </c>
      <c r="E431">
        <v>0</v>
      </c>
      <c r="J431" s="93">
        <v>45984</v>
      </c>
      <c r="K431" t="s">
        <v>131</v>
      </c>
      <c r="L431" t="s">
        <v>125</v>
      </c>
      <c r="O431" t="s">
        <v>157</v>
      </c>
      <c r="P431" t="s">
        <v>596</v>
      </c>
      <c r="Q431" t="s">
        <v>130</v>
      </c>
      <c r="R431">
        <v>1</v>
      </c>
      <c r="T431" s="93">
        <v>46014</v>
      </c>
      <c r="U431" t="s">
        <v>582</v>
      </c>
      <c r="X431">
        <v>45</v>
      </c>
      <c r="AH431">
        <v>1</v>
      </c>
      <c r="AI431">
        <v>1</v>
      </c>
      <c r="AJ431">
        <v>0</v>
      </c>
      <c r="AK431">
        <v>2025</v>
      </c>
      <c r="AL431" t="s">
        <v>230</v>
      </c>
      <c r="AO431">
        <v>1</v>
      </c>
      <c r="AP431" t="s">
        <v>80</v>
      </c>
      <c r="AQ431">
        <v>15.8</v>
      </c>
    </row>
    <row r="432" spans="1:43" x14ac:dyDescent="0.3">
      <c r="A432" s="102" t="s">
        <v>887</v>
      </c>
      <c r="B432" t="s">
        <v>130</v>
      </c>
      <c r="C432" s="93">
        <v>45505</v>
      </c>
      <c r="E432">
        <v>0</v>
      </c>
      <c r="J432" s="93">
        <v>46056</v>
      </c>
      <c r="K432" t="s">
        <v>131</v>
      </c>
      <c r="L432" t="s">
        <v>125</v>
      </c>
      <c r="O432" t="s">
        <v>157</v>
      </c>
      <c r="P432" t="s">
        <v>596</v>
      </c>
      <c r="Q432" t="s">
        <v>130</v>
      </c>
      <c r="R432">
        <v>1</v>
      </c>
      <c r="T432" s="93">
        <v>46084</v>
      </c>
      <c r="U432" t="s">
        <v>582</v>
      </c>
      <c r="X432">
        <v>45</v>
      </c>
      <c r="AD432" s="93"/>
      <c r="AH432">
        <v>1</v>
      </c>
      <c r="AI432">
        <v>1</v>
      </c>
      <c r="AJ432">
        <v>0</v>
      </c>
      <c r="AK432">
        <v>2026</v>
      </c>
      <c r="AL432" t="s">
        <v>233</v>
      </c>
      <c r="AO432">
        <v>1</v>
      </c>
      <c r="AP432" t="s">
        <v>80</v>
      </c>
      <c r="AQ432">
        <v>18.100000000000001</v>
      </c>
    </row>
    <row r="433" spans="1:43" x14ac:dyDescent="0.3">
      <c r="A433" s="102" t="s">
        <v>888</v>
      </c>
      <c r="B433" t="s">
        <v>130</v>
      </c>
      <c r="C433" s="93">
        <v>45505</v>
      </c>
      <c r="E433">
        <v>0</v>
      </c>
      <c r="J433" s="93">
        <v>45984</v>
      </c>
      <c r="K433" t="s">
        <v>131</v>
      </c>
      <c r="L433" t="s">
        <v>125</v>
      </c>
      <c r="O433" t="s">
        <v>157</v>
      </c>
      <c r="P433" t="s">
        <v>596</v>
      </c>
      <c r="Q433" t="s">
        <v>130</v>
      </c>
      <c r="R433">
        <v>1</v>
      </c>
      <c r="T433" s="93">
        <v>46014</v>
      </c>
      <c r="U433" t="s">
        <v>582</v>
      </c>
      <c r="X433">
        <v>45</v>
      </c>
      <c r="AB433" s="93"/>
      <c r="AD433" s="93"/>
      <c r="AH433">
        <v>1</v>
      </c>
      <c r="AI433">
        <v>1</v>
      </c>
      <c r="AJ433">
        <v>0</v>
      </c>
      <c r="AK433">
        <v>2025</v>
      </c>
      <c r="AL433" t="s">
        <v>230</v>
      </c>
      <c r="AO433">
        <v>1</v>
      </c>
      <c r="AP433" t="s">
        <v>80</v>
      </c>
      <c r="AQ433">
        <v>15.8</v>
      </c>
    </row>
    <row r="434" spans="1:43" x14ac:dyDescent="0.3">
      <c r="A434" s="102" t="s">
        <v>889</v>
      </c>
      <c r="B434" t="s">
        <v>130</v>
      </c>
      <c r="C434" s="93">
        <v>45505</v>
      </c>
      <c r="E434">
        <v>0</v>
      </c>
      <c r="J434" s="93">
        <v>45984</v>
      </c>
      <c r="K434" t="s">
        <v>131</v>
      </c>
      <c r="L434" t="s">
        <v>125</v>
      </c>
      <c r="O434" t="s">
        <v>157</v>
      </c>
      <c r="P434" t="s">
        <v>596</v>
      </c>
      <c r="Q434" t="s">
        <v>130</v>
      </c>
      <c r="R434">
        <v>1</v>
      </c>
      <c r="T434" s="93">
        <v>46014</v>
      </c>
      <c r="U434" t="s">
        <v>582</v>
      </c>
      <c r="V434" s="93">
        <v>46206</v>
      </c>
      <c r="W434" t="s">
        <v>569</v>
      </c>
      <c r="X434">
        <v>45</v>
      </c>
      <c r="AB434" s="93"/>
      <c r="AD434" s="93"/>
      <c r="AH434">
        <v>1</v>
      </c>
      <c r="AI434">
        <v>1</v>
      </c>
      <c r="AJ434">
        <v>1</v>
      </c>
      <c r="AK434">
        <v>2025</v>
      </c>
      <c r="AL434" t="s">
        <v>230</v>
      </c>
      <c r="AO434">
        <v>1</v>
      </c>
      <c r="AP434" t="s">
        <v>80</v>
      </c>
      <c r="AQ434">
        <v>15.8</v>
      </c>
    </row>
    <row r="435" spans="1:43" x14ac:dyDescent="0.3">
      <c r="A435" s="102" t="s">
        <v>704</v>
      </c>
      <c r="B435" t="s">
        <v>137</v>
      </c>
      <c r="C435" s="93">
        <v>43244</v>
      </c>
      <c r="E435">
        <v>0</v>
      </c>
      <c r="J435" s="93">
        <v>45257</v>
      </c>
      <c r="K435" t="s">
        <v>131</v>
      </c>
      <c r="L435" t="s">
        <v>125</v>
      </c>
      <c r="N435" t="s">
        <v>138</v>
      </c>
      <c r="O435" t="s">
        <v>186</v>
      </c>
      <c r="P435" t="s">
        <v>596</v>
      </c>
      <c r="Q435" t="s">
        <v>130</v>
      </c>
      <c r="R435">
        <v>1</v>
      </c>
      <c r="T435" s="93">
        <v>45287</v>
      </c>
      <c r="U435" t="s">
        <v>582</v>
      </c>
      <c r="X435">
        <v>45</v>
      </c>
      <c r="AD435" s="93">
        <v>45995</v>
      </c>
      <c r="AE435" t="s">
        <v>296</v>
      </c>
      <c r="AF435" t="s">
        <v>291</v>
      </c>
      <c r="AH435">
        <v>1</v>
      </c>
      <c r="AI435">
        <v>1</v>
      </c>
      <c r="AJ435">
        <v>0</v>
      </c>
      <c r="AK435">
        <v>2023</v>
      </c>
      <c r="AL435" t="s">
        <v>207</v>
      </c>
      <c r="AO435">
        <v>1</v>
      </c>
      <c r="AP435" t="s">
        <v>80</v>
      </c>
      <c r="AQ435">
        <v>66.2</v>
      </c>
    </row>
    <row r="436" spans="1:43" x14ac:dyDescent="0.3">
      <c r="A436" s="102" t="s">
        <v>705</v>
      </c>
      <c r="B436" t="s">
        <v>137</v>
      </c>
      <c r="C436" s="93">
        <v>43467</v>
      </c>
      <c r="E436">
        <v>0</v>
      </c>
      <c r="J436" s="93">
        <v>45209</v>
      </c>
      <c r="K436" t="s">
        <v>131</v>
      </c>
      <c r="L436" t="s">
        <v>125</v>
      </c>
      <c r="N436" t="s">
        <v>138</v>
      </c>
      <c r="O436" t="s">
        <v>186</v>
      </c>
      <c r="P436" t="s">
        <v>596</v>
      </c>
      <c r="Q436" t="s">
        <v>130</v>
      </c>
      <c r="R436">
        <v>1</v>
      </c>
      <c r="T436" s="93">
        <v>45240</v>
      </c>
      <c r="U436" t="s">
        <v>582</v>
      </c>
      <c r="X436">
        <v>45</v>
      </c>
      <c r="AA436">
        <v>0</v>
      </c>
      <c r="AB436" s="93">
        <v>45483</v>
      </c>
      <c r="AD436" s="93">
        <v>45995</v>
      </c>
      <c r="AE436" t="s">
        <v>296</v>
      </c>
      <c r="AF436" t="s">
        <v>291</v>
      </c>
      <c r="AH436">
        <v>1</v>
      </c>
      <c r="AI436">
        <v>1</v>
      </c>
      <c r="AJ436">
        <v>0</v>
      </c>
      <c r="AK436">
        <v>2023</v>
      </c>
      <c r="AL436" t="s">
        <v>206</v>
      </c>
      <c r="AO436">
        <v>1</v>
      </c>
      <c r="AP436" t="s">
        <v>80</v>
      </c>
      <c r="AQ436">
        <v>57.3</v>
      </c>
    </row>
    <row r="437" spans="1:43" x14ac:dyDescent="0.3">
      <c r="A437" s="102" t="s">
        <v>706</v>
      </c>
      <c r="B437" t="s">
        <v>137</v>
      </c>
      <c r="C437" s="93">
        <v>43708</v>
      </c>
      <c r="E437">
        <v>0</v>
      </c>
      <c r="J437" s="93">
        <v>45235</v>
      </c>
      <c r="K437" t="s">
        <v>131</v>
      </c>
      <c r="L437" t="s">
        <v>125</v>
      </c>
      <c r="N437" t="s">
        <v>138</v>
      </c>
      <c r="O437" t="s">
        <v>186</v>
      </c>
      <c r="P437" t="s">
        <v>596</v>
      </c>
      <c r="Q437" t="s">
        <v>130</v>
      </c>
      <c r="R437">
        <v>1</v>
      </c>
      <c r="T437" s="93">
        <v>45265</v>
      </c>
      <c r="U437" t="s">
        <v>582</v>
      </c>
      <c r="X437">
        <v>45</v>
      </c>
      <c r="AD437" s="93">
        <v>45995</v>
      </c>
      <c r="AE437" t="s">
        <v>296</v>
      </c>
      <c r="AF437" t="s">
        <v>291</v>
      </c>
      <c r="AH437">
        <v>1</v>
      </c>
      <c r="AI437">
        <v>1</v>
      </c>
      <c r="AJ437">
        <v>0</v>
      </c>
      <c r="AK437">
        <v>2023</v>
      </c>
      <c r="AL437" t="s">
        <v>207</v>
      </c>
      <c r="AO437">
        <v>1</v>
      </c>
      <c r="AP437" t="s">
        <v>80</v>
      </c>
      <c r="AQ437">
        <v>50.2</v>
      </c>
    </row>
    <row r="438" spans="1:43" x14ac:dyDescent="0.3">
      <c r="A438" s="102" t="s">
        <v>707</v>
      </c>
      <c r="B438" t="s">
        <v>137</v>
      </c>
      <c r="C438" s="93">
        <v>42630</v>
      </c>
      <c r="E438">
        <v>0</v>
      </c>
      <c r="J438" s="93">
        <v>45257</v>
      </c>
      <c r="K438" t="s">
        <v>131</v>
      </c>
      <c r="L438" t="s">
        <v>125</v>
      </c>
      <c r="N438" t="s">
        <v>138</v>
      </c>
      <c r="O438" t="s">
        <v>186</v>
      </c>
      <c r="P438" t="s">
        <v>596</v>
      </c>
      <c r="Q438" t="s">
        <v>130</v>
      </c>
      <c r="R438">
        <v>1</v>
      </c>
      <c r="T438" s="93">
        <v>45287</v>
      </c>
      <c r="U438" t="s">
        <v>582</v>
      </c>
      <c r="X438">
        <v>45</v>
      </c>
      <c r="AB438" s="93"/>
      <c r="AD438" s="93">
        <v>45995</v>
      </c>
      <c r="AE438" t="s">
        <v>296</v>
      </c>
      <c r="AF438" t="s">
        <v>291</v>
      </c>
      <c r="AH438">
        <v>1</v>
      </c>
      <c r="AI438">
        <v>1</v>
      </c>
      <c r="AJ438">
        <v>0</v>
      </c>
      <c r="AK438">
        <v>2023</v>
      </c>
      <c r="AL438" t="s">
        <v>207</v>
      </c>
      <c r="AO438">
        <v>1</v>
      </c>
      <c r="AP438" t="s">
        <v>80</v>
      </c>
      <c r="AQ438">
        <v>86.4</v>
      </c>
    </row>
    <row r="439" spans="1:43" x14ac:dyDescent="0.3">
      <c r="A439" s="102" t="s">
        <v>708</v>
      </c>
      <c r="B439" t="s">
        <v>137</v>
      </c>
      <c r="C439" s="93">
        <v>44127</v>
      </c>
      <c r="D439" s="93"/>
      <c r="E439">
        <v>0</v>
      </c>
      <c r="J439" s="93">
        <v>45360</v>
      </c>
      <c r="K439" t="s">
        <v>131</v>
      </c>
      <c r="L439" t="s">
        <v>125</v>
      </c>
      <c r="N439" t="s">
        <v>138</v>
      </c>
      <c r="O439" t="s">
        <v>186</v>
      </c>
      <c r="P439" t="s">
        <v>596</v>
      </c>
      <c r="Q439" t="s">
        <v>130</v>
      </c>
      <c r="R439">
        <v>1</v>
      </c>
      <c r="T439" s="93">
        <v>45391</v>
      </c>
      <c r="U439" t="s">
        <v>582</v>
      </c>
      <c r="X439">
        <v>45</v>
      </c>
      <c r="AB439" s="93"/>
      <c r="AD439" s="93">
        <v>45995</v>
      </c>
      <c r="AE439" t="s">
        <v>296</v>
      </c>
      <c r="AF439" t="s">
        <v>291</v>
      </c>
      <c r="AH439">
        <v>1</v>
      </c>
      <c r="AI439">
        <v>1</v>
      </c>
      <c r="AJ439">
        <v>0</v>
      </c>
      <c r="AK439">
        <v>2024</v>
      </c>
      <c r="AL439" t="s">
        <v>211</v>
      </c>
      <c r="AO439">
        <v>1</v>
      </c>
      <c r="AP439" t="s">
        <v>80</v>
      </c>
      <c r="AQ439">
        <v>40.6</v>
      </c>
    </row>
    <row r="440" spans="1:43" x14ac:dyDescent="0.3">
      <c r="A440" s="102" t="s">
        <v>709</v>
      </c>
      <c r="B440" t="s">
        <v>137</v>
      </c>
      <c r="C440" s="93">
        <v>41975</v>
      </c>
      <c r="D440" s="93"/>
      <c r="E440">
        <v>0</v>
      </c>
      <c r="J440" s="93">
        <v>45257</v>
      </c>
      <c r="K440" t="s">
        <v>131</v>
      </c>
      <c r="L440" t="s">
        <v>125</v>
      </c>
      <c r="N440" t="s">
        <v>138</v>
      </c>
      <c r="O440" t="s">
        <v>186</v>
      </c>
      <c r="P440" t="s">
        <v>596</v>
      </c>
      <c r="Q440" t="s">
        <v>130</v>
      </c>
      <c r="R440">
        <v>1</v>
      </c>
      <c r="T440" s="93">
        <v>45287</v>
      </c>
      <c r="U440" t="s">
        <v>582</v>
      </c>
      <c r="X440">
        <v>45</v>
      </c>
      <c r="AB440" s="93"/>
      <c r="AD440" s="93">
        <v>45995</v>
      </c>
      <c r="AE440" t="s">
        <v>296</v>
      </c>
      <c r="AF440" t="s">
        <v>291</v>
      </c>
      <c r="AH440">
        <v>1</v>
      </c>
      <c r="AI440">
        <v>1</v>
      </c>
      <c r="AJ440">
        <v>0</v>
      </c>
      <c r="AK440">
        <v>2023</v>
      </c>
      <c r="AL440" t="s">
        <v>207</v>
      </c>
      <c r="AO440">
        <v>1</v>
      </c>
      <c r="AP440" t="s">
        <v>80</v>
      </c>
      <c r="AQ440">
        <v>108</v>
      </c>
    </row>
    <row r="441" spans="1:43" x14ac:dyDescent="0.3">
      <c r="A441" s="102" t="s">
        <v>710</v>
      </c>
      <c r="B441" t="s">
        <v>137</v>
      </c>
      <c r="C441" s="93">
        <v>41975</v>
      </c>
      <c r="D441" s="93"/>
      <c r="E441">
        <v>0</v>
      </c>
      <c r="J441" s="93">
        <v>45251</v>
      </c>
      <c r="K441" t="s">
        <v>131</v>
      </c>
      <c r="L441" t="s">
        <v>125</v>
      </c>
      <c r="N441" t="s">
        <v>138</v>
      </c>
      <c r="O441" t="s">
        <v>186</v>
      </c>
      <c r="P441" t="s">
        <v>596</v>
      </c>
      <c r="Q441" t="s">
        <v>130</v>
      </c>
      <c r="R441">
        <v>1</v>
      </c>
      <c r="T441" s="93">
        <v>45302</v>
      </c>
      <c r="U441" t="s">
        <v>582</v>
      </c>
      <c r="X441">
        <v>45</v>
      </c>
      <c r="AA441">
        <v>2295</v>
      </c>
      <c r="AB441" s="93">
        <v>45515</v>
      </c>
      <c r="AD441" s="93">
        <v>45995</v>
      </c>
      <c r="AE441" t="s">
        <v>296</v>
      </c>
      <c r="AF441" t="s">
        <v>292</v>
      </c>
      <c r="AH441">
        <v>1</v>
      </c>
      <c r="AI441">
        <v>1</v>
      </c>
      <c r="AJ441">
        <v>0</v>
      </c>
      <c r="AK441">
        <v>2023</v>
      </c>
      <c r="AL441" t="s">
        <v>207</v>
      </c>
      <c r="AO441">
        <v>0</v>
      </c>
      <c r="AP441" t="s">
        <v>80</v>
      </c>
      <c r="AQ441">
        <v>107.8</v>
      </c>
    </row>
    <row r="442" spans="1:43" x14ac:dyDescent="0.3">
      <c r="A442" s="102" t="s">
        <v>710</v>
      </c>
      <c r="B442" t="s">
        <v>137</v>
      </c>
      <c r="C442" s="93">
        <v>41975</v>
      </c>
      <c r="D442" s="93">
        <v>45515</v>
      </c>
      <c r="E442">
        <v>1</v>
      </c>
      <c r="F442" t="s">
        <v>275</v>
      </c>
      <c r="I442">
        <v>0</v>
      </c>
      <c r="J442" s="93">
        <v>45572</v>
      </c>
      <c r="K442" t="s">
        <v>131</v>
      </c>
      <c r="L442" t="s">
        <v>125</v>
      </c>
      <c r="N442" t="s">
        <v>126</v>
      </c>
      <c r="O442" t="s">
        <v>175</v>
      </c>
      <c r="P442" t="s">
        <v>596</v>
      </c>
      <c r="Q442" t="s">
        <v>130</v>
      </c>
      <c r="R442">
        <v>1</v>
      </c>
      <c r="T442" s="93">
        <v>45603</v>
      </c>
      <c r="U442" t="s">
        <v>602</v>
      </c>
      <c r="X442">
        <v>45</v>
      </c>
      <c r="Z442">
        <v>2295</v>
      </c>
      <c r="AA442">
        <v>2295</v>
      </c>
      <c r="AB442" s="93">
        <v>45515</v>
      </c>
      <c r="AD442" s="93">
        <v>45995</v>
      </c>
      <c r="AE442" t="s">
        <v>296</v>
      </c>
      <c r="AF442" t="s">
        <v>292</v>
      </c>
      <c r="AH442">
        <v>0</v>
      </c>
      <c r="AI442">
        <v>1</v>
      </c>
      <c r="AJ442">
        <v>0</v>
      </c>
      <c r="AK442">
        <v>2024</v>
      </c>
      <c r="AL442" t="s">
        <v>218</v>
      </c>
      <c r="AM442">
        <v>57</v>
      </c>
      <c r="AN442" t="s">
        <v>135</v>
      </c>
      <c r="AO442">
        <v>0</v>
      </c>
      <c r="AP442" t="s">
        <v>79</v>
      </c>
      <c r="AQ442">
        <v>118.3</v>
      </c>
    </row>
    <row r="443" spans="1:43" x14ac:dyDescent="0.3">
      <c r="A443" s="102" t="s">
        <v>710</v>
      </c>
      <c r="B443" t="s">
        <v>137</v>
      </c>
      <c r="C443" s="93">
        <v>41975</v>
      </c>
      <c r="D443" s="93">
        <v>45515</v>
      </c>
      <c r="E443">
        <v>1</v>
      </c>
      <c r="F443" t="s">
        <v>275</v>
      </c>
      <c r="I443">
        <v>0</v>
      </c>
      <c r="J443" s="93">
        <v>45614</v>
      </c>
      <c r="K443" t="s">
        <v>131</v>
      </c>
      <c r="L443" t="s">
        <v>125</v>
      </c>
      <c r="N443" t="s">
        <v>126</v>
      </c>
      <c r="O443" t="s">
        <v>175</v>
      </c>
      <c r="P443" t="s">
        <v>596</v>
      </c>
      <c r="Q443" t="s">
        <v>130</v>
      </c>
      <c r="R443">
        <v>2</v>
      </c>
      <c r="S443">
        <v>42</v>
      </c>
      <c r="T443" s="93">
        <v>45645</v>
      </c>
      <c r="U443" t="s">
        <v>602</v>
      </c>
      <c r="X443">
        <v>45</v>
      </c>
      <c r="Z443">
        <v>2295</v>
      </c>
      <c r="AA443">
        <v>2295</v>
      </c>
      <c r="AB443" s="93">
        <v>45515</v>
      </c>
      <c r="AD443" s="93">
        <v>45995</v>
      </c>
      <c r="AE443" t="s">
        <v>296</v>
      </c>
      <c r="AF443" t="s">
        <v>292</v>
      </c>
      <c r="AH443">
        <v>0</v>
      </c>
      <c r="AI443">
        <v>1</v>
      </c>
      <c r="AJ443">
        <v>0</v>
      </c>
      <c r="AK443">
        <v>2024</v>
      </c>
      <c r="AL443" t="s">
        <v>219</v>
      </c>
      <c r="AM443">
        <v>99</v>
      </c>
      <c r="AN443" t="s">
        <v>145</v>
      </c>
      <c r="AO443">
        <v>0</v>
      </c>
      <c r="AP443" t="s">
        <v>79</v>
      </c>
      <c r="AQ443">
        <v>119.7</v>
      </c>
    </row>
    <row r="444" spans="1:43" x14ac:dyDescent="0.3">
      <c r="A444" s="102" t="s">
        <v>710</v>
      </c>
      <c r="B444" t="s">
        <v>137</v>
      </c>
      <c r="C444" s="93">
        <v>41975</v>
      </c>
      <c r="D444" s="93">
        <v>45515</v>
      </c>
      <c r="E444">
        <v>1</v>
      </c>
      <c r="F444" t="s">
        <v>275</v>
      </c>
      <c r="I444">
        <v>0</v>
      </c>
      <c r="J444" s="93">
        <v>45656</v>
      </c>
      <c r="K444" t="s">
        <v>131</v>
      </c>
      <c r="L444" t="s">
        <v>125</v>
      </c>
      <c r="N444" t="s">
        <v>126</v>
      </c>
      <c r="O444" t="s">
        <v>175</v>
      </c>
      <c r="P444" t="s">
        <v>596</v>
      </c>
      <c r="Q444" t="s">
        <v>130</v>
      </c>
      <c r="R444">
        <v>3</v>
      </c>
      <c r="S444">
        <v>42</v>
      </c>
      <c r="T444" s="93">
        <v>45698</v>
      </c>
      <c r="U444" t="s">
        <v>582</v>
      </c>
      <c r="X444">
        <v>45</v>
      </c>
      <c r="Z444">
        <v>2295</v>
      </c>
      <c r="AA444">
        <v>2295</v>
      </c>
      <c r="AB444" s="93">
        <v>45515</v>
      </c>
      <c r="AD444" s="93">
        <v>45995</v>
      </c>
      <c r="AE444" t="s">
        <v>296</v>
      </c>
      <c r="AF444" t="s">
        <v>292</v>
      </c>
      <c r="AH444">
        <v>1</v>
      </c>
      <c r="AI444">
        <v>1</v>
      </c>
      <c r="AJ444">
        <v>0</v>
      </c>
      <c r="AK444">
        <v>2024</v>
      </c>
      <c r="AL444" t="s">
        <v>220</v>
      </c>
      <c r="AM444">
        <v>141</v>
      </c>
      <c r="AN444" t="s">
        <v>155</v>
      </c>
      <c r="AO444">
        <v>1</v>
      </c>
      <c r="AP444" t="s">
        <v>79</v>
      </c>
      <c r="AQ444">
        <v>121.1</v>
      </c>
    </row>
    <row r="445" spans="1:43" x14ac:dyDescent="0.3">
      <c r="A445" s="102" t="s">
        <v>711</v>
      </c>
      <c r="B445" t="s">
        <v>137</v>
      </c>
      <c r="C445" s="93">
        <v>42464</v>
      </c>
      <c r="E445">
        <v>0</v>
      </c>
      <c r="J445" s="93">
        <v>45235</v>
      </c>
      <c r="K445" t="s">
        <v>131</v>
      </c>
      <c r="L445" t="s">
        <v>125</v>
      </c>
      <c r="N445" t="s">
        <v>138</v>
      </c>
      <c r="O445" t="s">
        <v>186</v>
      </c>
      <c r="P445" t="s">
        <v>596</v>
      </c>
      <c r="Q445" t="s">
        <v>130</v>
      </c>
      <c r="R445">
        <v>1</v>
      </c>
      <c r="T445" s="93">
        <v>45265</v>
      </c>
      <c r="U445" t="s">
        <v>582</v>
      </c>
      <c r="X445">
        <v>45</v>
      </c>
      <c r="AA445">
        <v>0</v>
      </c>
      <c r="AB445" s="93">
        <v>45507</v>
      </c>
      <c r="AD445" s="93">
        <v>45995</v>
      </c>
      <c r="AE445" t="s">
        <v>296</v>
      </c>
      <c r="AF445" t="s">
        <v>291</v>
      </c>
      <c r="AH445">
        <v>1</v>
      </c>
      <c r="AI445">
        <v>1</v>
      </c>
      <c r="AJ445">
        <v>0</v>
      </c>
      <c r="AK445">
        <v>2023</v>
      </c>
      <c r="AL445" t="s">
        <v>207</v>
      </c>
      <c r="AO445">
        <v>1</v>
      </c>
      <c r="AP445" t="s">
        <v>80</v>
      </c>
      <c r="AQ445">
        <v>91.2</v>
      </c>
    </row>
    <row r="446" spans="1:43" x14ac:dyDescent="0.3">
      <c r="A446" s="102" t="s">
        <v>712</v>
      </c>
      <c r="B446" t="s">
        <v>137</v>
      </c>
      <c r="C446" s="93">
        <v>42464</v>
      </c>
      <c r="E446">
        <v>0</v>
      </c>
      <c r="J446" s="93">
        <v>45229</v>
      </c>
      <c r="K446" t="s">
        <v>131</v>
      </c>
      <c r="L446" t="s">
        <v>125</v>
      </c>
      <c r="N446" t="s">
        <v>138</v>
      </c>
      <c r="O446" t="s">
        <v>186</v>
      </c>
      <c r="P446" t="s">
        <v>596</v>
      </c>
      <c r="Q446" t="s">
        <v>130</v>
      </c>
      <c r="R446">
        <v>1</v>
      </c>
      <c r="T446" s="93">
        <v>45260</v>
      </c>
      <c r="U446" t="s">
        <v>582</v>
      </c>
      <c r="X446">
        <v>45</v>
      </c>
      <c r="AA446">
        <v>0</v>
      </c>
      <c r="AB446" s="93">
        <v>45507</v>
      </c>
      <c r="AD446" s="93">
        <v>45995</v>
      </c>
      <c r="AE446" t="s">
        <v>296</v>
      </c>
      <c r="AF446" t="s">
        <v>292</v>
      </c>
      <c r="AH446">
        <v>1</v>
      </c>
      <c r="AI446">
        <v>1</v>
      </c>
      <c r="AJ446">
        <v>0</v>
      </c>
      <c r="AK446">
        <v>2023</v>
      </c>
      <c r="AL446" t="s">
        <v>206</v>
      </c>
      <c r="AO446">
        <v>1</v>
      </c>
      <c r="AP446" t="s">
        <v>80</v>
      </c>
      <c r="AQ446">
        <v>91</v>
      </c>
    </row>
    <row r="447" spans="1:43" x14ac:dyDescent="0.3">
      <c r="A447" s="102" t="s">
        <v>713</v>
      </c>
      <c r="B447" t="s">
        <v>137</v>
      </c>
      <c r="C447" s="93">
        <v>41973</v>
      </c>
      <c r="E447">
        <v>0</v>
      </c>
      <c r="J447" s="93">
        <v>45257</v>
      </c>
      <c r="K447" t="s">
        <v>131</v>
      </c>
      <c r="L447" t="s">
        <v>125</v>
      </c>
      <c r="N447" t="s">
        <v>138</v>
      </c>
      <c r="O447" t="s">
        <v>186</v>
      </c>
      <c r="P447" t="s">
        <v>596</v>
      </c>
      <c r="Q447" t="s">
        <v>130</v>
      </c>
      <c r="R447">
        <v>1</v>
      </c>
      <c r="T447" s="93">
        <v>45287</v>
      </c>
      <c r="U447" t="s">
        <v>582</v>
      </c>
      <c r="X447">
        <v>45</v>
      </c>
      <c r="AD447" s="93">
        <v>45995</v>
      </c>
      <c r="AE447" t="s">
        <v>296</v>
      </c>
      <c r="AF447" t="s">
        <v>291</v>
      </c>
      <c r="AH447">
        <v>1</v>
      </c>
      <c r="AI447">
        <v>1</v>
      </c>
      <c r="AJ447">
        <v>0</v>
      </c>
      <c r="AK447">
        <v>2023</v>
      </c>
      <c r="AL447" t="s">
        <v>207</v>
      </c>
      <c r="AO447">
        <v>1</v>
      </c>
      <c r="AP447" t="s">
        <v>80</v>
      </c>
      <c r="AQ447">
        <v>108</v>
      </c>
    </row>
    <row r="448" spans="1:43" x14ac:dyDescent="0.3">
      <c r="A448" s="102" t="s">
        <v>714</v>
      </c>
      <c r="B448" t="s">
        <v>137</v>
      </c>
      <c r="C448" s="93">
        <v>41853</v>
      </c>
      <c r="E448">
        <v>0</v>
      </c>
      <c r="J448" s="93">
        <v>45460</v>
      </c>
      <c r="K448" t="s">
        <v>131</v>
      </c>
      <c r="L448" t="s">
        <v>125</v>
      </c>
      <c r="N448" t="s">
        <v>138</v>
      </c>
      <c r="O448" t="s">
        <v>186</v>
      </c>
      <c r="P448" t="s">
        <v>596</v>
      </c>
      <c r="Q448" t="s">
        <v>130</v>
      </c>
      <c r="R448">
        <v>1</v>
      </c>
      <c r="T448" s="93">
        <v>45498</v>
      </c>
      <c r="U448" t="s">
        <v>582</v>
      </c>
      <c r="X448">
        <v>45</v>
      </c>
      <c r="AA448">
        <v>0</v>
      </c>
      <c r="AB448" s="93">
        <v>45731</v>
      </c>
      <c r="AD448" s="93">
        <v>45995</v>
      </c>
      <c r="AE448" t="s">
        <v>296</v>
      </c>
      <c r="AF448" t="s">
        <v>292</v>
      </c>
      <c r="AH448">
        <v>1</v>
      </c>
      <c r="AI448">
        <v>1</v>
      </c>
      <c r="AJ448">
        <v>0</v>
      </c>
      <c r="AK448">
        <v>2024</v>
      </c>
      <c r="AL448" t="s">
        <v>214</v>
      </c>
      <c r="AO448">
        <v>1</v>
      </c>
      <c r="AP448" t="s">
        <v>80</v>
      </c>
      <c r="AQ448">
        <v>118.7</v>
      </c>
    </row>
    <row r="449" spans="1:43" x14ac:dyDescent="0.3">
      <c r="A449" s="102" t="s">
        <v>715</v>
      </c>
      <c r="B449" t="s">
        <v>137</v>
      </c>
      <c r="C449" s="93">
        <v>42135</v>
      </c>
      <c r="E449">
        <v>0</v>
      </c>
      <c r="J449" s="93">
        <v>45185</v>
      </c>
      <c r="K449" t="s">
        <v>131</v>
      </c>
      <c r="L449" t="s">
        <v>125</v>
      </c>
      <c r="N449" t="s">
        <v>138</v>
      </c>
      <c r="O449" t="s">
        <v>186</v>
      </c>
      <c r="P449" t="s">
        <v>596</v>
      </c>
      <c r="Q449" t="s">
        <v>130</v>
      </c>
      <c r="R449">
        <v>1</v>
      </c>
      <c r="T449" s="93">
        <v>45218</v>
      </c>
      <c r="U449" t="s">
        <v>602</v>
      </c>
      <c r="X449">
        <v>45</v>
      </c>
      <c r="AD449" s="93">
        <v>45995</v>
      </c>
      <c r="AE449" t="s">
        <v>296</v>
      </c>
      <c r="AF449" t="s">
        <v>292</v>
      </c>
      <c r="AH449">
        <v>0</v>
      </c>
      <c r="AI449">
        <v>1</v>
      </c>
      <c r="AJ449">
        <v>0</v>
      </c>
      <c r="AK449">
        <v>2023</v>
      </c>
      <c r="AL449" t="s">
        <v>205</v>
      </c>
      <c r="AO449">
        <v>0</v>
      </c>
      <c r="AP449" t="s">
        <v>80</v>
      </c>
      <c r="AQ449">
        <v>100.3</v>
      </c>
    </row>
    <row r="450" spans="1:43" x14ac:dyDescent="0.3">
      <c r="A450" s="102" t="s">
        <v>715</v>
      </c>
      <c r="B450" t="s">
        <v>137</v>
      </c>
      <c r="C450" s="93">
        <v>42135</v>
      </c>
      <c r="E450">
        <v>0</v>
      </c>
      <c r="J450" s="93">
        <v>45229</v>
      </c>
      <c r="K450" t="s">
        <v>131</v>
      </c>
      <c r="L450" t="s">
        <v>125</v>
      </c>
      <c r="N450" t="s">
        <v>138</v>
      </c>
      <c r="O450" t="s">
        <v>186</v>
      </c>
      <c r="P450" t="s">
        <v>596</v>
      </c>
      <c r="Q450" t="s">
        <v>130</v>
      </c>
      <c r="R450">
        <v>2</v>
      </c>
      <c r="S450">
        <v>44</v>
      </c>
      <c r="T450" s="93">
        <v>45260</v>
      </c>
      <c r="U450" t="s">
        <v>602</v>
      </c>
      <c r="X450">
        <v>45</v>
      </c>
      <c r="AD450" s="93">
        <v>45995</v>
      </c>
      <c r="AE450" t="s">
        <v>296</v>
      </c>
      <c r="AF450" t="s">
        <v>292</v>
      </c>
      <c r="AH450">
        <v>0</v>
      </c>
      <c r="AI450">
        <v>1</v>
      </c>
      <c r="AJ450">
        <v>0</v>
      </c>
      <c r="AK450">
        <v>2023</v>
      </c>
      <c r="AL450" t="s">
        <v>206</v>
      </c>
      <c r="AO450">
        <v>0</v>
      </c>
      <c r="AP450" t="s">
        <v>80</v>
      </c>
      <c r="AQ450">
        <v>101.8</v>
      </c>
    </row>
    <row r="451" spans="1:43" x14ac:dyDescent="0.3">
      <c r="A451" s="102" t="s">
        <v>715</v>
      </c>
      <c r="B451" t="s">
        <v>137</v>
      </c>
      <c r="C451" s="93">
        <v>42135</v>
      </c>
      <c r="E451">
        <v>0</v>
      </c>
      <c r="J451" s="93">
        <v>45271</v>
      </c>
      <c r="K451" t="s">
        <v>131</v>
      </c>
      <c r="L451" t="s">
        <v>125</v>
      </c>
      <c r="N451" t="s">
        <v>138</v>
      </c>
      <c r="O451" t="s">
        <v>186</v>
      </c>
      <c r="P451" t="s">
        <v>596</v>
      </c>
      <c r="Q451" t="s">
        <v>130</v>
      </c>
      <c r="R451">
        <v>3</v>
      </c>
      <c r="S451">
        <v>42</v>
      </c>
      <c r="T451" s="93">
        <v>45302</v>
      </c>
      <c r="U451" t="s">
        <v>602</v>
      </c>
      <c r="X451">
        <v>45</v>
      </c>
      <c r="AD451" s="93">
        <v>45995</v>
      </c>
      <c r="AE451" t="s">
        <v>296</v>
      </c>
      <c r="AF451" t="s">
        <v>292</v>
      </c>
      <c r="AH451">
        <v>0</v>
      </c>
      <c r="AI451">
        <v>1</v>
      </c>
      <c r="AJ451">
        <v>0</v>
      </c>
      <c r="AK451">
        <v>2023</v>
      </c>
      <c r="AL451" t="s">
        <v>208</v>
      </c>
      <c r="AO451">
        <v>0</v>
      </c>
      <c r="AP451" t="s">
        <v>80</v>
      </c>
      <c r="AQ451">
        <v>103.2</v>
      </c>
    </row>
    <row r="452" spans="1:43" x14ac:dyDescent="0.3">
      <c r="A452" s="102" t="s">
        <v>715</v>
      </c>
      <c r="B452" t="s">
        <v>137</v>
      </c>
      <c r="C452" s="93">
        <v>42135</v>
      </c>
      <c r="E452">
        <v>0</v>
      </c>
      <c r="J452" s="93">
        <v>45313</v>
      </c>
      <c r="K452" t="s">
        <v>131</v>
      </c>
      <c r="L452" t="s">
        <v>125</v>
      </c>
      <c r="N452" t="s">
        <v>138</v>
      </c>
      <c r="O452" t="s">
        <v>186</v>
      </c>
      <c r="P452" t="s">
        <v>596</v>
      </c>
      <c r="Q452" t="s">
        <v>130</v>
      </c>
      <c r="R452">
        <v>4</v>
      </c>
      <c r="S452">
        <v>42</v>
      </c>
      <c r="T452" s="93">
        <v>45344</v>
      </c>
      <c r="U452" t="s">
        <v>602</v>
      </c>
      <c r="X452">
        <v>45</v>
      </c>
      <c r="AD452" s="93">
        <v>45995</v>
      </c>
      <c r="AE452" t="s">
        <v>296</v>
      </c>
      <c r="AF452" t="s">
        <v>292</v>
      </c>
      <c r="AH452">
        <v>0</v>
      </c>
      <c r="AI452">
        <v>1</v>
      </c>
      <c r="AJ452">
        <v>0</v>
      </c>
      <c r="AK452">
        <v>2024</v>
      </c>
      <c r="AL452" t="s">
        <v>209</v>
      </c>
      <c r="AO452">
        <v>0</v>
      </c>
      <c r="AP452" t="s">
        <v>80</v>
      </c>
      <c r="AQ452">
        <v>104.5</v>
      </c>
    </row>
    <row r="453" spans="1:43" x14ac:dyDescent="0.3">
      <c r="A453" s="102" t="s">
        <v>715</v>
      </c>
      <c r="B453" t="s">
        <v>137</v>
      </c>
      <c r="C453" s="93">
        <v>42135</v>
      </c>
      <c r="E453">
        <v>0</v>
      </c>
      <c r="J453" s="93">
        <v>45355</v>
      </c>
      <c r="K453" t="s">
        <v>131</v>
      </c>
      <c r="L453" t="s">
        <v>125</v>
      </c>
      <c r="N453" t="s">
        <v>138</v>
      </c>
      <c r="O453" t="s">
        <v>186</v>
      </c>
      <c r="P453" t="s">
        <v>596</v>
      </c>
      <c r="Q453" t="s">
        <v>130</v>
      </c>
      <c r="R453">
        <v>5</v>
      </c>
      <c r="S453">
        <v>42</v>
      </c>
      <c r="T453" s="93">
        <v>45386</v>
      </c>
      <c r="U453" t="s">
        <v>602</v>
      </c>
      <c r="X453">
        <v>45</v>
      </c>
      <c r="AD453" s="93">
        <v>45995</v>
      </c>
      <c r="AE453" t="s">
        <v>296</v>
      </c>
      <c r="AF453" t="s">
        <v>292</v>
      </c>
      <c r="AH453">
        <v>0</v>
      </c>
      <c r="AI453">
        <v>1</v>
      </c>
      <c r="AJ453">
        <v>0</v>
      </c>
      <c r="AK453">
        <v>2024</v>
      </c>
      <c r="AL453" t="s">
        <v>211</v>
      </c>
      <c r="AO453">
        <v>0</v>
      </c>
      <c r="AP453" t="s">
        <v>80</v>
      </c>
      <c r="AQ453">
        <v>105.9</v>
      </c>
    </row>
    <row r="454" spans="1:43" x14ac:dyDescent="0.3">
      <c r="A454" s="102" t="s">
        <v>715</v>
      </c>
      <c r="B454" t="s">
        <v>137</v>
      </c>
      <c r="C454" s="93">
        <v>42135</v>
      </c>
      <c r="E454">
        <v>0</v>
      </c>
      <c r="J454" s="93">
        <v>45397</v>
      </c>
      <c r="K454" t="s">
        <v>131</v>
      </c>
      <c r="L454" t="s">
        <v>125</v>
      </c>
      <c r="N454" t="s">
        <v>138</v>
      </c>
      <c r="O454" t="s">
        <v>186</v>
      </c>
      <c r="P454" t="s">
        <v>596</v>
      </c>
      <c r="Q454" t="s">
        <v>130</v>
      </c>
      <c r="R454">
        <v>6</v>
      </c>
      <c r="S454">
        <v>42</v>
      </c>
      <c r="T454" s="93">
        <v>45428</v>
      </c>
      <c r="U454" t="s">
        <v>602</v>
      </c>
      <c r="X454">
        <v>45</v>
      </c>
      <c r="AD454" s="93">
        <v>45995</v>
      </c>
      <c r="AE454" t="s">
        <v>296</v>
      </c>
      <c r="AF454" t="s">
        <v>292</v>
      </c>
      <c r="AH454">
        <v>0</v>
      </c>
      <c r="AI454">
        <v>1</v>
      </c>
      <c r="AJ454">
        <v>0</v>
      </c>
      <c r="AK454">
        <v>2024</v>
      </c>
      <c r="AL454" t="s">
        <v>212</v>
      </c>
      <c r="AO454">
        <v>0</v>
      </c>
      <c r="AP454" t="s">
        <v>80</v>
      </c>
      <c r="AQ454">
        <v>107.3</v>
      </c>
    </row>
    <row r="455" spans="1:43" x14ac:dyDescent="0.3">
      <c r="A455" s="102" t="s">
        <v>715</v>
      </c>
      <c r="B455" t="s">
        <v>137</v>
      </c>
      <c r="C455" s="93">
        <v>42135</v>
      </c>
      <c r="E455">
        <v>0</v>
      </c>
      <c r="J455" s="93">
        <v>45439</v>
      </c>
      <c r="K455" t="s">
        <v>131</v>
      </c>
      <c r="L455" t="s">
        <v>125</v>
      </c>
      <c r="N455" t="s">
        <v>138</v>
      </c>
      <c r="O455" t="s">
        <v>186</v>
      </c>
      <c r="P455" t="s">
        <v>596</v>
      </c>
      <c r="Q455" t="s">
        <v>130</v>
      </c>
      <c r="R455">
        <v>7</v>
      </c>
      <c r="S455">
        <v>42</v>
      </c>
      <c r="T455" s="93">
        <v>45462</v>
      </c>
      <c r="U455" t="s">
        <v>602</v>
      </c>
      <c r="X455">
        <v>45</v>
      </c>
      <c r="AD455" s="93">
        <v>45995</v>
      </c>
      <c r="AE455" t="s">
        <v>296</v>
      </c>
      <c r="AF455" t="s">
        <v>292</v>
      </c>
      <c r="AH455">
        <v>0</v>
      </c>
      <c r="AI455">
        <v>1</v>
      </c>
      <c r="AJ455">
        <v>0</v>
      </c>
      <c r="AK455">
        <v>2024</v>
      </c>
      <c r="AL455" t="s">
        <v>213</v>
      </c>
      <c r="AO455">
        <v>0</v>
      </c>
      <c r="AP455" t="s">
        <v>80</v>
      </c>
      <c r="AQ455">
        <v>108.7</v>
      </c>
    </row>
    <row r="456" spans="1:43" x14ac:dyDescent="0.3">
      <c r="A456" s="102" t="s">
        <v>715</v>
      </c>
      <c r="B456" t="s">
        <v>137</v>
      </c>
      <c r="C456" s="93">
        <v>42135</v>
      </c>
      <c r="E456">
        <v>0</v>
      </c>
      <c r="J456" s="93">
        <v>45463</v>
      </c>
      <c r="K456" t="s">
        <v>131</v>
      </c>
      <c r="L456" t="s">
        <v>125</v>
      </c>
      <c r="N456" t="s">
        <v>138</v>
      </c>
      <c r="O456" t="s">
        <v>186</v>
      </c>
      <c r="P456" t="s">
        <v>596</v>
      </c>
      <c r="Q456" t="s">
        <v>130</v>
      </c>
      <c r="R456">
        <v>8</v>
      </c>
      <c r="S456">
        <v>24</v>
      </c>
      <c r="T456" s="93">
        <v>45498</v>
      </c>
      <c r="U456" t="s">
        <v>602</v>
      </c>
      <c r="X456">
        <v>45</v>
      </c>
      <c r="AD456" s="93">
        <v>45995</v>
      </c>
      <c r="AE456" t="s">
        <v>296</v>
      </c>
      <c r="AF456" t="s">
        <v>292</v>
      </c>
      <c r="AH456">
        <v>0</v>
      </c>
      <c r="AI456">
        <v>1</v>
      </c>
      <c r="AJ456">
        <v>0</v>
      </c>
      <c r="AK456">
        <v>2024</v>
      </c>
      <c r="AL456" t="s">
        <v>214</v>
      </c>
      <c r="AO456">
        <v>0</v>
      </c>
      <c r="AP456" t="s">
        <v>80</v>
      </c>
      <c r="AQ456">
        <v>109.5</v>
      </c>
    </row>
    <row r="457" spans="1:43" x14ac:dyDescent="0.3">
      <c r="A457" s="102" t="s">
        <v>715</v>
      </c>
      <c r="B457" t="s">
        <v>137</v>
      </c>
      <c r="C457" s="93">
        <v>42135</v>
      </c>
      <c r="E457">
        <v>0</v>
      </c>
      <c r="J457" s="93">
        <v>45507</v>
      </c>
      <c r="K457" t="s">
        <v>124</v>
      </c>
      <c r="L457" t="s">
        <v>125</v>
      </c>
      <c r="O457" t="s">
        <v>186</v>
      </c>
      <c r="Q457" t="s">
        <v>130</v>
      </c>
      <c r="R457">
        <v>9</v>
      </c>
      <c r="S457">
        <v>44</v>
      </c>
      <c r="T457" s="93">
        <v>45540</v>
      </c>
      <c r="U457" t="s">
        <v>582</v>
      </c>
      <c r="X457">
        <v>45</v>
      </c>
      <c r="AD457" s="93">
        <v>45995</v>
      </c>
      <c r="AE457" t="s">
        <v>296</v>
      </c>
      <c r="AF457" t="s">
        <v>292</v>
      </c>
      <c r="AH457">
        <v>1</v>
      </c>
      <c r="AI457">
        <v>1</v>
      </c>
      <c r="AJ457">
        <v>0</v>
      </c>
      <c r="AK457">
        <v>2024</v>
      </c>
      <c r="AL457" t="s">
        <v>216</v>
      </c>
      <c r="AO457">
        <v>1</v>
      </c>
      <c r="AP457" t="s">
        <v>80</v>
      </c>
      <c r="AQ457">
        <v>110.9</v>
      </c>
    </row>
  </sheetData>
  <autoFilter ref="A1:AQ374" xr:uid="{00000000-0009-0000-0000-00000A000000}"/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>
    <tabColor rgb="FF808080"/>
    <outlinePr summaryBelow="0"/>
  </sheetPr>
  <dimension ref="A1:L872"/>
  <sheetViews>
    <sheetView zoomScaleNormal="100" workbookViewId="0">
      <pane ySplit="1" topLeftCell="A2" activePane="bottomLeft" state="frozen"/>
      <selection pane="bottomLeft"/>
    </sheetView>
  </sheetViews>
  <sheetFormatPr defaultColWidth="8.6640625" defaultRowHeight="14.4" outlineLevelRow="1" x14ac:dyDescent="0.3"/>
  <cols>
    <col min="1" max="4" width="10" customWidth="1"/>
    <col min="5" max="5" width="16" customWidth="1"/>
    <col min="6" max="6" width="11" customWidth="1"/>
    <col min="7" max="7" width="15" customWidth="1"/>
    <col min="8" max="8" width="11" customWidth="1"/>
    <col min="9" max="11" width="10" customWidth="1"/>
    <col min="12" max="12" width="12" customWidth="1"/>
  </cols>
  <sheetData>
    <row r="1" spans="1:12" ht="15" customHeight="1" x14ac:dyDescent="0.3">
      <c r="A1" s="7" t="s">
        <v>549</v>
      </c>
      <c r="B1" s="7" t="s">
        <v>716</v>
      </c>
      <c r="C1" s="7" t="s">
        <v>717</v>
      </c>
      <c r="D1" s="7" t="s">
        <v>718</v>
      </c>
      <c r="E1" s="7" t="s">
        <v>719</v>
      </c>
      <c r="F1" s="7" t="s">
        <v>720</v>
      </c>
      <c r="G1" s="7" t="s">
        <v>552</v>
      </c>
      <c r="H1" s="7" t="s">
        <v>578</v>
      </c>
      <c r="I1" s="7" t="s">
        <v>721</v>
      </c>
      <c r="J1" s="7" t="s">
        <v>722</v>
      </c>
      <c r="K1" s="7" t="s">
        <v>723</v>
      </c>
      <c r="L1" s="7" t="s">
        <v>590</v>
      </c>
    </row>
    <row r="2" spans="1:12" ht="15" customHeight="1" x14ac:dyDescent="0.3">
      <c r="A2" s="101" t="s">
        <v>598</v>
      </c>
      <c r="B2" s="90">
        <v>68</v>
      </c>
      <c r="C2" s="90"/>
      <c r="D2" s="90" t="s">
        <v>130</v>
      </c>
      <c r="E2" s="91">
        <v>46143</v>
      </c>
      <c r="F2" s="30">
        <v>11</v>
      </c>
      <c r="G2" s="91">
        <v>46130</v>
      </c>
      <c r="H2" s="91"/>
      <c r="I2" s="90">
        <v>1</v>
      </c>
      <c r="J2" s="92">
        <v>13</v>
      </c>
      <c r="K2" s="90" t="s">
        <v>236</v>
      </c>
      <c r="L2" s="90"/>
    </row>
    <row r="3" spans="1:12" ht="15" customHeight="1" outlineLevel="1" x14ac:dyDescent="0.3">
      <c r="A3" s="101" t="s">
        <v>598</v>
      </c>
      <c r="B3" s="90">
        <v>68</v>
      </c>
      <c r="C3" s="90"/>
      <c r="D3" s="90" t="s">
        <v>130</v>
      </c>
      <c r="E3" s="91">
        <v>46151</v>
      </c>
      <c r="F3" s="30">
        <v>14</v>
      </c>
      <c r="G3" s="91">
        <v>46130</v>
      </c>
      <c r="H3" s="91"/>
      <c r="I3" s="90">
        <v>1</v>
      </c>
      <c r="J3" s="92">
        <v>21</v>
      </c>
      <c r="K3" s="90" t="s">
        <v>236</v>
      </c>
      <c r="L3" s="90"/>
    </row>
    <row r="4" spans="1:12" ht="15" customHeight="1" outlineLevel="1" x14ac:dyDescent="0.3">
      <c r="A4" s="101" t="s">
        <v>598</v>
      </c>
      <c r="B4" s="90">
        <v>68</v>
      </c>
      <c r="C4" s="90"/>
      <c r="D4" s="90" t="s">
        <v>130</v>
      </c>
      <c r="E4" s="91">
        <v>46160</v>
      </c>
      <c r="F4" s="30">
        <v>18</v>
      </c>
      <c r="G4" s="91">
        <v>46130</v>
      </c>
      <c r="H4" s="91"/>
      <c r="I4" s="90">
        <v>1</v>
      </c>
      <c r="J4" s="92">
        <v>30</v>
      </c>
      <c r="K4" s="90" t="s">
        <v>236</v>
      </c>
      <c r="L4" s="90"/>
    </row>
    <row r="5" spans="1:12" ht="15" customHeight="1" outlineLevel="1" x14ac:dyDescent="0.3">
      <c r="A5" s="101" t="s">
        <v>598</v>
      </c>
      <c r="B5" s="90">
        <v>68</v>
      </c>
      <c r="C5" s="90"/>
      <c r="D5" s="90" t="s">
        <v>130</v>
      </c>
      <c r="E5" s="91">
        <v>46186</v>
      </c>
      <c r="F5" s="30">
        <v>22</v>
      </c>
      <c r="G5" s="91">
        <v>46130</v>
      </c>
      <c r="H5" s="91"/>
      <c r="I5" s="90">
        <v>1</v>
      </c>
      <c r="J5" s="92">
        <v>56</v>
      </c>
      <c r="K5" s="90" t="s">
        <v>237</v>
      </c>
      <c r="L5" s="90"/>
    </row>
    <row r="6" spans="1:12" ht="15" customHeight="1" x14ac:dyDescent="0.3">
      <c r="A6" s="101" t="s">
        <v>599</v>
      </c>
      <c r="B6" s="90">
        <v>70</v>
      </c>
      <c r="C6" s="90"/>
      <c r="D6" s="90" t="s">
        <v>130</v>
      </c>
      <c r="E6" s="91">
        <v>46186</v>
      </c>
      <c r="F6" s="30">
        <v>11</v>
      </c>
      <c r="G6" s="91">
        <v>46183</v>
      </c>
      <c r="H6" s="91"/>
      <c r="I6" s="90">
        <v>1</v>
      </c>
      <c r="J6" s="92">
        <v>3</v>
      </c>
      <c r="K6" s="90" t="s">
        <v>237</v>
      </c>
      <c r="L6" s="90"/>
    </row>
    <row r="7" spans="1:12" ht="15" customHeight="1" x14ac:dyDescent="0.3">
      <c r="A7" s="101" t="s">
        <v>600</v>
      </c>
      <c r="B7" s="90">
        <v>75</v>
      </c>
      <c r="C7" s="90"/>
      <c r="D7" s="90" t="s">
        <v>130</v>
      </c>
      <c r="E7" s="91">
        <v>46102</v>
      </c>
      <c r="F7" s="30">
        <v>18</v>
      </c>
      <c r="G7" s="91">
        <v>46075</v>
      </c>
      <c r="H7" s="91"/>
      <c r="I7" s="90">
        <v>1</v>
      </c>
      <c r="J7" s="92">
        <v>27</v>
      </c>
      <c r="K7" s="90" t="s">
        <v>234</v>
      </c>
      <c r="L7" s="90"/>
    </row>
    <row r="8" spans="1:12" ht="15" customHeight="1" outlineLevel="1" x14ac:dyDescent="0.3">
      <c r="A8" s="101" t="s">
        <v>600</v>
      </c>
      <c r="B8" s="90">
        <v>75</v>
      </c>
      <c r="C8" s="90"/>
      <c r="D8" s="90" t="s">
        <v>130</v>
      </c>
      <c r="E8" s="91">
        <v>46116</v>
      </c>
      <c r="F8" s="30">
        <v>22</v>
      </c>
      <c r="G8" s="91">
        <v>46075</v>
      </c>
      <c r="H8" s="91"/>
      <c r="I8" s="90">
        <v>1</v>
      </c>
      <c r="J8" s="92">
        <v>41</v>
      </c>
      <c r="K8" s="90" t="s">
        <v>235</v>
      </c>
      <c r="L8" s="90"/>
    </row>
    <row r="9" spans="1:12" ht="15" customHeight="1" outlineLevel="1" x14ac:dyDescent="0.3">
      <c r="A9" s="101" t="s">
        <v>600</v>
      </c>
      <c r="B9" s="90">
        <v>75</v>
      </c>
      <c r="C9" s="90"/>
      <c r="D9" s="90" t="s">
        <v>130</v>
      </c>
      <c r="E9" s="91">
        <v>46129</v>
      </c>
      <c r="F9" s="30">
        <v>17</v>
      </c>
      <c r="G9" s="91">
        <v>46075</v>
      </c>
      <c r="H9" s="91"/>
      <c r="I9" s="90">
        <v>1</v>
      </c>
      <c r="J9" s="92">
        <v>54</v>
      </c>
      <c r="K9" s="90" t="s">
        <v>235</v>
      </c>
      <c r="L9" s="90"/>
    </row>
    <row r="10" spans="1:12" ht="15" customHeight="1" outlineLevel="1" x14ac:dyDescent="0.3">
      <c r="A10" s="101" t="s">
        <v>600</v>
      </c>
      <c r="B10" s="90">
        <v>75</v>
      </c>
      <c r="C10" s="90"/>
      <c r="D10" s="90" t="s">
        <v>130</v>
      </c>
      <c r="E10" s="91">
        <v>46143</v>
      </c>
      <c r="F10" s="30">
        <v>16</v>
      </c>
      <c r="G10" s="91">
        <v>46075</v>
      </c>
      <c r="H10" s="91"/>
      <c r="I10" s="90">
        <v>1</v>
      </c>
      <c r="J10" s="92">
        <v>68</v>
      </c>
      <c r="K10" s="90" t="s">
        <v>236</v>
      </c>
      <c r="L10" s="90"/>
    </row>
    <row r="11" spans="1:12" ht="15" customHeight="1" outlineLevel="1" x14ac:dyDescent="0.3">
      <c r="A11" s="101" t="s">
        <v>600</v>
      </c>
      <c r="B11" s="90">
        <v>75</v>
      </c>
      <c r="C11" s="90"/>
      <c r="D11" s="90" t="s">
        <v>130</v>
      </c>
      <c r="E11" s="91">
        <v>46151</v>
      </c>
      <c r="F11" s="30">
        <v>15</v>
      </c>
      <c r="G11" s="91">
        <v>46075</v>
      </c>
      <c r="H11" s="91"/>
      <c r="I11" s="90">
        <v>1</v>
      </c>
      <c r="J11" s="92">
        <v>76</v>
      </c>
      <c r="K11" s="90" t="s">
        <v>236</v>
      </c>
      <c r="L11" s="90"/>
    </row>
    <row r="12" spans="1:12" ht="15" customHeight="1" outlineLevel="1" x14ac:dyDescent="0.3">
      <c r="A12" s="101" t="s">
        <v>600</v>
      </c>
      <c r="B12" s="90">
        <v>75</v>
      </c>
      <c r="C12" s="90"/>
      <c r="D12" s="90" t="s">
        <v>130</v>
      </c>
      <c r="E12" s="91">
        <v>46160</v>
      </c>
      <c r="F12" s="30">
        <v>10</v>
      </c>
      <c r="G12" s="91">
        <v>46075</v>
      </c>
      <c r="H12" s="91"/>
      <c r="I12" s="90">
        <v>1</v>
      </c>
      <c r="J12" s="92">
        <v>85</v>
      </c>
      <c r="K12" s="90" t="s">
        <v>236</v>
      </c>
      <c r="L12" s="90"/>
    </row>
    <row r="13" spans="1:12" ht="15" customHeight="1" outlineLevel="1" x14ac:dyDescent="0.3">
      <c r="A13" s="101" t="s">
        <v>600</v>
      </c>
      <c r="B13" s="90">
        <v>75</v>
      </c>
      <c r="C13" s="90"/>
      <c r="D13" s="90" t="s">
        <v>130</v>
      </c>
      <c r="E13" s="91">
        <v>46186</v>
      </c>
      <c r="F13" s="30">
        <v>11</v>
      </c>
      <c r="G13" s="91">
        <v>46075</v>
      </c>
      <c r="H13" s="91"/>
      <c r="I13" s="90">
        <v>1</v>
      </c>
      <c r="J13" s="92">
        <v>111</v>
      </c>
      <c r="K13" s="90" t="s">
        <v>237</v>
      </c>
      <c r="L13" s="90"/>
    </row>
    <row r="14" spans="1:12" ht="15" customHeight="1" x14ac:dyDescent="0.3">
      <c r="A14" s="101" t="s">
        <v>609</v>
      </c>
      <c r="B14" s="90">
        <v>126</v>
      </c>
      <c r="C14" s="90"/>
      <c r="D14" s="90" t="s">
        <v>130</v>
      </c>
      <c r="E14" s="91">
        <v>46032</v>
      </c>
      <c r="F14" s="30">
        <v>11</v>
      </c>
      <c r="G14" s="91">
        <v>46028</v>
      </c>
      <c r="H14" s="91"/>
      <c r="I14" s="90">
        <v>1</v>
      </c>
      <c r="J14" s="92">
        <v>4</v>
      </c>
      <c r="K14" s="90" t="s">
        <v>232</v>
      </c>
      <c r="L14" s="90"/>
    </row>
    <row r="15" spans="1:12" ht="15" customHeight="1" outlineLevel="1" x14ac:dyDescent="0.3">
      <c r="A15" s="101" t="s">
        <v>609</v>
      </c>
      <c r="B15" s="90">
        <v>126</v>
      </c>
      <c r="C15" s="90"/>
      <c r="D15" s="90" t="s">
        <v>130</v>
      </c>
      <c r="E15" s="91">
        <v>46038</v>
      </c>
      <c r="F15" s="30">
        <v>17</v>
      </c>
      <c r="G15" s="91">
        <v>46028</v>
      </c>
      <c r="H15" s="91"/>
      <c r="I15" s="90">
        <v>1</v>
      </c>
      <c r="J15" s="92">
        <v>10</v>
      </c>
      <c r="K15" s="90" t="s">
        <v>232</v>
      </c>
      <c r="L15" s="90"/>
    </row>
    <row r="16" spans="1:12" ht="15" customHeight="1" outlineLevel="1" x14ac:dyDescent="0.3">
      <c r="A16" s="101" t="s">
        <v>609</v>
      </c>
      <c r="B16" s="90">
        <v>126</v>
      </c>
      <c r="C16" s="90"/>
      <c r="D16" s="90" t="s">
        <v>130</v>
      </c>
      <c r="E16" s="91">
        <v>46045</v>
      </c>
      <c r="F16" s="30">
        <v>20</v>
      </c>
      <c r="G16" s="91">
        <v>46028</v>
      </c>
      <c r="H16" s="91"/>
      <c r="I16" s="90">
        <v>1</v>
      </c>
      <c r="J16" s="92">
        <v>17</v>
      </c>
      <c r="K16" s="90" t="s">
        <v>232</v>
      </c>
      <c r="L16" s="90"/>
    </row>
    <row r="17" spans="1:12" ht="15" customHeight="1" outlineLevel="1" x14ac:dyDescent="0.3">
      <c r="A17" s="101" t="s">
        <v>609</v>
      </c>
      <c r="B17" s="90">
        <v>126</v>
      </c>
      <c r="C17" s="90"/>
      <c r="D17" s="90" t="s">
        <v>130</v>
      </c>
      <c r="E17" s="91">
        <v>46052</v>
      </c>
      <c r="F17" s="30">
        <v>22</v>
      </c>
      <c r="G17" s="91">
        <v>46028</v>
      </c>
      <c r="H17" s="91"/>
      <c r="I17" s="90">
        <v>1</v>
      </c>
      <c r="J17" s="92">
        <v>24</v>
      </c>
      <c r="K17" s="90" t="s">
        <v>232</v>
      </c>
      <c r="L17" s="90"/>
    </row>
    <row r="18" spans="1:12" ht="15" customHeight="1" outlineLevel="1" x14ac:dyDescent="0.3">
      <c r="A18" s="101" t="s">
        <v>609</v>
      </c>
      <c r="B18" s="90">
        <v>126</v>
      </c>
      <c r="C18" s="90"/>
      <c r="D18" s="90" t="s">
        <v>130</v>
      </c>
      <c r="E18" s="91">
        <v>46071</v>
      </c>
      <c r="F18" s="30">
        <v>20</v>
      </c>
      <c r="G18" s="91">
        <v>46028</v>
      </c>
      <c r="H18" s="91"/>
      <c r="I18" s="90">
        <v>1</v>
      </c>
      <c r="J18" s="92">
        <v>43</v>
      </c>
      <c r="K18" s="90" t="s">
        <v>233</v>
      </c>
      <c r="L18" s="90"/>
    </row>
    <row r="19" spans="1:12" ht="15" customHeight="1" outlineLevel="1" x14ac:dyDescent="0.3">
      <c r="A19" s="101" t="s">
        <v>609</v>
      </c>
      <c r="B19" s="90">
        <v>126</v>
      </c>
      <c r="C19" s="90"/>
      <c r="D19" s="90" t="s">
        <v>130</v>
      </c>
      <c r="E19" s="91">
        <v>46102</v>
      </c>
      <c r="F19" s="30">
        <v>20</v>
      </c>
      <c r="G19" s="91">
        <v>46028</v>
      </c>
      <c r="H19" s="91"/>
      <c r="I19" s="90">
        <v>1</v>
      </c>
      <c r="J19" s="92">
        <v>74</v>
      </c>
      <c r="K19" s="90" t="s">
        <v>234</v>
      </c>
      <c r="L19" s="90"/>
    </row>
    <row r="20" spans="1:12" ht="15" customHeight="1" outlineLevel="1" x14ac:dyDescent="0.3">
      <c r="A20" s="101" t="s">
        <v>609</v>
      </c>
      <c r="B20" s="90">
        <v>126</v>
      </c>
      <c r="C20" s="90"/>
      <c r="D20" s="90" t="s">
        <v>130</v>
      </c>
      <c r="E20" s="91">
        <v>46116</v>
      </c>
      <c r="F20" s="30">
        <v>22</v>
      </c>
      <c r="G20" s="91">
        <v>46028</v>
      </c>
      <c r="H20" s="91"/>
      <c r="I20" s="90">
        <v>1</v>
      </c>
      <c r="J20" s="92">
        <v>88</v>
      </c>
      <c r="K20" s="90" t="s">
        <v>235</v>
      </c>
      <c r="L20" s="90"/>
    </row>
    <row r="21" spans="1:12" ht="15" customHeight="1" outlineLevel="1" x14ac:dyDescent="0.3">
      <c r="A21" s="101" t="s">
        <v>609</v>
      </c>
      <c r="B21" s="90">
        <v>126</v>
      </c>
      <c r="C21" s="90"/>
      <c r="D21" s="90" t="s">
        <v>130</v>
      </c>
      <c r="E21" s="91">
        <v>46129</v>
      </c>
      <c r="F21" s="30">
        <v>20</v>
      </c>
      <c r="G21" s="91">
        <v>46028</v>
      </c>
      <c r="H21" s="91"/>
      <c r="I21" s="90">
        <v>1</v>
      </c>
      <c r="J21" s="92">
        <v>101</v>
      </c>
      <c r="K21" s="90" t="s">
        <v>235</v>
      </c>
      <c r="L21" s="90"/>
    </row>
    <row r="22" spans="1:12" ht="15" customHeight="1" outlineLevel="1" x14ac:dyDescent="0.3">
      <c r="A22" s="101" t="s">
        <v>609</v>
      </c>
      <c r="B22" s="90">
        <v>126</v>
      </c>
      <c r="C22" s="90"/>
      <c r="D22" s="90" t="s">
        <v>130</v>
      </c>
      <c r="E22" s="91">
        <v>46143</v>
      </c>
      <c r="F22" s="30">
        <v>21</v>
      </c>
      <c r="G22" s="91">
        <v>46028</v>
      </c>
      <c r="H22" s="91"/>
      <c r="I22" s="90">
        <v>1</v>
      </c>
      <c r="J22" s="92">
        <v>115</v>
      </c>
      <c r="K22" s="90" t="s">
        <v>236</v>
      </c>
      <c r="L22" s="90"/>
    </row>
    <row r="23" spans="1:12" ht="15" customHeight="1" outlineLevel="1" x14ac:dyDescent="0.3">
      <c r="A23" s="101" t="s">
        <v>609</v>
      </c>
      <c r="B23" s="90">
        <v>126</v>
      </c>
      <c r="C23" s="90"/>
      <c r="D23" s="90" t="s">
        <v>130</v>
      </c>
      <c r="E23" s="91">
        <v>46151</v>
      </c>
      <c r="F23" s="30">
        <v>22</v>
      </c>
      <c r="G23" s="91">
        <v>46028</v>
      </c>
      <c r="H23" s="91"/>
      <c r="I23" s="90">
        <v>1</v>
      </c>
      <c r="J23" s="92">
        <v>123</v>
      </c>
      <c r="K23" s="90" t="s">
        <v>236</v>
      </c>
      <c r="L23" s="90"/>
    </row>
    <row r="24" spans="1:12" ht="15" customHeight="1" outlineLevel="1" x14ac:dyDescent="0.3">
      <c r="A24" s="101" t="s">
        <v>609</v>
      </c>
      <c r="B24" s="90">
        <v>126</v>
      </c>
      <c r="C24" s="90"/>
      <c r="D24" s="90" t="s">
        <v>130</v>
      </c>
      <c r="E24" s="91">
        <v>46160</v>
      </c>
      <c r="F24" s="30">
        <v>23</v>
      </c>
      <c r="G24" s="91">
        <v>46028</v>
      </c>
      <c r="H24" s="91"/>
      <c r="I24" s="90">
        <v>1</v>
      </c>
      <c r="J24" s="92">
        <v>132</v>
      </c>
      <c r="K24" s="90" t="s">
        <v>236</v>
      </c>
      <c r="L24" s="90"/>
    </row>
    <row r="25" spans="1:12" ht="15" customHeight="1" outlineLevel="1" x14ac:dyDescent="0.3">
      <c r="A25" s="101" t="s">
        <v>609</v>
      </c>
      <c r="B25" s="90">
        <v>126</v>
      </c>
      <c r="C25" s="90"/>
      <c r="D25" s="90" t="s">
        <v>130</v>
      </c>
      <c r="E25" s="91">
        <v>46186</v>
      </c>
      <c r="F25" s="30">
        <v>22</v>
      </c>
      <c r="G25" s="91">
        <v>46028</v>
      </c>
      <c r="H25" s="91"/>
      <c r="I25" s="90">
        <v>1</v>
      </c>
      <c r="J25" s="92">
        <v>158</v>
      </c>
      <c r="K25" s="90" t="s">
        <v>237</v>
      </c>
      <c r="L25" s="90"/>
    </row>
    <row r="26" spans="1:12" ht="15" customHeight="1" x14ac:dyDescent="0.3">
      <c r="A26" s="101" t="s">
        <v>610</v>
      </c>
      <c r="B26" s="90">
        <v>127</v>
      </c>
      <c r="C26" s="90"/>
      <c r="D26" s="90" t="s">
        <v>130</v>
      </c>
      <c r="E26" s="91">
        <v>46102</v>
      </c>
      <c r="F26" s="30">
        <v>18</v>
      </c>
      <c r="G26" s="91">
        <v>46083</v>
      </c>
      <c r="H26" s="91"/>
      <c r="I26" s="90">
        <v>1</v>
      </c>
      <c r="J26" s="92">
        <v>19</v>
      </c>
      <c r="K26" s="90" t="s">
        <v>234</v>
      </c>
      <c r="L26" s="90"/>
    </row>
    <row r="27" spans="1:12" ht="15" customHeight="1" outlineLevel="1" x14ac:dyDescent="0.3">
      <c r="A27" s="101" t="s">
        <v>610</v>
      </c>
      <c r="B27" s="90">
        <v>127</v>
      </c>
      <c r="C27" s="90"/>
      <c r="D27" s="90" t="s">
        <v>130</v>
      </c>
      <c r="E27" s="91">
        <v>46116</v>
      </c>
      <c r="F27" s="30">
        <v>16</v>
      </c>
      <c r="G27" s="91">
        <v>46083</v>
      </c>
      <c r="H27" s="91"/>
      <c r="I27" s="90">
        <v>1</v>
      </c>
      <c r="J27" s="92">
        <v>33</v>
      </c>
      <c r="K27" s="90" t="s">
        <v>235</v>
      </c>
      <c r="L27" s="90"/>
    </row>
    <row r="28" spans="1:12" ht="15" customHeight="1" outlineLevel="1" x14ac:dyDescent="0.3">
      <c r="A28" s="101" t="s">
        <v>610</v>
      </c>
      <c r="B28" s="90">
        <v>127</v>
      </c>
      <c r="C28" s="90"/>
      <c r="D28" s="90" t="s">
        <v>130</v>
      </c>
      <c r="E28" s="91">
        <v>46129</v>
      </c>
      <c r="F28" s="30">
        <v>15</v>
      </c>
      <c r="G28" s="91">
        <v>46083</v>
      </c>
      <c r="H28" s="91"/>
      <c r="I28" s="90">
        <v>1</v>
      </c>
      <c r="J28" s="92">
        <v>46</v>
      </c>
      <c r="K28" s="90" t="s">
        <v>235</v>
      </c>
      <c r="L28" s="90"/>
    </row>
    <row r="29" spans="1:12" ht="15" customHeight="1" outlineLevel="1" x14ac:dyDescent="0.3">
      <c r="A29" s="101" t="s">
        <v>610</v>
      </c>
      <c r="B29" s="90">
        <v>127</v>
      </c>
      <c r="C29" s="90"/>
      <c r="D29" s="90" t="s">
        <v>130</v>
      </c>
      <c r="E29" s="91">
        <v>46143</v>
      </c>
      <c r="F29" s="30">
        <v>16</v>
      </c>
      <c r="G29" s="91">
        <v>46083</v>
      </c>
      <c r="H29" s="91"/>
      <c r="I29" s="90">
        <v>1</v>
      </c>
      <c r="J29" s="92">
        <v>60</v>
      </c>
      <c r="K29" s="90" t="s">
        <v>236</v>
      </c>
      <c r="L29" s="90"/>
    </row>
    <row r="30" spans="1:12" ht="15" customHeight="1" outlineLevel="1" x14ac:dyDescent="0.3">
      <c r="A30" s="101" t="s">
        <v>610</v>
      </c>
      <c r="B30" s="90">
        <v>127</v>
      </c>
      <c r="C30" s="90"/>
      <c r="D30" s="90" t="s">
        <v>130</v>
      </c>
      <c r="E30" s="91">
        <v>46151</v>
      </c>
      <c r="F30" s="30">
        <v>20</v>
      </c>
      <c r="G30" s="91">
        <v>46083</v>
      </c>
      <c r="H30" s="91"/>
      <c r="I30" s="90">
        <v>1</v>
      </c>
      <c r="J30" s="92">
        <v>68</v>
      </c>
      <c r="K30" s="90" t="s">
        <v>236</v>
      </c>
      <c r="L30" s="90"/>
    </row>
    <row r="31" spans="1:12" ht="15" customHeight="1" outlineLevel="1" x14ac:dyDescent="0.3">
      <c r="A31" s="101" t="s">
        <v>610</v>
      </c>
      <c r="B31" s="90">
        <v>127</v>
      </c>
      <c r="C31" s="90"/>
      <c r="D31" s="90" t="s">
        <v>130</v>
      </c>
      <c r="E31" s="91">
        <v>46160</v>
      </c>
      <c r="F31" s="30">
        <v>18</v>
      </c>
      <c r="G31" s="91">
        <v>46083</v>
      </c>
      <c r="H31" s="91"/>
      <c r="I31" s="90">
        <v>1</v>
      </c>
      <c r="J31" s="92">
        <v>77</v>
      </c>
      <c r="K31" s="90" t="s">
        <v>236</v>
      </c>
      <c r="L31" s="90"/>
    </row>
    <row r="32" spans="1:12" ht="15" customHeight="1" outlineLevel="1" x14ac:dyDescent="0.3">
      <c r="A32" s="101" t="s">
        <v>610</v>
      </c>
      <c r="B32" s="90">
        <v>127</v>
      </c>
      <c r="C32" s="90"/>
      <c r="D32" s="90" t="s">
        <v>130</v>
      </c>
      <c r="E32" s="91">
        <v>46186</v>
      </c>
      <c r="F32" s="30">
        <v>21</v>
      </c>
      <c r="G32" s="91">
        <v>46083</v>
      </c>
      <c r="H32" s="91"/>
      <c r="I32" s="90">
        <v>1</v>
      </c>
      <c r="J32" s="92">
        <v>103</v>
      </c>
      <c r="K32" s="90" t="s">
        <v>237</v>
      </c>
      <c r="L32" s="90"/>
    </row>
    <row r="33" spans="1:12" ht="15" customHeight="1" x14ac:dyDescent="0.3">
      <c r="A33" s="101" t="s">
        <v>612</v>
      </c>
      <c r="B33" s="90">
        <v>128</v>
      </c>
      <c r="C33" s="90"/>
      <c r="D33" s="90" t="s">
        <v>130</v>
      </c>
      <c r="E33" s="91">
        <v>46102</v>
      </c>
      <c r="F33" s="30">
        <v>14</v>
      </c>
      <c r="G33" s="91">
        <v>46083</v>
      </c>
      <c r="H33" s="91"/>
      <c r="I33" s="90">
        <v>1</v>
      </c>
      <c r="J33" s="92">
        <v>19</v>
      </c>
      <c r="K33" s="90" t="s">
        <v>234</v>
      </c>
      <c r="L33" s="90"/>
    </row>
    <row r="34" spans="1:12" ht="15" customHeight="1" outlineLevel="1" x14ac:dyDescent="0.3">
      <c r="A34" s="101" t="s">
        <v>612</v>
      </c>
      <c r="B34" s="90">
        <v>128</v>
      </c>
      <c r="C34" s="90"/>
      <c r="D34" s="90" t="s">
        <v>130</v>
      </c>
      <c r="E34" s="91">
        <v>46116</v>
      </c>
      <c r="F34" s="30">
        <v>18</v>
      </c>
      <c r="G34" s="91">
        <v>46083</v>
      </c>
      <c r="H34" s="91"/>
      <c r="I34" s="90">
        <v>1</v>
      </c>
      <c r="J34" s="92">
        <v>33</v>
      </c>
      <c r="K34" s="90" t="s">
        <v>235</v>
      </c>
      <c r="L34" s="90"/>
    </row>
    <row r="35" spans="1:12" ht="15" customHeight="1" outlineLevel="1" x14ac:dyDescent="0.3">
      <c r="A35" s="101" t="s">
        <v>612</v>
      </c>
      <c r="B35" s="90">
        <v>128</v>
      </c>
      <c r="C35" s="90"/>
      <c r="D35" s="90" t="s">
        <v>130</v>
      </c>
      <c r="E35" s="91">
        <v>46129</v>
      </c>
      <c r="F35" s="30">
        <v>15</v>
      </c>
      <c r="G35" s="91">
        <v>46083</v>
      </c>
      <c r="H35" s="91"/>
      <c r="I35" s="90">
        <v>1</v>
      </c>
      <c r="J35" s="92">
        <v>46</v>
      </c>
      <c r="K35" s="90" t="s">
        <v>235</v>
      </c>
      <c r="L35" s="90"/>
    </row>
    <row r="36" spans="1:12" ht="15" customHeight="1" outlineLevel="1" x14ac:dyDescent="0.3">
      <c r="A36" s="101" t="s">
        <v>612</v>
      </c>
      <c r="B36" s="90">
        <v>128</v>
      </c>
      <c r="C36" s="90"/>
      <c r="D36" s="90" t="s">
        <v>130</v>
      </c>
      <c r="E36" s="91">
        <v>46143</v>
      </c>
      <c r="F36" s="30">
        <v>14</v>
      </c>
      <c r="G36" s="91">
        <v>46083</v>
      </c>
      <c r="H36" s="91"/>
      <c r="I36" s="90">
        <v>1</v>
      </c>
      <c r="J36" s="92">
        <v>60</v>
      </c>
      <c r="K36" s="90" t="s">
        <v>236</v>
      </c>
      <c r="L36" s="90"/>
    </row>
    <row r="37" spans="1:12" ht="15" customHeight="1" outlineLevel="1" x14ac:dyDescent="0.3">
      <c r="A37" s="101" t="s">
        <v>612</v>
      </c>
      <c r="B37" s="90">
        <v>128</v>
      </c>
      <c r="C37" s="90"/>
      <c r="D37" s="90" t="s">
        <v>130</v>
      </c>
      <c r="E37" s="91">
        <v>46151</v>
      </c>
      <c r="F37" s="30">
        <v>17</v>
      </c>
      <c r="G37" s="91">
        <v>46083</v>
      </c>
      <c r="H37" s="91"/>
      <c r="I37" s="90">
        <v>1</v>
      </c>
      <c r="J37" s="92">
        <v>68</v>
      </c>
      <c r="K37" s="90" t="s">
        <v>236</v>
      </c>
      <c r="L37" s="90"/>
    </row>
    <row r="38" spans="1:12" ht="15" customHeight="1" outlineLevel="1" x14ac:dyDescent="0.3">
      <c r="A38" s="101" t="s">
        <v>612</v>
      </c>
      <c r="B38" s="90">
        <v>128</v>
      </c>
      <c r="C38" s="90"/>
      <c r="D38" s="90" t="s">
        <v>130</v>
      </c>
      <c r="E38" s="91">
        <v>46160</v>
      </c>
      <c r="F38" s="30">
        <v>13</v>
      </c>
      <c r="G38" s="91">
        <v>46083</v>
      </c>
      <c r="H38" s="91"/>
      <c r="I38" s="90">
        <v>1</v>
      </c>
      <c r="J38" s="92">
        <v>77</v>
      </c>
      <c r="K38" s="90" t="s">
        <v>236</v>
      </c>
      <c r="L38" s="90"/>
    </row>
    <row r="39" spans="1:12" ht="15" customHeight="1" outlineLevel="1" x14ac:dyDescent="0.3">
      <c r="A39" s="101" t="s">
        <v>612</v>
      </c>
      <c r="B39" s="90">
        <v>128</v>
      </c>
      <c r="C39" s="90"/>
      <c r="D39" s="90" t="s">
        <v>130</v>
      </c>
      <c r="E39" s="91">
        <v>46186</v>
      </c>
      <c r="F39" s="30">
        <v>7</v>
      </c>
      <c r="G39" s="91">
        <v>46083</v>
      </c>
      <c r="H39" s="91"/>
      <c r="I39" s="90">
        <v>1</v>
      </c>
      <c r="J39" s="92">
        <v>103</v>
      </c>
      <c r="K39" s="90" t="s">
        <v>237</v>
      </c>
      <c r="L39" s="90"/>
    </row>
    <row r="40" spans="1:12" ht="15" customHeight="1" x14ac:dyDescent="0.3">
      <c r="A40" s="101" t="s">
        <v>613</v>
      </c>
      <c r="B40" s="90">
        <v>129</v>
      </c>
      <c r="C40" s="90"/>
      <c r="D40" s="90" t="s">
        <v>130</v>
      </c>
      <c r="E40" s="91">
        <v>46116</v>
      </c>
      <c r="F40" s="30">
        <v>11</v>
      </c>
      <c r="G40" s="91">
        <v>46108</v>
      </c>
      <c r="H40" s="91"/>
      <c r="I40" s="90">
        <v>1</v>
      </c>
      <c r="J40" s="92">
        <v>8</v>
      </c>
      <c r="K40" s="90" t="s">
        <v>235</v>
      </c>
      <c r="L40" s="90"/>
    </row>
    <row r="41" spans="1:12" ht="15" customHeight="1" outlineLevel="1" x14ac:dyDescent="0.3">
      <c r="A41" s="101" t="s">
        <v>613</v>
      </c>
      <c r="B41" s="90">
        <v>129</v>
      </c>
      <c r="C41" s="90"/>
      <c r="D41" s="90" t="s">
        <v>130</v>
      </c>
      <c r="E41" s="91">
        <v>46129</v>
      </c>
      <c r="F41" s="30">
        <v>17</v>
      </c>
      <c r="G41" s="91">
        <v>46108</v>
      </c>
      <c r="H41" s="91"/>
      <c r="I41" s="90">
        <v>1</v>
      </c>
      <c r="J41" s="92">
        <v>21</v>
      </c>
      <c r="K41" s="90" t="s">
        <v>235</v>
      </c>
      <c r="L41" s="90"/>
    </row>
    <row r="42" spans="1:12" ht="15" customHeight="1" outlineLevel="1" x14ac:dyDescent="0.3">
      <c r="A42" s="101" t="s">
        <v>613</v>
      </c>
      <c r="B42" s="90">
        <v>129</v>
      </c>
      <c r="C42" s="90"/>
      <c r="D42" s="90" t="s">
        <v>130</v>
      </c>
      <c r="E42" s="91">
        <v>46143</v>
      </c>
      <c r="F42" s="30">
        <v>16</v>
      </c>
      <c r="G42" s="91">
        <v>46108</v>
      </c>
      <c r="H42" s="91"/>
      <c r="I42" s="90">
        <v>1</v>
      </c>
      <c r="J42" s="92">
        <v>35</v>
      </c>
      <c r="K42" s="90" t="s">
        <v>236</v>
      </c>
      <c r="L42" s="90"/>
    </row>
    <row r="43" spans="1:12" ht="15" customHeight="1" outlineLevel="1" x14ac:dyDescent="0.3">
      <c r="A43" s="101" t="s">
        <v>613</v>
      </c>
      <c r="B43" s="90">
        <v>129</v>
      </c>
      <c r="C43" s="90"/>
      <c r="D43" s="90" t="s">
        <v>130</v>
      </c>
      <c r="E43" s="91">
        <v>46151</v>
      </c>
      <c r="F43" s="30">
        <v>21</v>
      </c>
      <c r="G43" s="91">
        <v>46108</v>
      </c>
      <c r="H43" s="91"/>
      <c r="I43" s="90">
        <v>1</v>
      </c>
      <c r="J43" s="92">
        <v>43</v>
      </c>
      <c r="K43" s="90" t="s">
        <v>236</v>
      </c>
      <c r="L43" s="90"/>
    </row>
    <row r="44" spans="1:12" ht="15" customHeight="1" outlineLevel="1" x14ac:dyDescent="0.3">
      <c r="A44" s="101" t="s">
        <v>613</v>
      </c>
      <c r="B44" s="90">
        <v>129</v>
      </c>
      <c r="C44" s="90"/>
      <c r="D44" s="90" t="s">
        <v>130</v>
      </c>
      <c r="E44" s="91">
        <v>46160</v>
      </c>
      <c r="F44" s="30">
        <v>21</v>
      </c>
      <c r="G44" s="91">
        <v>46108</v>
      </c>
      <c r="H44" s="91"/>
      <c r="I44" s="90">
        <v>1</v>
      </c>
      <c r="J44" s="92">
        <v>52</v>
      </c>
      <c r="K44" s="90" t="s">
        <v>236</v>
      </c>
      <c r="L44" s="90"/>
    </row>
    <row r="45" spans="1:12" ht="15" customHeight="1" outlineLevel="1" x14ac:dyDescent="0.3">
      <c r="A45" s="101" t="s">
        <v>613</v>
      </c>
      <c r="B45" s="90">
        <v>129</v>
      </c>
      <c r="C45" s="90"/>
      <c r="D45" s="90" t="s">
        <v>130</v>
      </c>
      <c r="E45" s="91">
        <v>46186</v>
      </c>
      <c r="F45" s="30">
        <v>25</v>
      </c>
      <c r="G45" s="91">
        <v>46108</v>
      </c>
      <c r="H45" s="91"/>
      <c r="I45" s="90">
        <v>1</v>
      </c>
      <c r="J45" s="92">
        <v>78</v>
      </c>
      <c r="K45" s="90" t="s">
        <v>237</v>
      </c>
      <c r="L45" s="90"/>
    </row>
    <row r="46" spans="1:12" ht="15" customHeight="1" x14ac:dyDescent="0.3">
      <c r="A46" s="101" t="s">
        <v>614</v>
      </c>
      <c r="B46" s="90">
        <v>130</v>
      </c>
      <c r="C46" s="90"/>
      <c r="D46" s="90" t="s">
        <v>130</v>
      </c>
      <c r="E46" s="91">
        <v>46045</v>
      </c>
      <c r="F46" s="30">
        <v>7</v>
      </c>
      <c r="G46" s="91">
        <v>46040</v>
      </c>
      <c r="H46" s="91">
        <v>46162</v>
      </c>
      <c r="I46" s="90">
        <v>0</v>
      </c>
      <c r="J46" s="92">
        <v>5</v>
      </c>
      <c r="K46" s="90" t="s">
        <v>232</v>
      </c>
      <c r="L46" s="90"/>
    </row>
    <row r="47" spans="1:12" ht="15" customHeight="1" outlineLevel="1" x14ac:dyDescent="0.3">
      <c r="A47" s="101" t="s">
        <v>614</v>
      </c>
      <c r="B47" s="90">
        <v>130</v>
      </c>
      <c r="C47" s="90"/>
      <c r="D47" s="90" t="s">
        <v>130</v>
      </c>
      <c r="E47" s="91">
        <v>46052</v>
      </c>
      <c r="F47" s="30">
        <v>20</v>
      </c>
      <c r="G47" s="91">
        <v>46040</v>
      </c>
      <c r="H47" s="91">
        <v>46162</v>
      </c>
      <c r="I47" s="90">
        <v>0</v>
      </c>
      <c r="J47" s="92">
        <v>12</v>
      </c>
      <c r="K47" s="90" t="s">
        <v>232</v>
      </c>
      <c r="L47" s="90"/>
    </row>
    <row r="48" spans="1:12" ht="15" customHeight="1" outlineLevel="1" x14ac:dyDescent="0.3">
      <c r="A48" s="101" t="s">
        <v>614</v>
      </c>
      <c r="B48" s="90">
        <v>130</v>
      </c>
      <c r="C48" s="90"/>
      <c r="D48" s="90" t="s">
        <v>130</v>
      </c>
      <c r="E48" s="91">
        <v>46071</v>
      </c>
      <c r="F48" s="30">
        <v>21</v>
      </c>
      <c r="G48" s="91">
        <v>46040</v>
      </c>
      <c r="H48" s="91">
        <v>46162</v>
      </c>
      <c r="I48" s="90">
        <v>0</v>
      </c>
      <c r="J48" s="92">
        <v>31</v>
      </c>
      <c r="K48" s="90" t="s">
        <v>233</v>
      </c>
      <c r="L48" s="90"/>
    </row>
    <row r="49" spans="1:12" ht="15" customHeight="1" outlineLevel="1" x14ac:dyDescent="0.3">
      <c r="A49" s="101" t="s">
        <v>614</v>
      </c>
      <c r="B49" s="90">
        <v>130</v>
      </c>
      <c r="C49" s="90"/>
      <c r="D49" s="90" t="s">
        <v>130</v>
      </c>
      <c r="E49" s="91">
        <v>46102</v>
      </c>
      <c r="F49" s="30">
        <v>22</v>
      </c>
      <c r="G49" s="91">
        <v>46040</v>
      </c>
      <c r="H49" s="91">
        <v>46162</v>
      </c>
      <c r="I49" s="90">
        <v>0</v>
      </c>
      <c r="J49" s="92">
        <v>62</v>
      </c>
      <c r="K49" s="90" t="s">
        <v>234</v>
      </c>
      <c r="L49" s="90"/>
    </row>
    <row r="50" spans="1:12" ht="15" customHeight="1" outlineLevel="1" x14ac:dyDescent="0.3">
      <c r="A50" s="101" t="s">
        <v>614</v>
      </c>
      <c r="B50" s="90">
        <v>130</v>
      </c>
      <c r="C50" s="90"/>
      <c r="D50" s="90" t="s">
        <v>130</v>
      </c>
      <c r="E50" s="91">
        <v>46116</v>
      </c>
      <c r="F50" s="30">
        <v>25</v>
      </c>
      <c r="G50" s="91">
        <v>46040</v>
      </c>
      <c r="H50" s="91">
        <v>46162</v>
      </c>
      <c r="I50" s="90">
        <v>0</v>
      </c>
      <c r="J50" s="92">
        <v>76</v>
      </c>
      <c r="K50" s="90" t="s">
        <v>235</v>
      </c>
      <c r="L50" s="90"/>
    </row>
    <row r="51" spans="1:12" ht="15" customHeight="1" outlineLevel="1" x14ac:dyDescent="0.3">
      <c r="A51" s="101" t="s">
        <v>614</v>
      </c>
      <c r="B51" s="90">
        <v>130</v>
      </c>
      <c r="C51" s="90"/>
      <c r="D51" s="90" t="s">
        <v>130</v>
      </c>
      <c r="E51" s="91">
        <v>46129</v>
      </c>
      <c r="F51" s="30">
        <v>23</v>
      </c>
      <c r="G51" s="91">
        <v>46040</v>
      </c>
      <c r="H51" s="91">
        <v>46162</v>
      </c>
      <c r="I51" s="90">
        <v>0</v>
      </c>
      <c r="J51" s="92">
        <v>89</v>
      </c>
      <c r="K51" s="90" t="s">
        <v>235</v>
      </c>
      <c r="L51" s="90"/>
    </row>
    <row r="52" spans="1:12" ht="15" customHeight="1" outlineLevel="1" x14ac:dyDescent="0.3">
      <c r="A52" s="101" t="s">
        <v>614</v>
      </c>
      <c r="B52" s="90">
        <v>130</v>
      </c>
      <c r="C52" s="90"/>
      <c r="D52" s="90" t="s">
        <v>130</v>
      </c>
      <c r="E52" s="91">
        <v>46143</v>
      </c>
      <c r="F52" s="30">
        <v>23</v>
      </c>
      <c r="G52" s="91">
        <v>46040</v>
      </c>
      <c r="H52" s="91">
        <v>46162</v>
      </c>
      <c r="I52" s="90">
        <v>0</v>
      </c>
      <c r="J52" s="92">
        <v>103</v>
      </c>
      <c r="K52" s="90" t="s">
        <v>236</v>
      </c>
      <c r="L52" s="90"/>
    </row>
    <row r="53" spans="1:12" ht="15" customHeight="1" outlineLevel="1" x14ac:dyDescent="0.3">
      <c r="A53" s="101" t="s">
        <v>614</v>
      </c>
      <c r="B53" s="90">
        <v>130</v>
      </c>
      <c r="C53" s="90"/>
      <c r="D53" s="90" t="s">
        <v>130</v>
      </c>
      <c r="E53" s="91">
        <v>46151</v>
      </c>
      <c r="F53" s="30">
        <v>22</v>
      </c>
      <c r="G53" s="91">
        <v>46040</v>
      </c>
      <c r="H53" s="91">
        <v>46162</v>
      </c>
      <c r="I53" s="90">
        <v>0</v>
      </c>
      <c r="J53" s="92">
        <v>111</v>
      </c>
      <c r="K53" s="90" t="s">
        <v>236</v>
      </c>
      <c r="L53" s="90"/>
    </row>
    <row r="54" spans="1:12" ht="15" customHeight="1" outlineLevel="1" x14ac:dyDescent="0.3">
      <c r="A54" s="101" t="s">
        <v>614</v>
      </c>
      <c r="B54" s="90">
        <v>130</v>
      </c>
      <c r="C54" s="90"/>
      <c r="D54" s="90" t="s">
        <v>130</v>
      </c>
      <c r="E54" s="91">
        <v>46160</v>
      </c>
      <c r="F54" s="30">
        <v>23</v>
      </c>
      <c r="G54" s="91">
        <v>46040</v>
      </c>
      <c r="H54" s="91">
        <v>46162</v>
      </c>
      <c r="I54" s="90">
        <v>0</v>
      </c>
      <c r="J54" s="92">
        <v>120</v>
      </c>
      <c r="K54" s="90" t="s">
        <v>236</v>
      </c>
      <c r="L54" s="90"/>
    </row>
    <row r="55" spans="1:12" ht="15" customHeight="1" x14ac:dyDescent="0.3">
      <c r="A55" s="101" t="s">
        <v>616</v>
      </c>
      <c r="B55" s="90">
        <v>132</v>
      </c>
      <c r="C55" s="90"/>
      <c r="D55" s="90" t="s">
        <v>130</v>
      </c>
      <c r="E55" s="91">
        <v>46071</v>
      </c>
      <c r="F55" s="30">
        <v>13</v>
      </c>
      <c r="G55" s="91">
        <v>46052</v>
      </c>
      <c r="H55" s="91"/>
      <c r="I55" s="90">
        <v>1</v>
      </c>
      <c r="J55" s="92">
        <v>19</v>
      </c>
      <c r="K55" s="90" t="s">
        <v>233</v>
      </c>
      <c r="L55" s="90"/>
    </row>
    <row r="56" spans="1:12" ht="15" customHeight="1" outlineLevel="1" x14ac:dyDescent="0.3">
      <c r="A56" s="101" t="s">
        <v>616</v>
      </c>
      <c r="B56" s="90">
        <v>132</v>
      </c>
      <c r="C56" s="90"/>
      <c r="D56" s="90" t="s">
        <v>130</v>
      </c>
      <c r="E56" s="91">
        <v>46102</v>
      </c>
      <c r="F56" s="30">
        <v>17</v>
      </c>
      <c r="G56" s="91">
        <v>46052</v>
      </c>
      <c r="H56" s="91"/>
      <c r="I56" s="90">
        <v>1</v>
      </c>
      <c r="J56" s="92">
        <v>50</v>
      </c>
      <c r="K56" s="90" t="s">
        <v>234</v>
      </c>
      <c r="L56" s="90"/>
    </row>
    <row r="57" spans="1:12" ht="15" customHeight="1" outlineLevel="1" x14ac:dyDescent="0.3">
      <c r="A57" s="101" t="s">
        <v>616</v>
      </c>
      <c r="B57" s="90">
        <v>132</v>
      </c>
      <c r="C57" s="90"/>
      <c r="D57" s="90" t="s">
        <v>130</v>
      </c>
      <c r="E57" s="91">
        <v>46116</v>
      </c>
      <c r="F57" s="30">
        <v>18</v>
      </c>
      <c r="G57" s="91">
        <v>46052</v>
      </c>
      <c r="H57" s="91"/>
      <c r="I57" s="90">
        <v>1</v>
      </c>
      <c r="J57" s="92">
        <v>64</v>
      </c>
      <c r="K57" s="90" t="s">
        <v>235</v>
      </c>
      <c r="L57" s="90"/>
    </row>
    <row r="58" spans="1:12" ht="15" customHeight="1" outlineLevel="1" x14ac:dyDescent="0.3">
      <c r="A58" s="101" t="s">
        <v>616</v>
      </c>
      <c r="B58" s="90">
        <v>132</v>
      </c>
      <c r="C58" s="90"/>
      <c r="D58" s="90" t="s">
        <v>130</v>
      </c>
      <c r="E58" s="91">
        <v>46129</v>
      </c>
      <c r="F58" s="30">
        <v>10</v>
      </c>
      <c r="G58" s="91">
        <v>46052</v>
      </c>
      <c r="H58" s="91"/>
      <c r="I58" s="90">
        <v>1</v>
      </c>
      <c r="J58" s="92">
        <v>77</v>
      </c>
      <c r="K58" s="90" t="s">
        <v>235</v>
      </c>
      <c r="L58" s="90"/>
    </row>
    <row r="59" spans="1:12" ht="15" customHeight="1" outlineLevel="1" x14ac:dyDescent="0.3">
      <c r="A59" s="101" t="s">
        <v>616</v>
      </c>
      <c r="B59" s="90">
        <v>132</v>
      </c>
      <c r="C59" s="90"/>
      <c r="D59" s="90" t="s">
        <v>130</v>
      </c>
      <c r="E59" s="91">
        <v>46143</v>
      </c>
      <c r="F59" s="30">
        <v>17</v>
      </c>
      <c r="G59" s="91">
        <v>46052</v>
      </c>
      <c r="H59" s="91"/>
      <c r="I59" s="90">
        <v>1</v>
      </c>
      <c r="J59" s="92">
        <v>91</v>
      </c>
      <c r="K59" s="90" t="s">
        <v>236</v>
      </c>
      <c r="L59" s="90"/>
    </row>
    <row r="60" spans="1:12" ht="15" customHeight="1" outlineLevel="1" x14ac:dyDescent="0.3">
      <c r="A60" s="101" t="s">
        <v>616</v>
      </c>
      <c r="B60" s="90">
        <v>132</v>
      </c>
      <c r="C60" s="90"/>
      <c r="D60" s="90" t="s">
        <v>130</v>
      </c>
      <c r="E60" s="91">
        <v>46151</v>
      </c>
      <c r="F60" s="30">
        <v>18</v>
      </c>
      <c r="G60" s="91">
        <v>46052</v>
      </c>
      <c r="H60" s="91"/>
      <c r="I60" s="90">
        <v>1</v>
      </c>
      <c r="J60" s="92">
        <v>99</v>
      </c>
      <c r="K60" s="90" t="s">
        <v>236</v>
      </c>
      <c r="L60" s="90"/>
    </row>
    <row r="61" spans="1:12" ht="15" customHeight="1" outlineLevel="1" x14ac:dyDescent="0.3">
      <c r="A61" s="101" t="s">
        <v>616</v>
      </c>
      <c r="B61" s="90">
        <v>132</v>
      </c>
      <c r="C61" s="90"/>
      <c r="D61" s="90" t="s">
        <v>130</v>
      </c>
      <c r="E61" s="91">
        <v>46160</v>
      </c>
      <c r="F61" s="30">
        <v>21</v>
      </c>
      <c r="G61" s="91">
        <v>46052</v>
      </c>
      <c r="H61" s="91"/>
      <c r="I61" s="90">
        <v>1</v>
      </c>
      <c r="J61" s="92">
        <v>108</v>
      </c>
      <c r="K61" s="90" t="s">
        <v>236</v>
      </c>
      <c r="L61" s="90"/>
    </row>
    <row r="62" spans="1:12" ht="15" customHeight="1" outlineLevel="1" x14ac:dyDescent="0.3">
      <c r="A62" s="101" t="s">
        <v>616</v>
      </c>
      <c r="B62" s="90">
        <v>132</v>
      </c>
      <c r="C62" s="90"/>
      <c r="D62" s="90" t="s">
        <v>130</v>
      </c>
      <c r="E62" s="91">
        <v>46186</v>
      </c>
      <c r="F62" s="30">
        <v>21</v>
      </c>
      <c r="G62" s="91">
        <v>46052</v>
      </c>
      <c r="H62" s="91"/>
      <c r="I62" s="90">
        <v>1</v>
      </c>
      <c r="J62" s="92">
        <v>134</v>
      </c>
      <c r="K62" s="90" t="s">
        <v>237</v>
      </c>
      <c r="L62" s="90"/>
    </row>
    <row r="63" spans="1:12" ht="15" customHeight="1" x14ac:dyDescent="0.3">
      <c r="A63" s="101" t="s">
        <v>618</v>
      </c>
      <c r="B63" s="90">
        <v>145</v>
      </c>
      <c r="C63" s="90">
        <v>145</v>
      </c>
      <c r="D63" s="90" t="s">
        <v>137</v>
      </c>
      <c r="E63" s="91">
        <v>46004</v>
      </c>
      <c r="F63" s="30">
        <v>25.5</v>
      </c>
      <c r="G63" s="91">
        <v>45902</v>
      </c>
      <c r="H63" s="91"/>
      <c r="I63" s="90">
        <v>1</v>
      </c>
      <c r="J63" s="92">
        <v>102</v>
      </c>
      <c r="K63" s="90" t="s">
        <v>231</v>
      </c>
      <c r="L63" s="90"/>
    </row>
    <row r="64" spans="1:12" ht="15" customHeight="1" outlineLevel="1" x14ac:dyDescent="0.3">
      <c r="A64" s="101" t="s">
        <v>618</v>
      </c>
      <c r="B64" s="90">
        <v>145</v>
      </c>
      <c r="C64" s="90">
        <v>145</v>
      </c>
      <c r="D64" s="90" t="s">
        <v>137</v>
      </c>
      <c r="E64" s="91">
        <v>46012</v>
      </c>
      <c r="F64" s="30">
        <v>23.2</v>
      </c>
      <c r="G64" s="91">
        <v>45902</v>
      </c>
      <c r="H64" s="91"/>
      <c r="I64" s="90">
        <v>1</v>
      </c>
      <c r="J64" s="92">
        <v>110</v>
      </c>
      <c r="K64" s="90" t="s">
        <v>231</v>
      </c>
      <c r="L64" s="90"/>
    </row>
    <row r="65" spans="1:12" ht="15" customHeight="1" outlineLevel="1" x14ac:dyDescent="0.3">
      <c r="A65" s="101" t="s">
        <v>618</v>
      </c>
      <c r="B65" s="90">
        <v>145</v>
      </c>
      <c r="C65" s="90">
        <v>145</v>
      </c>
      <c r="D65" s="90" t="s">
        <v>137</v>
      </c>
      <c r="E65" s="91">
        <v>46020</v>
      </c>
      <c r="F65" s="30">
        <v>23</v>
      </c>
      <c r="G65" s="91">
        <v>45902</v>
      </c>
      <c r="H65" s="91"/>
      <c r="I65" s="90">
        <v>1</v>
      </c>
      <c r="J65" s="92">
        <v>118</v>
      </c>
      <c r="K65" s="90" t="s">
        <v>231</v>
      </c>
      <c r="L65" s="90"/>
    </row>
    <row r="66" spans="1:12" ht="15" customHeight="1" outlineLevel="1" x14ac:dyDescent="0.3">
      <c r="A66" s="101" t="s">
        <v>618</v>
      </c>
      <c r="B66" s="90">
        <v>145</v>
      </c>
      <c r="C66" s="90">
        <v>145</v>
      </c>
      <c r="D66" s="90" t="s">
        <v>137</v>
      </c>
      <c r="E66" s="91">
        <v>46026</v>
      </c>
      <c r="F66" s="30">
        <v>24</v>
      </c>
      <c r="G66" s="91">
        <v>45902</v>
      </c>
      <c r="H66" s="91"/>
      <c r="I66" s="90">
        <v>1</v>
      </c>
      <c r="J66" s="92">
        <v>124</v>
      </c>
      <c r="K66" s="90" t="s">
        <v>232</v>
      </c>
      <c r="L66" s="90"/>
    </row>
    <row r="67" spans="1:12" ht="15" customHeight="1" outlineLevel="1" x14ac:dyDescent="0.3">
      <c r="A67" s="101" t="s">
        <v>618</v>
      </c>
      <c r="B67" s="90">
        <v>145</v>
      </c>
      <c r="C67" s="90">
        <v>145</v>
      </c>
      <c r="D67" s="90" t="s">
        <v>137</v>
      </c>
      <c r="E67" s="91">
        <v>46032</v>
      </c>
      <c r="F67" s="30">
        <v>25</v>
      </c>
      <c r="G67" s="91">
        <v>45902</v>
      </c>
      <c r="H67" s="91"/>
      <c r="I67" s="90">
        <v>1</v>
      </c>
      <c r="J67" s="92">
        <v>130</v>
      </c>
      <c r="K67" s="90" t="s">
        <v>232</v>
      </c>
      <c r="L67" s="90"/>
    </row>
    <row r="68" spans="1:12" ht="15" customHeight="1" outlineLevel="1" x14ac:dyDescent="0.3">
      <c r="A68" s="101" t="s">
        <v>618</v>
      </c>
      <c r="B68" s="90">
        <v>145</v>
      </c>
      <c r="C68" s="90">
        <v>145</v>
      </c>
      <c r="D68" s="90" t="s">
        <v>137</v>
      </c>
      <c r="E68" s="91">
        <v>46038</v>
      </c>
      <c r="F68" s="30">
        <v>24</v>
      </c>
      <c r="G68" s="91">
        <v>45902</v>
      </c>
      <c r="H68" s="91"/>
      <c r="I68" s="90">
        <v>1</v>
      </c>
      <c r="J68" s="92">
        <v>136</v>
      </c>
      <c r="K68" s="90" t="s">
        <v>232</v>
      </c>
      <c r="L68" s="90"/>
    </row>
    <row r="69" spans="1:12" ht="15" customHeight="1" outlineLevel="1" x14ac:dyDescent="0.3">
      <c r="A69" s="101" t="s">
        <v>618</v>
      </c>
      <c r="B69" s="90">
        <v>145</v>
      </c>
      <c r="C69" s="90">
        <v>145</v>
      </c>
      <c r="D69" s="90" t="s">
        <v>137</v>
      </c>
      <c r="E69" s="91">
        <v>46045</v>
      </c>
      <c r="F69" s="30">
        <v>25</v>
      </c>
      <c r="G69" s="91">
        <v>45902</v>
      </c>
      <c r="H69" s="91"/>
      <c r="I69" s="90">
        <v>1</v>
      </c>
      <c r="J69" s="92">
        <v>143</v>
      </c>
      <c r="K69" s="90" t="s">
        <v>232</v>
      </c>
      <c r="L69" s="90"/>
    </row>
    <row r="70" spans="1:12" ht="15" customHeight="1" outlineLevel="1" x14ac:dyDescent="0.3">
      <c r="A70" s="101" t="s">
        <v>618</v>
      </c>
      <c r="B70" s="90">
        <v>145</v>
      </c>
      <c r="C70" s="90">
        <v>145</v>
      </c>
      <c r="D70" s="90" t="s">
        <v>137</v>
      </c>
      <c r="E70" s="91">
        <v>46052</v>
      </c>
      <c r="F70" s="30">
        <v>26</v>
      </c>
      <c r="G70" s="91">
        <v>45902</v>
      </c>
      <c r="H70" s="91"/>
      <c r="I70" s="90">
        <v>1</v>
      </c>
      <c r="J70" s="92">
        <v>150</v>
      </c>
      <c r="K70" s="90" t="s">
        <v>232</v>
      </c>
      <c r="L70" s="90"/>
    </row>
    <row r="71" spans="1:12" ht="15" customHeight="1" outlineLevel="1" x14ac:dyDescent="0.3">
      <c r="A71" s="101" t="s">
        <v>618</v>
      </c>
      <c r="B71" s="90">
        <v>145</v>
      </c>
      <c r="C71" s="90">
        <v>145</v>
      </c>
      <c r="D71" s="90" t="s">
        <v>137</v>
      </c>
      <c r="E71" s="91">
        <v>46071</v>
      </c>
      <c r="F71" s="30">
        <v>26</v>
      </c>
      <c r="G71" s="91">
        <v>45902</v>
      </c>
      <c r="H71" s="91"/>
      <c r="I71" s="90">
        <v>1</v>
      </c>
      <c r="J71" s="92">
        <v>169</v>
      </c>
      <c r="K71" s="90" t="s">
        <v>233</v>
      </c>
      <c r="L71" s="90"/>
    </row>
    <row r="72" spans="1:12" ht="15" customHeight="1" outlineLevel="1" x14ac:dyDescent="0.3">
      <c r="A72" s="101" t="s">
        <v>618</v>
      </c>
      <c r="B72" s="90">
        <v>145</v>
      </c>
      <c r="C72" s="90">
        <v>145</v>
      </c>
      <c r="D72" s="90" t="s">
        <v>137</v>
      </c>
      <c r="E72" s="91">
        <v>46102</v>
      </c>
      <c r="F72" s="30">
        <v>22</v>
      </c>
      <c r="G72" s="91">
        <v>45902</v>
      </c>
      <c r="H72" s="91"/>
      <c r="I72" s="90">
        <v>1</v>
      </c>
      <c r="J72" s="92">
        <v>200</v>
      </c>
      <c r="K72" s="90" t="s">
        <v>234</v>
      </c>
      <c r="L72" s="90"/>
    </row>
    <row r="73" spans="1:12" ht="15" customHeight="1" outlineLevel="1" x14ac:dyDescent="0.3">
      <c r="A73" s="101" t="s">
        <v>618</v>
      </c>
      <c r="B73" s="90">
        <v>145</v>
      </c>
      <c r="C73" s="90">
        <v>145</v>
      </c>
      <c r="D73" s="90" t="s">
        <v>137</v>
      </c>
      <c r="E73" s="91">
        <v>46116</v>
      </c>
      <c r="F73" s="30">
        <v>18</v>
      </c>
      <c r="G73" s="91">
        <v>45902</v>
      </c>
      <c r="H73" s="91"/>
      <c r="I73" s="90">
        <v>1</v>
      </c>
      <c r="J73" s="92">
        <v>214</v>
      </c>
      <c r="K73" s="90" t="s">
        <v>235</v>
      </c>
      <c r="L73" s="90"/>
    </row>
    <row r="74" spans="1:12" ht="15" customHeight="1" outlineLevel="1" x14ac:dyDescent="0.3">
      <c r="A74" s="101" t="s">
        <v>618</v>
      </c>
      <c r="B74" s="90">
        <v>145</v>
      </c>
      <c r="C74" s="90">
        <v>145</v>
      </c>
      <c r="D74" s="90" t="s">
        <v>137</v>
      </c>
      <c r="E74" s="91">
        <v>46129</v>
      </c>
      <c r="F74" s="30">
        <v>22</v>
      </c>
      <c r="G74" s="91">
        <v>45902</v>
      </c>
      <c r="H74" s="91"/>
      <c r="I74" s="90">
        <v>1</v>
      </c>
      <c r="J74" s="92">
        <v>227</v>
      </c>
      <c r="K74" s="90" t="s">
        <v>235</v>
      </c>
      <c r="L74" s="90"/>
    </row>
    <row r="75" spans="1:12" ht="15" customHeight="1" outlineLevel="1" x14ac:dyDescent="0.3">
      <c r="A75" s="101" t="s">
        <v>618</v>
      </c>
      <c r="B75" s="90">
        <v>145</v>
      </c>
      <c r="C75" s="90">
        <v>145</v>
      </c>
      <c r="D75" s="90" t="s">
        <v>137</v>
      </c>
      <c r="E75" s="91">
        <v>46143</v>
      </c>
      <c r="F75" s="30">
        <v>21</v>
      </c>
      <c r="G75" s="91">
        <v>45902</v>
      </c>
      <c r="H75" s="91"/>
      <c r="I75" s="90">
        <v>1</v>
      </c>
      <c r="J75" s="92">
        <v>241</v>
      </c>
      <c r="K75" s="90" t="s">
        <v>236</v>
      </c>
      <c r="L75" s="90"/>
    </row>
    <row r="76" spans="1:12" ht="15" customHeight="1" outlineLevel="1" x14ac:dyDescent="0.3">
      <c r="A76" s="101" t="s">
        <v>618</v>
      </c>
      <c r="B76" s="90">
        <v>145</v>
      </c>
      <c r="C76" s="90">
        <v>145</v>
      </c>
      <c r="D76" s="90" t="s">
        <v>137</v>
      </c>
      <c r="E76" s="91">
        <v>46151</v>
      </c>
      <c r="F76" s="30">
        <v>23</v>
      </c>
      <c r="G76" s="91">
        <v>45902</v>
      </c>
      <c r="H76" s="91"/>
      <c r="I76" s="90">
        <v>1</v>
      </c>
      <c r="J76" s="92">
        <v>249</v>
      </c>
      <c r="K76" s="90" t="s">
        <v>236</v>
      </c>
      <c r="L76" s="90"/>
    </row>
    <row r="77" spans="1:12" ht="15" customHeight="1" outlineLevel="1" x14ac:dyDescent="0.3">
      <c r="A77" s="101" t="s">
        <v>618</v>
      </c>
      <c r="B77" s="90">
        <v>145</v>
      </c>
      <c r="C77" s="90">
        <v>145</v>
      </c>
      <c r="D77" s="90" t="s">
        <v>137</v>
      </c>
      <c r="E77" s="91">
        <v>46160</v>
      </c>
      <c r="F77" s="30">
        <v>24</v>
      </c>
      <c r="G77" s="91">
        <v>45902</v>
      </c>
      <c r="H77" s="91"/>
      <c r="I77" s="90">
        <v>1</v>
      </c>
      <c r="J77" s="92">
        <v>258</v>
      </c>
      <c r="K77" s="90" t="s">
        <v>236</v>
      </c>
      <c r="L77" s="90"/>
    </row>
    <row r="78" spans="1:12" ht="15" customHeight="1" outlineLevel="1" x14ac:dyDescent="0.3">
      <c r="A78" s="101" t="s">
        <v>618</v>
      </c>
      <c r="B78" s="90">
        <v>145</v>
      </c>
      <c r="C78" s="90">
        <v>145</v>
      </c>
      <c r="D78" s="90" t="s">
        <v>137</v>
      </c>
      <c r="E78" s="91">
        <v>46186</v>
      </c>
      <c r="F78" s="30">
        <v>20</v>
      </c>
      <c r="G78" s="91">
        <v>45902</v>
      </c>
      <c r="H78" s="91"/>
      <c r="I78" s="90">
        <v>1</v>
      </c>
      <c r="J78" s="92">
        <v>284</v>
      </c>
      <c r="K78" s="90" t="s">
        <v>237</v>
      </c>
      <c r="L78" s="90"/>
    </row>
    <row r="79" spans="1:12" ht="15" customHeight="1" x14ac:dyDescent="0.3">
      <c r="A79" s="101" t="s">
        <v>619</v>
      </c>
      <c r="B79" s="90">
        <v>146</v>
      </c>
      <c r="C79" s="90"/>
      <c r="D79" s="90" t="s">
        <v>130</v>
      </c>
      <c r="E79" s="91">
        <v>46116</v>
      </c>
      <c r="F79" s="30">
        <v>11</v>
      </c>
      <c r="G79" s="91">
        <v>46105</v>
      </c>
      <c r="H79" s="91"/>
      <c r="I79" s="90">
        <v>1</v>
      </c>
      <c r="J79" s="92">
        <v>11</v>
      </c>
      <c r="K79" s="90" t="s">
        <v>235</v>
      </c>
      <c r="L79" s="90"/>
    </row>
    <row r="80" spans="1:12" ht="15" customHeight="1" outlineLevel="1" x14ac:dyDescent="0.3">
      <c r="A80" s="101" t="s">
        <v>619</v>
      </c>
      <c r="B80" s="90">
        <v>146</v>
      </c>
      <c r="C80" s="90"/>
      <c r="D80" s="90" t="s">
        <v>130</v>
      </c>
      <c r="E80" s="91">
        <v>46129</v>
      </c>
      <c r="F80" s="30">
        <v>15</v>
      </c>
      <c r="G80" s="91">
        <v>46105</v>
      </c>
      <c r="H80" s="91"/>
      <c r="I80" s="90">
        <v>1</v>
      </c>
      <c r="J80" s="92">
        <v>24</v>
      </c>
      <c r="K80" s="90" t="s">
        <v>235</v>
      </c>
      <c r="L80" s="90"/>
    </row>
    <row r="81" spans="1:12" ht="15" customHeight="1" outlineLevel="1" x14ac:dyDescent="0.3">
      <c r="A81" s="101" t="s">
        <v>619</v>
      </c>
      <c r="B81" s="90">
        <v>146</v>
      </c>
      <c r="C81" s="90"/>
      <c r="D81" s="90" t="s">
        <v>130</v>
      </c>
      <c r="E81" s="91">
        <v>46143</v>
      </c>
      <c r="F81" s="30">
        <v>17</v>
      </c>
      <c r="G81" s="91">
        <v>46105</v>
      </c>
      <c r="H81" s="91"/>
      <c r="I81" s="90">
        <v>1</v>
      </c>
      <c r="J81" s="92">
        <v>38</v>
      </c>
      <c r="K81" s="90" t="s">
        <v>236</v>
      </c>
      <c r="L81" s="90"/>
    </row>
    <row r="82" spans="1:12" ht="15" customHeight="1" outlineLevel="1" x14ac:dyDescent="0.3">
      <c r="A82" s="101" t="s">
        <v>619</v>
      </c>
      <c r="B82" s="90">
        <v>146</v>
      </c>
      <c r="C82" s="90"/>
      <c r="D82" s="90" t="s">
        <v>130</v>
      </c>
      <c r="E82" s="91">
        <v>46151</v>
      </c>
      <c r="F82" s="30">
        <v>20</v>
      </c>
      <c r="G82" s="91">
        <v>46105</v>
      </c>
      <c r="H82" s="91"/>
      <c r="I82" s="90">
        <v>1</v>
      </c>
      <c r="J82" s="92">
        <v>46</v>
      </c>
      <c r="K82" s="90" t="s">
        <v>236</v>
      </c>
      <c r="L82" s="90"/>
    </row>
    <row r="83" spans="1:12" ht="15" customHeight="1" outlineLevel="1" x14ac:dyDescent="0.3">
      <c r="A83" s="101" t="s">
        <v>619</v>
      </c>
      <c r="B83" s="90">
        <v>146</v>
      </c>
      <c r="C83" s="90"/>
      <c r="D83" s="90" t="s">
        <v>130</v>
      </c>
      <c r="E83" s="91">
        <v>46160</v>
      </c>
      <c r="F83" s="30">
        <v>16</v>
      </c>
      <c r="G83" s="91">
        <v>46105</v>
      </c>
      <c r="H83" s="91"/>
      <c r="I83" s="90">
        <v>1</v>
      </c>
      <c r="J83" s="92">
        <v>55</v>
      </c>
      <c r="K83" s="90" t="s">
        <v>236</v>
      </c>
      <c r="L83" s="90"/>
    </row>
    <row r="84" spans="1:12" ht="15" customHeight="1" outlineLevel="1" x14ac:dyDescent="0.3">
      <c r="A84" s="101" t="s">
        <v>619</v>
      </c>
      <c r="B84" s="90">
        <v>146</v>
      </c>
      <c r="C84" s="90"/>
      <c r="D84" s="90" t="s">
        <v>130</v>
      </c>
      <c r="E84" s="91">
        <v>46186</v>
      </c>
      <c r="F84" s="30">
        <v>19</v>
      </c>
      <c r="G84" s="91">
        <v>46105</v>
      </c>
      <c r="H84" s="91"/>
      <c r="I84" s="90">
        <v>1</v>
      </c>
      <c r="J84" s="92">
        <v>81</v>
      </c>
      <c r="K84" s="90" t="s">
        <v>237</v>
      </c>
      <c r="L84" s="90"/>
    </row>
    <row r="85" spans="1:12" ht="15" customHeight="1" x14ac:dyDescent="0.3">
      <c r="A85" s="101" t="s">
        <v>620</v>
      </c>
      <c r="B85" s="90">
        <v>147</v>
      </c>
      <c r="C85" s="90"/>
      <c r="D85" s="90" t="s">
        <v>130</v>
      </c>
      <c r="E85" s="91">
        <v>46143</v>
      </c>
      <c r="F85" s="30">
        <v>14</v>
      </c>
      <c r="G85" s="91">
        <v>46137</v>
      </c>
      <c r="H85" s="91">
        <v>46179</v>
      </c>
      <c r="I85" s="90">
        <v>0</v>
      </c>
      <c r="J85" s="92">
        <v>6</v>
      </c>
      <c r="K85" s="90" t="s">
        <v>236</v>
      </c>
      <c r="L85" s="90"/>
    </row>
    <row r="86" spans="1:12" ht="15" customHeight="1" outlineLevel="1" x14ac:dyDescent="0.3">
      <c r="A86" s="101" t="s">
        <v>620</v>
      </c>
      <c r="B86" s="90">
        <v>147</v>
      </c>
      <c r="C86" s="90"/>
      <c r="D86" s="90" t="s">
        <v>130</v>
      </c>
      <c r="E86" s="91">
        <v>46151</v>
      </c>
      <c r="F86" s="30">
        <v>20</v>
      </c>
      <c r="G86" s="91">
        <v>46137</v>
      </c>
      <c r="H86" s="91">
        <v>46179</v>
      </c>
      <c r="I86" s="90">
        <v>0</v>
      </c>
      <c r="J86" s="92">
        <v>14</v>
      </c>
      <c r="K86" s="90" t="s">
        <v>236</v>
      </c>
      <c r="L86" s="90"/>
    </row>
    <row r="87" spans="1:12" ht="15" customHeight="1" outlineLevel="1" x14ac:dyDescent="0.3">
      <c r="A87" s="101" t="s">
        <v>620</v>
      </c>
      <c r="B87" s="90">
        <v>147</v>
      </c>
      <c r="C87" s="90"/>
      <c r="D87" s="90" t="s">
        <v>130</v>
      </c>
      <c r="E87" s="91">
        <v>46160</v>
      </c>
      <c r="F87" s="30">
        <v>21</v>
      </c>
      <c r="G87" s="91">
        <v>46137</v>
      </c>
      <c r="H87" s="91">
        <v>46179</v>
      </c>
      <c r="I87" s="90">
        <v>0</v>
      </c>
      <c r="J87" s="92">
        <v>23</v>
      </c>
      <c r="K87" s="90" t="s">
        <v>236</v>
      </c>
      <c r="L87" s="90"/>
    </row>
    <row r="88" spans="1:12" ht="15" customHeight="1" x14ac:dyDescent="0.3">
      <c r="A88" s="101" t="s">
        <v>621</v>
      </c>
      <c r="B88" s="90">
        <v>148</v>
      </c>
      <c r="C88" s="90"/>
      <c r="D88" s="90" t="s">
        <v>130</v>
      </c>
      <c r="E88" s="91">
        <v>46052</v>
      </c>
      <c r="F88" s="30">
        <v>16</v>
      </c>
      <c r="G88" s="91">
        <v>46047</v>
      </c>
      <c r="H88" s="91"/>
      <c r="I88" s="90">
        <v>1</v>
      </c>
      <c r="J88" s="92">
        <v>5</v>
      </c>
      <c r="K88" s="90" t="s">
        <v>232</v>
      </c>
      <c r="L88" s="90"/>
    </row>
    <row r="89" spans="1:12" ht="15" customHeight="1" outlineLevel="1" x14ac:dyDescent="0.3">
      <c r="A89" s="101" t="s">
        <v>621</v>
      </c>
      <c r="B89" s="90">
        <v>148</v>
      </c>
      <c r="C89" s="90"/>
      <c r="D89" s="90" t="s">
        <v>130</v>
      </c>
      <c r="E89" s="91">
        <v>46071</v>
      </c>
      <c r="F89" s="30">
        <v>21</v>
      </c>
      <c r="G89" s="91">
        <v>46047</v>
      </c>
      <c r="H89" s="91"/>
      <c r="I89" s="90">
        <v>1</v>
      </c>
      <c r="J89" s="92">
        <v>24</v>
      </c>
      <c r="K89" s="90" t="s">
        <v>233</v>
      </c>
      <c r="L89" s="90"/>
    </row>
    <row r="90" spans="1:12" ht="15" customHeight="1" outlineLevel="1" x14ac:dyDescent="0.3">
      <c r="A90" s="101" t="s">
        <v>621</v>
      </c>
      <c r="B90" s="90">
        <v>148</v>
      </c>
      <c r="C90" s="90"/>
      <c r="D90" s="90" t="s">
        <v>130</v>
      </c>
      <c r="E90" s="91">
        <v>46102</v>
      </c>
      <c r="F90" s="30">
        <v>24</v>
      </c>
      <c r="G90" s="91">
        <v>46047</v>
      </c>
      <c r="H90" s="91"/>
      <c r="I90" s="90">
        <v>1</v>
      </c>
      <c r="J90" s="92">
        <v>55</v>
      </c>
      <c r="K90" s="90" t="s">
        <v>234</v>
      </c>
      <c r="L90" s="90"/>
    </row>
    <row r="91" spans="1:12" ht="15" customHeight="1" outlineLevel="1" x14ac:dyDescent="0.3">
      <c r="A91" s="101" t="s">
        <v>621</v>
      </c>
      <c r="B91" s="90">
        <v>148</v>
      </c>
      <c r="C91" s="90"/>
      <c r="D91" s="90" t="s">
        <v>130</v>
      </c>
      <c r="E91" s="91">
        <v>46116</v>
      </c>
      <c r="F91" s="30">
        <v>24</v>
      </c>
      <c r="G91" s="91">
        <v>46047</v>
      </c>
      <c r="H91" s="91"/>
      <c r="I91" s="90">
        <v>1</v>
      </c>
      <c r="J91" s="92">
        <v>69</v>
      </c>
      <c r="K91" s="90" t="s">
        <v>235</v>
      </c>
      <c r="L91" s="90"/>
    </row>
    <row r="92" spans="1:12" ht="15" customHeight="1" outlineLevel="1" x14ac:dyDescent="0.3">
      <c r="A92" s="101" t="s">
        <v>621</v>
      </c>
      <c r="B92" s="90">
        <v>148</v>
      </c>
      <c r="C92" s="90"/>
      <c r="D92" s="90" t="s">
        <v>130</v>
      </c>
      <c r="E92" s="91">
        <v>46129</v>
      </c>
      <c r="F92" s="30">
        <v>23</v>
      </c>
      <c r="G92" s="91">
        <v>46047</v>
      </c>
      <c r="H92" s="91"/>
      <c r="I92" s="90">
        <v>1</v>
      </c>
      <c r="J92" s="92">
        <v>82</v>
      </c>
      <c r="K92" s="90" t="s">
        <v>235</v>
      </c>
      <c r="L92" s="90"/>
    </row>
    <row r="93" spans="1:12" ht="15" customHeight="1" outlineLevel="1" x14ac:dyDescent="0.3">
      <c r="A93" s="101" t="s">
        <v>621</v>
      </c>
      <c r="B93" s="90">
        <v>148</v>
      </c>
      <c r="C93" s="90"/>
      <c r="D93" s="90" t="s">
        <v>130</v>
      </c>
      <c r="E93" s="91">
        <v>46143</v>
      </c>
      <c r="F93" s="30">
        <v>30</v>
      </c>
      <c r="G93" s="91">
        <v>46047</v>
      </c>
      <c r="H93" s="91"/>
      <c r="I93" s="90">
        <v>1</v>
      </c>
      <c r="J93" s="92">
        <v>96</v>
      </c>
      <c r="K93" s="90" t="s">
        <v>236</v>
      </c>
      <c r="L93" s="90"/>
    </row>
    <row r="94" spans="1:12" ht="15" customHeight="1" outlineLevel="1" x14ac:dyDescent="0.3">
      <c r="A94" s="101" t="s">
        <v>621</v>
      </c>
      <c r="B94" s="90">
        <v>148</v>
      </c>
      <c r="C94" s="90"/>
      <c r="D94" s="90" t="s">
        <v>130</v>
      </c>
      <c r="E94" s="91">
        <v>46151</v>
      </c>
      <c r="F94" s="30">
        <v>31</v>
      </c>
      <c r="G94" s="91">
        <v>46047</v>
      </c>
      <c r="H94" s="91"/>
      <c r="I94" s="90">
        <v>1</v>
      </c>
      <c r="J94" s="92">
        <v>104</v>
      </c>
      <c r="K94" s="90" t="s">
        <v>236</v>
      </c>
      <c r="L94" s="90"/>
    </row>
    <row r="95" spans="1:12" ht="15" customHeight="1" outlineLevel="1" x14ac:dyDescent="0.3">
      <c r="A95" s="101" t="s">
        <v>621</v>
      </c>
      <c r="B95" s="90">
        <v>148</v>
      </c>
      <c r="C95" s="90"/>
      <c r="D95" s="90" t="s">
        <v>130</v>
      </c>
      <c r="E95" s="91">
        <v>46160</v>
      </c>
      <c r="F95" s="30">
        <v>29</v>
      </c>
      <c r="G95" s="91">
        <v>46047</v>
      </c>
      <c r="H95" s="91"/>
      <c r="I95" s="90">
        <v>1</v>
      </c>
      <c r="J95" s="92">
        <v>113</v>
      </c>
      <c r="K95" s="90" t="s">
        <v>236</v>
      </c>
      <c r="L95" s="90"/>
    </row>
    <row r="96" spans="1:12" ht="15" customHeight="1" outlineLevel="1" x14ac:dyDescent="0.3">
      <c r="A96" s="101" t="s">
        <v>621</v>
      </c>
      <c r="B96" s="90">
        <v>148</v>
      </c>
      <c r="C96" s="90"/>
      <c r="D96" s="90" t="s">
        <v>130</v>
      </c>
      <c r="E96" s="91">
        <v>46186</v>
      </c>
      <c r="F96" s="30">
        <v>29</v>
      </c>
      <c r="G96" s="91">
        <v>46047</v>
      </c>
      <c r="H96" s="91"/>
      <c r="I96" s="90">
        <v>1</v>
      </c>
      <c r="J96" s="92">
        <v>139</v>
      </c>
      <c r="K96" s="90" t="s">
        <v>237</v>
      </c>
      <c r="L96" s="90"/>
    </row>
    <row r="97" spans="1:12" ht="15" customHeight="1" x14ac:dyDescent="0.3">
      <c r="A97" s="101" t="s">
        <v>622</v>
      </c>
      <c r="B97" s="90">
        <v>149</v>
      </c>
      <c r="C97" s="90"/>
      <c r="D97" s="90" t="s">
        <v>130</v>
      </c>
      <c r="E97" s="91">
        <v>46038</v>
      </c>
      <c r="F97" s="30">
        <v>21</v>
      </c>
      <c r="G97" s="91">
        <v>46033</v>
      </c>
      <c r="H97" s="91"/>
      <c r="I97" s="90">
        <v>1</v>
      </c>
      <c r="J97" s="92">
        <v>5</v>
      </c>
      <c r="K97" s="90" t="s">
        <v>232</v>
      </c>
      <c r="L97" s="90"/>
    </row>
    <row r="98" spans="1:12" ht="15" customHeight="1" outlineLevel="1" x14ac:dyDescent="0.3">
      <c r="A98" s="101" t="s">
        <v>622</v>
      </c>
      <c r="B98" s="90">
        <v>149</v>
      </c>
      <c r="C98" s="90"/>
      <c r="D98" s="90" t="s">
        <v>130</v>
      </c>
      <c r="E98" s="91">
        <v>46045</v>
      </c>
      <c r="F98" s="30">
        <v>23</v>
      </c>
      <c r="G98" s="91">
        <v>46033</v>
      </c>
      <c r="H98" s="91"/>
      <c r="I98" s="90">
        <v>1</v>
      </c>
      <c r="J98" s="92">
        <v>12</v>
      </c>
      <c r="K98" s="90" t="s">
        <v>232</v>
      </c>
      <c r="L98" s="90"/>
    </row>
    <row r="99" spans="1:12" ht="15" customHeight="1" outlineLevel="1" x14ac:dyDescent="0.3">
      <c r="A99" s="101" t="s">
        <v>622</v>
      </c>
      <c r="B99" s="90">
        <v>149</v>
      </c>
      <c r="C99" s="90"/>
      <c r="D99" s="90" t="s">
        <v>130</v>
      </c>
      <c r="E99" s="91">
        <v>46052</v>
      </c>
      <c r="F99" s="30">
        <v>23</v>
      </c>
      <c r="G99" s="91">
        <v>46033</v>
      </c>
      <c r="H99" s="91"/>
      <c r="I99" s="90">
        <v>1</v>
      </c>
      <c r="J99" s="92">
        <v>19</v>
      </c>
      <c r="K99" s="90" t="s">
        <v>232</v>
      </c>
      <c r="L99" s="90"/>
    </row>
    <row r="100" spans="1:12" ht="15" customHeight="1" outlineLevel="1" x14ac:dyDescent="0.3">
      <c r="A100" s="101" t="s">
        <v>622</v>
      </c>
      <c r="B100" s="90">
        <v>149</v>
      </c>
      <c r="C100" s="90"/>
      <c r="D100" s="90" t="s">
        <v>130</v>
      </c>
      <c r="E100" s="91">
        <v>46071</v>
      </c>
      <c r="F100" s="30">
        <v>19</v>
      </c>
      <c r="G100" s="91">
        <v>46033</v>
      </c>
      <c r="H100" s="91"/>
      <c r="I100" s="90">
        <v>1</v>
      </c>
      <c r="J100" s="92">
        <v>38</v>
      </c>
      <c r="K100" s="90" t="s">
        <v>233</v>
      </c>
      <c r="L100" s="90"/>
    </row>
    <row r="101" spans="1:12" ht="15" customHeight="1" outlineLevel="1" x14ac:dyDescent="0.3">
      <c r="A101" s="101" t="s">
        <v>622</v>
      </c>
      <c r="B101" s="90">
        <v>149</v>
      </c>
      <c r="C101" s="90"/>
      <c r="D101" s="90" t="s">
        <v>130</v>
      </c>
      <c r="E101" s="91">
        <v>46102</v>
      </c>
      <c r="F101" s="30">
        <v>19</v>
      </c>
      <c r="G101" s="91">
        <v>46033</v>
      </c>
      <c r="H101" s="91"/>
      <c r="I101" s="90">
        <v>1</v>
      </c>
      <c r="J101" s="92">
        <v>69</v>
      </c>
      <c r="K101" s="90" t="s">
        <v>234</v>
      </c>
      <c r="L101" s="90"/>
    </row>
    <row r="102" spans="1:12" ht="15" customHeight="1" outlineLevel="1" x14ac:dyDescent="0.3">
      <c r="A102" s="101" t="s">
        <v>622</v>
      </c>
      <c r="B102" s="90">
        <v>149</v>
      </c>
      <c r="C102" s="90"/>
      <c r="D102" s="90" t="s">
        <v>130</v>
      </c>
      <c r="E102" s="91">
        <v>46116</v>
      </c>
      <c r="F102" s="30">
        <v>19</v>
      </c>
      <c r="G102" s="91">
        <v>46033</v>
      </c>
      <c r="H102" s="91"/>
      <c r="I102" s="90">
        <v>1</v>
      </c>
      <c r="J102" s="92">
        <v>83</v>
      </c>
      <c r="K102" s="90" t="s">
        <v>235</v>
      </c>
      <c r="L102" s="90"/>
    </row>
    <row r="103" spans="1:12" ht="15" customHeight="1" outlineLevel="1" x14ac:dyDescent="0.3">
      <c r="A103" s="101" t="s">
        <v>622</v>
      </c>
      <c r="B103" s="90">
        <v>149</v>
      </c>
      <c r="C103" s="90"/>
      <c r="D103" s="90" t="s">
        <v>130</v>
      </c>
      <c r="E103" s="91">
        <v>46129</v>
      </c>
      <c r="F103" s="30">
        <v>22</v>
      </c>
      <c r="G103" s="91">
        <v>46033</v>
      </c>
      <c r="H103" s="91"/>
      <c r="I103" s="90">
        <v>1</v>
      </c>
      <c r="J103" s="92">
        <v>96</v>
      </c>
      <c r="K103" s="90" t="s">
        <v>235</v>
      </c>
      <c r="L103" s="90"/>
    </row>
    <row r="104" spans="1:12" ht="15" customHeight="1" outlineLevel="1" x14ac:dyDescent="0.3">
      <c r="A104" s="101" t="s">
        <v>622</v>
      </c>
      <c r="B104" s="90">
        <v>149</v>
      </c>
      <c r="C104" s="90"/>
      <c r="D104" s="90" t="s">
        <v>130</v>
      </c>
      <c r="E104" s="91">
        <v>46143</v>
      </c>
      <c r="F104" s="30">
        <v>20</v>
      </c>
      <c r="G104" s="91">
        <v>46033</v>
      </c>
      <c r="H104" s="91"/>
      <c r="I104" s="90">
        <v>1</v>
      </c>
      <c r="J104" s="92">
        <v>110</v>
      </c>
      <c r="K104" s="90" t="s">
        <v>236</v>
      </c>
      <c r="L104" s="90"/>
    </row>
    <row r="105" spans="1:12" ht="15" customHeight="1" outlineLevel="1" x14ac:dyDescent="0.3">
      <c r="A105" s="101" t="s">
        <v>622</v>
      </c>
      <c r="B105" s="90">
        <v>149</v>
      </c>
      <c r="C105" s="90"/>
      <c r="D105" s="90" t="s">
        <v>130</v>
      </c>
      <c r="E105" s="91">
        <v>46151</v>
      </c>
      <c r="F105" s="30">
        <v>22</v>
      </c>
      <c r="G105" s="91">
        <v>46033</v>
      </c>
      <c r="H105" s="91"/>
      <c r="I105" s="90">
        <v>1</v>
      </c>
      <c r="J105" s="92">
        <v>118</v>
      </c>
      <c r="K105" s="90" t="s">
        <v>236</v>
      </c>
      <c r="L105" s="90"/>
    </row>
    <row r="106" spans="1:12" ht="15" customHeight="1" outlineLevel="1" x14ac:dyDescent="0.3">
      <c r="A106" s="101" t="s">
        <v>622</v>
      </c>
      <c r="B106" s="90">
        <v>149</v>
      </c>
      <c r="C106" s="90"/>
      <c r="D106" s="90" t="s">
        <v>130</v>
      </c>
      <c r="E106" s="91">
        <v>46160</v>
      </c>
      <c r="F106" s="30">
        <v>22</v>
      </c>
      <c r="G106" s="91">
        <v>46033</v>
      </c>
      <c r="H106" s="91"/>
      <c r="I106" s="90">
        <v>1</v>
      </c>
      <c r="J106" s="92">
        <v>127</v>
      </c>
      <c r="K106" s="90" t="s">
        <v>236</v>
      </c>
      <c r="L106" s="90"/>
    </row>
    <row r="107" spans="1:12" ht="15" customHeight="1" outlineLevel="1" x14ac:dyDescent="0.3">
      <c r="A107" s="101" t="s">
        <v>622</v>
      </c>
      <c r="B107" s="90">
        <v>149</v>
      </c>
      <c r="C107" s="90"/>
      <c r="D107" s="90" t="s">
        <v>130</v>
      </c>
      <c r="E107" s="91">
        <v>46186</v>
      </c>
      <c r="F107" s="30">
        <v>22</v>
      </c>
      <c r="G107" s="91">
        <v>46033</v>
      </c>
      <c r="H107" s="91"/>
      <c r="I107" s="90">
        <v>1</v>
      </c>
      <c r="J107" s="92">
        <v>153</v>
      </c>
      <c r="K107" s="90" t="s">
        <v>237</v>
      </c>
      <c r="L107" s="90"/>
    </row>
    <row r="108" spans="1:12" ht="15" customHeight="1" x14ac:dyDescent="0.3">
      <c r="A108" s="101" t="s">
        <v>623</v>
      </c>
      <c r="B108" s="90">
        <v>150</v>
      </c>
      <c r="C108" s="90"/>
      <c r="D108" s="90" t="s">
        <v>130</v>
      </c>
      <c r="E108" s="91">
        <v>46102</v>
      </c>
      <c r="F108" s="30">
        <v>20</v>
      </c>
      <c r="G108" s="91">
        <v>46092</v>
      </c>
      <c r="H108" s="91"/>
      <c r="I108" s="90">
        <v>1</v>
      </c>
      <c r="J108" s="92">
        <v>10</v>
      </c>
      <c r="K108" s="90" t="s">
        <v>234</v>
      </c>
      <c r="L108" s="90"/>
    </row>
    <row r="109" spans="1:12" ht="15" customHeight="1" outlineLevel="1" x14ac:dyDescent="0.3">
      <c r="A109" s="101" t="s">
        <v>623</v>
      </c>
      <c r="B109" s="90">
        <v>150</v>
      </c>
      <c r="C109" s="90"/>
      <c r="D109" s="90" t="s">
        <v>130</v>
      </c>
      <c r="E109" s="91">
        <v>46116</v>
      </c>
      <c r="F109" s="30">
        <v>22</v>
      </c>
      <c r="G109" s="91">
        <v>46092</v>
      </c>
      <c r="H109" s="91"/>
      <c r="I109" s="90">
        <v>1</v>
      </c>
      <c r="J109" s="92">
        <v>24</v>
      </c>
      <c r="K109" s="90" t="s">
        <v>235</v>
      </c>
      <c r="L109" s="90"/>
    </row>
    <row r="110" spans="1:12" ht="15" customHeight="1" outlineLevel="1" x14ac:dyDescent="0.3">
      <c r="A110" s="101" t="s">
        <v>623</v>
      </c>
      <c r="B110" s="90">
        <v>150</v>
      </c>
      <c r="C110" s="90"/>
      <c r="D110" s="90" t="s">
        <v>130</v>
      </c>
      <c r="E110" s="91">
        <v>46129</v>
      </c>
      <c r="F110" s="30">
        <v>22</v>
      </c>
      <c r="G110" s="91">
        <v>46092</v>
      </c>
      <c r="H110" s="91"/>
      <c r="I110" s="90">
        <v>1</v>
      </c>
      <c r="J110" s="92">
        <v>37</v>
      </c>
      <c r="K110" s="90" t="s">
        <v>235</v>
      </c>
      <c r="L110" s="90"/>
    </row>
    <row r="111" spans="1:12" ht="15" customHeight="1" outlineLevel="1" x14ac:dyDescent="0.3">
      <c r="A111" s="101" t="s">
        <v>623</v>
      </c>
      <c r="B111" s="90">
        <v>150</v>
      </c>
      <c r="C111" s="90"/>
      <c r="D111" s="90" t="s">
        <v>130</v>
      </c>
      <c r="E111" s="91">
        <v>46143</v>
      </c>
      <c r="F111" s="30">
        <v>25</v>
      </c>
      <c r="G111" s="91">
        <v>46092</v>
      </c>
      <c r="H111" s="91"/>
      <c r="I111" s="90">
        <v>1</v>
      </c>
      <c r="J111" s="92">
        <v>51</v>
      </c>
      <c r="K111" s="90" t="s">
        <v>236</v>
      </c>
      <c r="L111" s="90"/>
    </row>
    <row r="112" spans="1:12" ht="15" customHeight="1" outlineLevel="1" x14ac:dyDescent="0.3">
      <c r="A112" s="101" t="s">
        <v>623</v>
      </c>
      <c r="B112" s="90">
        <v>150</v>
      </c>
      <c r="C112" s="90"/>
      <c r="D112" s="90" t="s">
        <v>130</v>
      </c>
      <c r="E112" s="91">
        <v>46151</v>
      </c>
      <c r="F112" s="30">
        <v>24</v>
      </c>
      <c r="G112" s="91">
        <v>46092</v>
      </c>
      <c r="H112" s="91"/>
      <c r="I112" s="90">
        <v>1</v>
      </c>
      <c r="J112" s="92">
        <v>59</v>
      </c>
      <c r="K112" s="90" t="s">
        <v>236</v>
      </c>
      <c r="L112" s="90"/>
    </row>
    <row r="113" spans="1:12" ht="15" customHeight="1" outlineLevel="1" x14ac:dyDescent="0.3">
      <c r="A113" s="101" t="s">
        <v>623</v>
      </c>
      <c r="B113" s="90">
        <v>150</v>
      </c>
      <c r="C113" s="90"/>
      <c r="D113" s="90" t="s">
        <v>130</v>
      </c>
      <c r="E113" s="91">
        <v>46160</v>
      </c>
      <c r="F113" s="30">
        <v>25</v>
      </c>
      <c r="G113" s="91">
        <v>46092</v>
      </c>
      <c r="H113" s="91"/>
      <c r="I113" s="90">
        <v>1</v>
      </c>
      <c r="J113" s="92">
        <v>68</v>
      </c>
      <c r="K113" s="90" t="s">
        <v>236</v>
      </c>
      <c r="L113" s="90"/>
    </row>
    <row r="114" spans="1:12" ht="15" customHeight="1" outlineLevel="1" x14ac:dyDescent="0.3">
      <c r="A114" s="101" t="s">
        <v>623</v>
      </c>
      <c r="B114" s="90">
        <v>150</v>
      </c>
      <c r="C114" s="90"/>
      <c r="D114" s="90" t="s">
        <v>130</v>
      </c>
      <c r="E114" s="91">
        <v>46186</v>
      </c>
      <c r="F114" s="30">
        <v>25</v>
      </c>
      <c r="G114" s="91">
        <v>46092</v>
      </c>
      <c r="H114" s="91"/>
      <c r="I114" s="90">
        <v>1</v>
      </c>
      <c r="J114" s="92">
        <v>94</v>
      </c>
      <c r="K114" s="90" t="s">
        <v>237</v>
      </c>
      <c r="L114" s="90"/>
    </row>
    <row r="115" spans="1:12" ht="15" customHeight="1" x14ac:dyDescent="0.3">
      <c r="A115" s="101" t="s">
        <v>624</v>
      </c>
      <c r="B115" s="90">
        <v>151</v>
      </c>
      <c r="C115" s="90">
        <v>151</v>
      </c>
      <c r="D115" s="90" t="s">
        <v>137</v>
      </c>
      <c r="E115" s="91">
        <v>46004</v>
      </c>
      <c r="F115" s="30">
        <v>28</v>
      </c>
      <c r="G115" s="91">
        <v>45893</v>
      </c>
      <c r="H115" s="91"/>
      <c r="I115" s="90">
        <v>1</v>
      </c>
      <c r="J115" s="92">
        <v>111</v>
      </c>
      <c r="K115" s="90" t="s">
        <v>231</v>
      </c>
      <c r="L115" s="90"/>
    </row>
    <row r="116" spans="1:12" ht="15" customHeight="1" outlineLevel="1" x14ac:dyDescent="0.3">
      <c r="A116" s="101" t="s">
        <v>624</v>
      </c>
      <c r="B116" s="90">
        <v>151</v>
      </c>
      <c r="C116" s="90">
        <v>151</v>
      </c>
      <c r="D116" s="90" t="s">
        <v>137</v>
      </c>
      <c r="E116" s="91">
        <v>46012</v>
      </c>
      <c r="F116" s="30">
        <v>23</v>
      </c>
      <c r="G116" s="91">
        <v>45893</v>
      </c>
      <c r="H116" s="91"/>
      <c r="I116" s="90">
        <v>1</v>
      </c>
      <c r="J116" s="92">
        <v>119</v>
      </c>
      <c r="K116" s="90" t="s">
        <v>231</v>
      </c>
      <c r="L116" s="90"/>
    </row>
    <row r="117" spans="1:12" ht="15" customHeight="1" outlineLevel="1" x14ac:dyDescent="0.3">
      <c r="A117" s="101" t="s">
        <v>624</v>
      </c>
      <c r="B117" s="90">
        <v>151</v>
      </c>
      <c r="C117" s="90">
        <v>151</v>
      </c>
      <c r="D117" s="90" t="s">
        <v>137</v>
      </c>
      <c r="E117" s="91">
        <v>46020</v>
      </c>
      <c r="F117" s="30">
        <v>27</v>
      </c>
      <c r="G117" s="91">
        <v>45893</v>
      </c>
      <c r="H117" s="91"/>
      <c r="I117" s="90">
        <v>1</v>
      </c>
      <c r="J117" s="92">
        <v>127</v>
      </c>
      <c r="K117" s="90" t="s">
        <v>231</v>
      </c>
      <c r="L117" s="90"/>
    </row>
    <row r="118" spans="1:12" ht="15" customHeight="1" outlineLevel="1" x14ac:dyDescent="0.3">
      <c r="A118" s="101" t="s">
        <v>624</v>
      </c>
      <c r="B118" s="90">
        <v>151</v>
      </c>
      <c r="C118" s="90">
        <v>151</v>
      </c>
      <c r="D118" s="90" t="s">
        <v>137</v>
      </c>
      <c r="E118" s="91">
        <v>46026</v>
      </c>
      <c r="F118" s="30">
        <v>24</v>
      </c>
      <c r="G118" s="91">
        <v>45893</v>
      </c>
      <c r="H118" s="91"/>
      <c r="I118" s="90">
        <v>1</v>
      </c>
      <c r="J118" s="92">
        <v>133</v>
      </c>
      <c r="K118" s="90" t="s">
        <v>232</v>
      </c>
      <c r="L118" s="90"/>
    </row>
    <row r="119" spans="1:12" ht="15" customHeight="1" outlineLevel="1" x14ac:dyDescent="0.3">
      <c r="A119" s="101" t="s">
        <v>624</v>
      </c>
      <c r="B119" s="90">
        <v>151</v>
      </c>
      <c r="C119" s="90">
        <v>151</v>
      </c>
      <c r="D119" s="90" t="s">
        <v>137</v>
      </c>
      <c r="E119" s="91">
        <v>46032</v>
      </c>
      <c r="F119" s="30">
        <v>25</v>
      </c>
      <c r="G119" s="91">
        <v>45893</v>
      </c>
      <c r="H119" s="91"/>
      <c r="I119" s="90">
        <v>1</v>
      </c>
      <c r="J119" s="92">
        <v>139</v>
      </c>
      <c r="K119" s="90" t="s">
        <v>232</v>
      </c>
      <c r="L119" s="90"/>
    </row>
    <row r="120" spans="1:12" ht="15" customHeight="1" outlineLevel="1" x14ac:dyDescent="0.3">
      <c r="A120" s="101" t="s">
        <v>624</v>
      </c>
      <c r="B120" s="90">
        <v>151</v>
      </c>
      <c r="C120" s="90">
        <v>151</v>
      </c>
      <c r="D120" s="90" t="s">
        <v>137</v>
      </c>
      <c r="E120" s="91">
        <v>46038</v>
      </c>
      <c r="F120" s="30">
        <v>27</v>
      </c>
      <c r="G120" s="91">
        <v>45893</v>
      </c>
      <c r="H120" s="91"/>
      <c r="I120" s="90">
        <v>1</v>
      </c>
      <c r="J120" s="92">
        <v>145</v>
      </c>
      <c r="K120" s="90" t="s">
        <v>232</v>
      </c>
      <c r="L120" s="90"/>
    </row>
    <row r="121" spans="1:12" ht="15" customHeight="1" outlineLevel="1" x14ac:dyDescent="0.3">
      <c r="A121" s="101" t="s">
        <v>624</v>
      </c>
      <c r="B121" s="90">
        <v>151</v>
      </c>
      <c r="C121" s="90">
        <v>151</v>
      </c>
      <c r="D121" s="90" t="s">
        <v>137</v>
      </c>
      <c r="E121" s="91">
        <v>46045</v>
      </c>
      <c r="F121" s="30">
        <v>24</v>
      </c>
      <c r="G121" s="91">
        <v>45893</v>
      </c>
      <c r="H121" s="91"/>
      <c r="I121" s="90">
        <v>1</v>
      </c>
      <c r="J121" s="92">
        <v>152</v>
      </c>
      <c r="K121" s="90" t="s">
        <v>232</v>
      </c>
      <c r="L121" s="90"/>
    </row>
    <row r="122" spans="1:12" ht="15" customHeight="1" outlineLevel="1" x14ac:dyDescent="0.3">
      <c r="A122" s="101" t="s">
        <v>624</v>
      </c>
      <c r="B122" s="90">
        <v>151</v>
      </c>
      <c r="C122" s="90">
        <v>151</v>
      </c>
      <c r="D122" s="90" t="s">
        <v>137</v>
      </c>
      <c r="E122" s="91">
        <v>46052</v>
      </c>
      <c r="F122" s="30">
        <v>24</v>
      </c>
      <c r="G122" s="91">
        <v>45893</v>
      </c>
      <c r="H122" s="91"/>
      <c r="I122" s="90">
        <v>1</v>
      </c>
      <c r="J122" s="92">
        <v>159</v>
      </c>
      <c r="K122" s="90" t="s">
        <v>232</v>
      </c>
      <c r="L122" s="90"/>
    </row>
    <row r="123" spans="1:12" ht="15" customHeight="1" outlineLevel="1" x14ac:dyDescent="0.3">
      <c r="A123" s="101" t="s">
        <v>624</v>
      </c>
      <c r="B123" s="90">
        <v>151</v>
      </c>
      <c r="C123" s="90">
        <v>151</v>
      </c>
      <c r="D123" s="90" t="s">
        <v>137</v>
      </c>
      <c r="E123" s="91">
        <v>46071</v>
      </c>
      <c r="F123" s="30">
        <v>27</v>
      </c>
      <c r="G123" s="91">
        <v>45893</v>
      </c>
      <c r="H123" s="91"/>
      <c r="I123" s="90">
        <v>1</v>
      </c>
      <c r="J123" s="92">
        <v>178</v>
      </c>
      <c r="K123" s="90" t="s">
        <v>233</v>
      </c>
      <c r="L123" s="90"/>
    </row>
    <row r="124" spans="1:12" ht="15" customHeight="1" outlineLevel="1" x14ac:dyDescent="0.3">
      <c r="A124" s="101" t="s">
        <v>624</v>
      </c>
      <c r="B124" s="90">
        <v>151</v>
      </c>
      <c r="C124" s="90">
        <v>151</v>
      </c>
      <c r="D124" s="90" t="s">
        <v>137</v>
      </c>
      <c r="E124" s="91">
        <v>46102</v>
      </c>
      <c r="F124" s="30">
        <v>25</v>
      </c>
      <c r="G124" s="91">
        <v>45893</v>
      </c>
      <c r="H124" s="91"/>
      <c r="I124" s="90">
        <v>1</v>
      </c>
      <c r="J124" s="92">
        <v>209</v>
      </c>
      <c r="K124" s="90" t="s">
        <v>234</v>
      </c>
      <c r="L124" s="90"/>
    </row>
    <row r="125" spans="1:12" ht="15" customHeight="1" outlineLevel="1" x14ac:dyDescent="0.3">
      <c r="A125" s="101" t="s">
        <v>624</v>
      </c>
      <c r="B125" s="90">
        <v>151</v>
      </c>
      <c r="C125" s="90">
        <v>151</v>
      </c>
      <c r="D125" s="90" t="s">
        <v>137</v>
      </c>
      <c r="E125" s="91">
        <v>46116</v>
      </c>
      <c r="F125" s="30">
        <v>26</v>
      </c>
      <c r="G125" s="91">
        <v>45893</v>
      </c>
      <c r="H125" s="91"/>
      <c r="I125" s="90">
        <v>1</v>
      </c>
      <c r="J125" s="92">
        <v>223</v>
      </c>
      <c r="K125" s="90" t="s">
        <v>235</v>
      </c>
      <c r="L125" s="90"/>
    </row>
    <row r="126" spans="1:12" ht="15" customHeight="1" outlineLevel="1" x14ac:dyDescent="0.3">
      <c r="A126" s="101" t="s">
        <v>624</v>
      </c>
      <c r="B126" s="90">
        <v>151</v>
      </c>
      <c r="C126" s="90">
        <v>151</v>
      </c>
      <c r="D126" s="90" t="s">
        <v>137</v>
      </c>
      <c r="E126" s="91">
        <v>46129</v>
      </c>
      <c r="F126" s="30">
        <v>25</v>
      </c>
      <c r="G126" s="91">
        <v>45893</v>
      </c>
      <c r="H126" s="91"/>
      <c r="I126" s="90">
        <v>1</v>
      </c>
      <c r="J126" s="92">
        <v>236</v>
      </c>
      <c r="K126" s="90" t="s">
        <v>235</v>
      </c>
      <c r="L126" s="90"/>
    </row>
    <row r="127" spans="1:12" ht="15" customHeight="1" outlineLevel="1" x14ac:dyDescent="0.3">
      <c r="A127" s="101" t="s">
        <v>624</v>
      </c>
      <c r="B127" s="90">
        <v>151</v>
      </c>
      <c r="C127" s="90">
        <v>151</v>
      </c>
      <c r="D127" s="90" t="s">
        <v>137</v>
      </c>
      <c r="E127" s="91">
        <v>46143</v>
      </c>
      <c r="F127" s="30">
        <v>26</v>
      </c>
      <c r="G127" s="91">
        <v>45893</v>
      </c>
      <c r="H127" s="91"/>
      <c r="I127" s="90">
        <v>1</v>
      </c>
      <c r="J127" s="92">
        <v>250</v>
      </c>
      <c r="K127" s="90" t="s">
        <v>236</v>
      </c>
      <c r="L127" s="90"/>
    </row>
    <row r="128" spans="1:12" ht="15" customHeight="1" outlineLevel="1" x14ac:dyDescent="0.3">
      <c r="A128" s="101" t="s">
        <v>624</v>
      </c>
      <c r="B128" s="90">
        <v>151</v>
      </c>
      <c r="C128" s="90">
        <v>151</v>
      </c>
      <c r="D128" s="90" t="s">
        <v>137</v>
      </c>
      <c r="E128" s="91">
        <v>46151</v>
      </c>
      <c r="F128" s="30">
        <v>31</v>
      </c>
      <c r="G128" s="91">
        <v>45893</v>
      </c>
      <c r="H128" s="91"/>
      <c r="I128" s="90">
        <v>1</v>
      </c>
      <c r="J128" s="92">
        <v>258</v>
      </c>
      <c r="K128" s="90" t="s">
        <v>236</v>
      </c>
      <c r="L128" s="90"/>
    </row>
    <row r="129" spans="1:12" ht="15" customHeight="1" outlineLevel="1" x14ac:dyDescent="0.3">
      <c r="A129" s="101" t="s">
        <v>624</v>
      </c>
      <c r="B129" s="90">
        <v>151</v>
      </c>
      <c r="C129" s="90">
        <v>151</v>
      </c>
      <c r="D129" s="90" t="s">
        <v>137</v>
      </c>
      <c r="E129" s="91">
        <v>46160</v>
      </c>
      <c r="F129" s="30">
        <v>30</v>
      </c>
      <c r="G129" s="91">
        <v>45893</v>
      </c>
      <c r="H129" s="91"/>
      <c r="I129" s="90">
        <v>1</v>
      </c>
      <c r="J129" s="92">
        <v>267</v>
      </c>
      <c r="K129" s="90" t="s">
        <v>236</v>
      </c>
      <c r="L129" s="90"/>
    </row>
    <row r="130" spans="1:12" ht="15" customHeight="1" outlineLevel="1" x14ac:dyDescent="0.3">
      <c r="A130" s="101" t="s">
        <v>624</v>
      </c>
      <c r="B130" s="90">
        <v>151</v>
      </c>
      <c r="C130" s="90">
        <v>151</v>
      </c>
      <c r="D130" s="90" t="s">
        <v>137</v>
      </c>
      <c r="E130" s="91">
        <v>46186</v>
      </c>
      <c r="F130" s="30">
        <v>27</v>
      </c>
      <c r="G130" s="91">
        <v>45893</v>
      </c>
      <c r="H130" s="91"/>
      <c r="I130" s="90">
        <v>1</v>
      </c>
      <c r="J130" s="92">
        <v>293</v>
      </c>
      <c r="K130" s="90" t="s">
        <v>237</v>
      </c>
      <c r="L130" s="90"/>
    </row>
    <row r="131" spans="1:12" ht="15" customHeight="1" x14ac:dyDescent="0.3">
      <c r="A131" s="101" t="s">
        <v>630</v>
      </c>
      <c r="B131" s="90" t="s">
        <v>724</v>
      </c>
      <c r="C131" s="90" t="s">
        <v>724</v>
      </c>
      <c r="D131" s="90" t="s">
        <v>130</v>
      </c>
      <c r="E131" s="91">
        <v>45990</v>
      </c>
      <c r="F131" s="30">
        <v>15</v>
      </c>
      <c r="G131" s="91">
        <v>45965</v>
      </c>
      <c r="H131" s="91"/>
      <c r="I131" s="90">
        <v>1</v>
      </c>
      <c r="J131" s="92">
        <v>25</v>
      </c>
      <c r="K131" s="90" t="s">
        <v>230</v>
      </c>
      <c r="L131" s="90"/>
    </row>
    <row r="132" spans="1:12" ht="15" customHeight="1" outlineLevel="1" x14ac:dyDescent="0.3">
      <c r="A132" s="101" t="s">
        <v>630</v>
      </c>
      <c r="B132" s="90" t="s">
        <v>724</v>
      </c>
      <c r="C132" s="90" t="s">
        <v>724</v>
      </c>
      <c r="D132" s="90" t="s">
        <v>130</v>
      </c>
      <c r="E132" s="91">
        <v>46004</v>
      </c>
      <c r="F132" s="30">
        <v>22</v>
      </c>
      <c r="G132" s="91">
        <v>45965</v>
      </c>
      <c r="H132" s="91"/>
      <c r="I132" s="90">
        <v>1</v>
      </c>
      <c r="J132" s="92">
        <v>39</v>
      </c>
      <c r="K132" s="90" t="s">
        <v>231</v>
      </c>
      <c r="L132" s="90"/>
    </row>
    <row r="133" spans="1:12" ht="15" customHeight="1" outlineLevel="1" x14ac:dyDescent="0.3">
      <c r="A133" s="101" t="s">
        <v>630</v>
      </c>
      <c r="B133" s="90" t="s">
        <v>724</v>
      </c>
      <c r="C133" s="90" t="s">
        <v>724</v>
      </c>
      <c r="D133" s="90" t="s">
        <v>130</v>
      </c>
      <c r="E133" s="91">
        <v>46012</v>
      </c>
      <c r="F133" s="30">
        <v>25</v>
      </c>
      <c r="G133" s="91">
        <v>45965</v>
      </c>
      <c r="H133" s="91"/>
      <c r="I133" s="90">
        <v>1</v>
      </c>
      <c r="J133" s="92">
        <v>47</v>
      </c>
      <c r="K133" s="90" t="s">
        <v>231</v>
      </c>
      <c r="L133" s="90"/>
    </row>
    <row r="134" spans="1:12" ht="15" customHeight="1" outlineLevel="1" x14ac:dyDescent="0.3">
      <c r="A134" s="101" t="s">
        <v>630</v>
      </c>
      <c r="B134" s="90" t="s">
        <v>724</v>
      </c>
      <c r="C134" s="90" t="s">
        <v>724</v>
      </c>
      <c r="D134" s="90" t="s">
        <v>130</v>
      </c>
      <c r="E134" s="91">
        <v>46020</v>
      </c>
      <c r="F134" s="30">
        <v>23</v>
      </c>
      <c r="G134" s="91">
        <v>45965</v>
      </c>
      <c r="H134" s="91"/>
      <c r="I134" s="90">
        <v>1</v>
      </c>
      <c r="J134" s="92">
        <v>55</v>
      </c>
      <c r="K134" s="90" t="s">
        <v>231</v>
      </c>
      <c r="L134" s="90"/>
    </row>
    <row r="135" spans="1:12" ht="15" customHeight="1" outlineLevel="1" x14ac:dyDescent="0.3">
      <c r="A135" s="101" t="s">
        <v>630</v>
      </c>
      <c r="B135" s="90" t="s">
        <v>724</v>
      </c>
      <c r="C135" s="90" t="s">
        <v>724</v>
      </c>
      <c r="D135" s="90" t="s">
        <v>130</v>
      </c>
      <c r="E135" s="91">
        <v>46026</v>
      </c>
      <c r="F135" s="30">
        <v>20</v>
      </c>
      <c r="G135" s="91">
        <v>45965</v>
      </c>
      <c r="H135" s="91"/>
      <c r="I135" s="90">
        <v>1</v>
      </c>
      <c r="J135" s="92">
        <v>61</v>
      </c>
      <c r="K135" s="90" t="s">
        <v>232</v>
      </c>
      <c r="L135" s="90"/>
    </row>
    <row r="136" spans="1:12" ht="15" customHeight="1" outlineLevel="1" x14ac:dyDescent="0.3">
      <c r="A136" s="101" t="s">
        <v>630</v>
      </c>
      <c r="B136" s="90" t="s">
        <v>724</v>
      </c>
      <c r="C136" s="90" t="s">
        <v>724</v>
      </c>
      <c r="D136" s="90" t="s">
        <v>130</v>
      </c>
      <c r="E136" s="91">
        <v>46032</v>
      </c>
      <c r="F136" s="30">
        <v>23</v>
      </c>
      <c r="G136" s="91">
        <v>45965</v>
      </c>
      <c r="H136" s="91"/>
      <c r="I136" s="90">
        <v>1</v>
      </c>
      <c r="J136" s="92">
        <v>67</v>
      </c>
      <c r="K136" s="90" t="s">
        <v>232</v>
      </c>
      <c r="L136" s="90"/>
    </row>
    <row r="137" spans="1:12" ht="15" customHeight="1" outlineLevel="1" x14ac:dyDescent="0.3">
      <c r="A137" s="101" t="s">
        <v>630</v>
      </c>
      <c r="B137" s="90" t="s">
        <v>724</v>
      </c>
      <c r="C137" s="90" t="s">
        <v>724</v>
      </c>
      <c r="D137" s="90" t="s">
        <v>130</v>
      </c>
      <c r="E137" s="91">
        <v>46038</v>
      </c>
      <c r="F137" s="30">
        <v>20</v>
      </c>
      <c r="G137" s="91">
        <v>45965</v>
      </c>
      <c r="H137" s="91"/>
      <c r="I137" s="90">
        <v>1</v>
      </c>
      <c r="J137" s="92">
        <v>73</v>
      </c>
      <c r="K137" s="90" t="s">
        <v>232</v>
      </c>
      <c r="L137" s="90"/>
    </row>
    <row r="138" spans="1:12" ht="15" customHeight="1" outlineLevel="1" x14ac:dyDescent="0.3">
      <c r="A138" s="101" t="s">
        <v>630</v>
      </c>
      <c r="B138" s="90" t="s">
        <v>724</v>
      </c>
      <c r="C138" s="90" t="s">
        <v>724</v>
      </c>
      <c r="D138" s="90" t="s">
        <v>130</v>
      </c>
      <c r="E138" s="91">
        <v>46045</v>
      </c>
      <c r="F138" s="30">
        <v>23</v>
      </c>
      <c r="G138" s="91">
        <v>45965</v>
      </c>
      <c r="H138" s="91"/>
      <c r="I138" s="90">
        <v>1</v>
      </c>
      <c r="J138" s="92">
        <v>80</v>
      </c>
      <c r="K138" s="90" t="s">
        <v>232</v>
      </c>
      <c r="L138" s="90"/>
    </row>
    <row r="139" spans="1:12" ht="15" customHeight="1" outlineLevel="1" x14ac:dyDescent="0.3">
      <c r="A139" s="101" t="s">
        <v>630</v>
      </c>
      <c r="B139" s="90" t="s">
        <v>724</v>
      </c>
      <c r="C139" s="90" t="s">
        <v>724</v>
      </c>
      <c r="D139" s="90" t="s">
        <v>130</v>
      </c>
      <c r="E139" s="91">
        <v>46052</v>
      </c>
      <c r="F139" s="30">
        <v>24</v>
      </c>
      <c r="G139" s="91">
        <v>45965</v>
      </c>
      <c r="H139" s="91"/>
      <c r="I139" s="90">
        <v>1</v>
      </c>
      <c r="J139" s="92">
        <v>87</v>
      </c>
      <c r="K139" s="90" t="s">
        <v>232</v>
      </c>
      <c r="L139" s="90"/>
    </row>
    <row r="140" spans="1:12" ht="15" customHeight="1" outlineLevel="1" x14ac:dyDescent="0.3">
      <c r="A140" s="101" t="s">
        <v>630</v>
      </c>
      <c r="B140" s="90" t="s">
        <v>724</v>
      </c>
      <c r="C140" s="90" t="s">
        <v>724</v>
      </c>
      <c r="D140" s="90" t="s">
        <v>130</v>
      </c>
      <c r="E140" s="91">
        <v>46071</v>
      </c>
      <c r="F140" s="30">
        <v>22</v>
      </c>
      <c r="G140" s="91">
        <v>45965</v>
      </c>
      <c r="H140" s="91"/>
      <c r="I140" s="90">
        <v>1</v>
      </c>
      <c r="J140" s="92">
        <v>106</v>
      </c>
      <c r="K140" s="90" t="s">
        <v>233</v>
      </c>
      <c r="L140" s="90"/>
    </row>
    <row r="141" spans="1:12" ht="15" customHeight="1" outlineLevel="1" x14ac:dyDescent="0.3">
      <c r="A141" s="101" t="s">
        <v>630</v>
      </c>
      <c r="B141" s="90" t="s">
        <v>724</v>
      </c>
      <c r="C141" s="90" t="s">
        <v>724</v>
      </c>
      <c r="D141" s="90" t="s">
        <v>130</v>
      </c>
      <c r="E141" s="91">
        <v>46102</v>
      </c>
      <c r="F141" s="30">
        <v>21</v>
      </c>
      <c r="G141" s="91">
        <v>45965</v>
      </c>
      <c r="H141" s="91"/>
      <c r="I141" s="90">
        <v>1</v>
      </c>
      <c r="J141" s="92">
        <v>137</v>
      </c>
      <c r="K141" s="90" t="s">
        <v>234</v>
      </c>
      <c r="L141" s="90"/>
    </row>
    <row r="142" spans="1:12" ht="15" customHeight="1" outlineLevel="1" x14ac:dyDescent="0.3">
      <c r="A142" s="101" t="s">
        <v>630</v>
      </c>
      <c r="B142" s="90" t="s">
        <v>724</v>
      </c>
      <c r="C142" s="90" t="s">
        <v>724</v>
      </c>
      <c r="D142" s="90" t="s">
        <v>130</v>
      </c>
      <c r="E142" s="91">
        <v>46116</v>
      </c>
      <c r="F142" s="30">
        <v>21</v>
      </c>
      <c r="G142" s="91">
        <v>45965</v>
      </c>
      <c r="H142" s="91"/>
      <c r="I142" s="90">
        <v>1</v>
      </c>
      <c r="J142" s="92">
        <v>151</v>
      </c>
      <c r="K142" s="90" t="s">
        <v>235</v>
      </c>
      <c r="L142" s="90"/>
    </row>
    <row r="143" spans="1:12" ht="15" customHeight="1" outlineLevel="1" x14ac:dyDescent="0.3">
      <c r="A143" s="101" t="s">
        <v>630</v>
      </c>
      <c r="B143" s="90" t="s">
        <v>724</v>
      </c>
      <c r="C143" s="90" t="s">
        <v>724</v>
      </c>
      <c r="D143" s="90" t="s">
        <v>130</v>
      </c>
      <c r="E143" s="91">
        <v>46129</v>
      </c>
      <c r="F143" s="30">
        <v>23</v>
      </c>
      <c r="G143" s="91">
        <v>45965</v>
      </c>
      <c r="H143" s="91"/>
      <c r="I143" s="90">
        <v>1</v>
      </c>
      <c r="J143" s="92">
        <v>164</v>
      </c>
      <c r="K143" s="90" t="s">
        <v>235</v>
      </c>
      <c r="L143" s="90"/>
    </row>
    <row r="144" spans="1:12" ht="15" customHeight="1" outlineLevel="1" x14ac:dyDescent="0.3">
      <c r="A144" s="101" t="s">
        <v>630</v>
      </c>
      <c r="B144" s="90" t="s">
        <v>724</v>
      </c>
      <c r="C144" s="90" t="s">
        <v>724</v>
      </c>
      <c r="D144" s="90" t="s">
        <v>130</v>
      </c>
      <c r="E144" s="91">
        <v>46143</v>
      </c>
      <c r="F144" s="30">
        <v>20</v>
      </c>
      <c r="G144" s="91">
        <v>45965</v>
      </c>
      <c r="H144" s="91"/>
      <c r="I144" s="90">
        <v>1</v>
      </c>
      <c r="J144" s="92">
        <v>178</v>
      </c>
      <c r="K144" s="90" t="s">
        <v>236</v>
      </c>
      <c r="L144" s="90"/>
    </row>
    <row r="145" spans="1:12" ht="15" customHeight="1" outlineLevel="1" x14ac:dyDescent="0.3">
      <c r="A145" s="101" t="s">
        <v>630</v>
      </c>
      <c r="B145" s="90" t="s">
        <v>724</v>
      </c>
      <c r="C145" s="90" t="s">
        <v>724</v>
      </c>
      <c r="D145" s="90" t="s">
        <v>130</v>
      </c>
      <c r="E145" s="91">
        <v>46151</v>
      </c>
      <c r="F145" s="30">
        <v>25</v>
      </c>
      <c r="G145" s="91">
        <v>45965</v>
      </c>
      <c r="H145" s="91"/>
      <c r="I145" s="90">
        <v>1</v>
      </c>
      <c r="J145" s="92">
        <v>186</v>
      </c>
      <c r="K145" s="90" t="s">
        <v>236</v>
      </c>
      <c r="L145" s="90"/>
    </row>
    <row r="146" spans="1:12" ht="15" customHeight="1" outlineLevel="1" x14ac:dyDescent="0.3">
      <c r="A146" s="101" t="s">
        <v>630</v>
      </c>
      <c r="B146" s="90" t="s">
        <v>724</v>
      </c>
      <c r="C146" s="90" t="s">
        <v>724</v>
      </c>
      <c r="D146" s="90" t="s">
        <v>130</v>
      </c>
      <c r="E146" s="91">
        <v>46160</v>
      </c>
      <c r="F146" s="30">
        <v>23</v>
      </c>
      <c r="G146" s="91">
        <v>45965</v>
      </c>
      <c r="H146" s="91"/>
      <c r="I146" s="90">
        <v>1</v>
      </c>
      <c r="J146" s="92">
        <v>195</v>
      </c>
      <c r="K146" s="90" t="s">
        <v>236</v>
      </c>
      <c r="L146" s="90"/>
    </row>
    <row r="147" spans="1:12" ht="15" customHeight="1" outlineLevel="1" x14ac:dyDescent="0.3">
      <c r="A147" s="101" t="s">
        <v>630</v>
      </c>
      <c r="B147" s="90" t="s">
        <v>724</v>
      </c>
      <c r="C147" s="90" t="s">
        <v>724</v>
      </c>
      <c r="D147" s="90" t="s">
        <v>130</v>
      </c>
      <c r="E147" s="91">
        <v>46186</v>
      </c>
      <c r="F147" s="30">
        <v>21</v>
      </c>
      <c r="G147" s="91">
        <v>45965</v>
      </c>
      <c r="H147" s="91"/>
      <c r="I147" s="90">
        <v>1</v>
      </c>
      <c r="J147" s="92">
        <v>221</v>
      </c>
      <c r="K147" s="90" t="s">
        <v>237</v>
      </c>
      <c r="L147" s="90"/>
    </row>
    <row r="148" spans="1:12" ht="15" customHeight="1" x14ac:dyDescent="0.3">
      <c r="A148" s="101" t="s">
        <v>633</v>
      </c>
      <c r="B148" s="90" t="s">
        <v>725</v>
      </c>
      <c r="C148" s="90" t="s">
        <v>726</v>
      </c>
      <c r="D148" s="90" t="s">
        <v>137</v>
      </c>
      <c r="E148" s="91">
        <v>46012</v>
      </c>
      <c r="F148" s="30">
        <v>17</v>
      </c>
      <c r="G148" s="91">
        <v>46004</v>
      </c>
      <c r="H148" s="91"/>
      <c r="I148" s="90">
        <v>1</v>
      </c>
      <c r="J148" s="92">
        <v>8</v>
      </c>
      <c r="K148" s="90" t="s">
        <v>231</v>
      </c>
      <c r="L148" s="90"/>
    </row>
    <row r="149" spans="1:12" ht="15" customHeight="1" outlineLevel="1" x14ac:dyDescent="0.3">
      <c r="A149" s="101" t="s">
        <v>633</v>
      </c>
      <c r="B149" s="90" t="s">
        <v>725</v>
      </c>
      <c r="C149" s="90" t="s">
        <v>726</v>
      </c>
      <c r="D149" s="90" t="s">
        <v>137</v>
      </c>
      <c r="E149" s="91">
        <v>46020</v>
      </c>
      <c r="F149" s="30">
        <v>23</v>
      </c>
      <c r="G149" s="91">
        <v>46004</v>
      </c>
      <c r="H149" s="91"/>
      <c r="I149" s="90">
        <v>1</v>
      </c>
      <c r="J149" s="92">
        <v>16</v>
      </c>
      <c r="K149" s="90" t="s">
        <v>231</v>
      </c>
      <c r="L149" s="90"/>
    </row>
    <row r="150" spans="1:12" ht="15" customHeight="1" outlineLevel="1" x14ac:dyDescent="0.3">
      <c r="A150" s="101" t="s">
        <v>633</v>
      </c>
      <c r="B150" s="90" t="s">
        <v>725</v>
      </c>
      <c r="C150" s="90" t="s">
        <v>726</v>
      </c>
      <c r="D150" s="90" t="s">
        <v>137</v>
      </c>
      <c r="E150" s="91">
        <v>46026</v>
      </c>
      <c r="F150" s="30">
        <v>21</v>
      </c>
      <c r="G150" s="91">
        <v>46004</v>
      </c>
      <c r="H150" s="91"/>
      <c r="I150" s="90">
        <v>1</v>
      </c>
      <c r="J150" s="92">
        <v>22</v>
      </c>
      <c r="K150" s="90" t="s">
        <v>232</v>
      </c>
      <c r="L150" s="90"/>
    </row>
    <row r="151" spans="1:12" ht="15" customHeight="1" outlineLevel="1" x14ac:dyDescent="0.3">
      <c r="A151" s="101" t="s">
        <v>633</v>
      </c>
      <c r="B151" s="90" t="s">
        <v>725</v>
      </c>
      <c r="C151" s="90" t="s">
        <v>726</v>
      </c>
      <c r="D151" s="90" t="s">
        <v>137</v>
      </c>
      <c r="E151" s="91">
        <v>46032</v>
      </c>
      <c r="F151" s="30">
        <v>22</v>
      </c>
      <c r="G151" s="91">
        <v>46004</v>
      </c>
      <c r="H151" s="91"/>
      <c r="I151" s="90">
        <v>1</v>
      </c>
      <c r="J151" s="92">
        <v>28</v>
      </c>
      <c r="K151" s="90" t="s">
        <v>232</v>
      </c>
      <c r="L151" s="90"/>
    </row>
    <row r="152" spans="1:12" ht="15" customHeight="1" outlineLevel="1" x14ac:dyDescent="0.3">
      <c r="A152" s="101" t="s">
        <v>633</v>
      </c>
      <c r="B152" s="90" t="s">
        <v>725</v>
      </c>
      <c r="C152" s="90" t="s">
        <v>726</v>
      </c>
      <c r="D152" s="90" t="s">
        <v>137</v>
      </c>
      <c r="E152" s="91">
        <v>46038</v>
      </c>
      <c r="F152" s="30">
        <v>25</v>
      </c>
      <c r="G152" s="91">
        <v>46004</v>
      </c>
      <c r="H152" s="91"/>
      <c r="I152" s="90">
        <v>1</v>
      </c>
      <c r="J152" s="92">
        <v>34</v>
      </c>
      <c r="K152" s="90" t="s">
        <v>232</v>
      </c>
      <c r="L152" s="90"/>
    </row>
    <row r="153" spans="1:12" ht="15" customHeight="1" outlineLevel="1" x14ac:dyDescent="0.3">
      <c r="A153" s="101" t="s">
        <v>633</v>
      </c>
      <c r="B153" s="90" t="s">
        <v>725</v>
      </c>
      <c r="C153" s="90" t="s">
        <v>726</v>
      </c>
      <c r="D153" s="90" t="s">
        <v>137</v>
      </c>
      <c r="E153" s="91">
        <v>46045</v>
      </c>
      <c r="F153" s="30">
        <v>22</v>
      </c>
      <c r="G153" s="91">
        <v>46004</v>
      </c>
      <c r="H153" s="91"/>
      <c r="I153" s="90">
        <v>1</v>
      </c>
      <c r="J153" s="92">
        <v>41</v>
      </c>
      <c r="K153" s="90" t="s">
        <v>232</v>
      </c>
      <c r="L153" s="90"/>
    </row>
    <row r="154" spans="1:12" ht="15" customHeight="1" outlineLevel="1" x14ac:dyDescent="0.3">
      <c r="A154" s="101" t="s">
        <v>633</v>
      </c>
      <c r="B154" s="90" t="s">
        <v>725</v>
      </c>
      <c r="C154" s="90" t="s">
        <v>726</v>
      </c>
      <c r="D154" s="90" t="s">
        <v>137</v>
      </c>
      <c r="E154" s="91">
        <v>46052</v>
      </c>
      <c r="F154" s="30">
        <v>24</v>
      </c>
      <c r="G154" s="91">
        <v>46004</v>
      </c>
      <c r="H154" s="91"/>
      <c r="I154" s="90">
        <v>1</v>
      </c>
      <c r="J154" s="92">
        <v>48</v>
      </c>
      <c r="K154" s="90" t="s">
        <v>232</v>
      </c>
      <c r="L154" s="90"/>
    </row>
    <row r="155" spans="1:12" ht="15" customHeight="1" outlineLevel="1" x14ac:dyDescent="0.3">
      <c r="A155" s="101" t="s">
        <v>633</v>
      </c>
      <c r="B155" s="90" t="s">
        <v>725</v>
      </c>
      <c r="C155" s="90" t="s">
        <v>726</v>
      </c>
      <c r="D155" s="90" t="s">
        <v>137</v>
      </c>
      <c r="E155" s="91">
        <v>46071</v>
      </c>
      <c r="F155" s="30">
        <v>22</v>
      </c>
      <c r="G155" s="91">
        <v>46004</v>
      </c>
      <c r="H155" s="91"/>
      <c r="I155" s="90">
        <v>1</v>
      </c>
      <c r="J155" s="92">
        <v>67</v>
      </c>
      <c r="K155" s="90" t="s">
        <v>233</v>
      </c>
      <c r="L155" s="90"/>
    </row>
    <row r="156" spans="1:12" ht="15" customHeight="1" outlineLevel="1" x14ac:dyDescent="0.3">
      <c r="A156" s="101" t="s">
        <v>633</v>
      </c>
      <c r="B156" s="90" t="s">
        <v>725</v>
      </c>
      <c r="C156" s="90" t="s">
        <v>726</v>
      </c>
      <c r="D156" s="90" t="s">
        <v>137</v>
      </c>
      <c r="E156" s="91">
        <v>46102</v>
      </c>
      <c r="F156" s="30">
        <v>22</v>
      </c>
      <c r="G156" s="91">
        <v>46004</v>
      </c>
      <c r="H156" s="91"/>
      <c r="I156" s="90">
        <v>1</v>
      </c>
      <c r="J156" s="92">
        <v>98</v>
      </c>
      <c r="K156" s="90" t="s">
        <v>234</v>
      </c>
      <c r="L156" s="90"/>
    </row>
    <row r="157" spans="1:12" ht="15" customHeight="1" outlineLevel="1" x14ac:dyDescent="0.3">
      <c r="A157" s="101" t="s">
        <v>633</v>
      </c>
      <c r="B157" s="90" t="s">
        <v>725</v>
      </c>
      <c r="C157" s="90" t="s">
        <v>726</v>
      </c>
      <c r="D157" s="90" t="s">
        <v>137</v>
      </c>
      <c r="E157" s="91">
        <v>46116</v>
      </c>
      <c r="F157" s="30">
        <v>26</v>
      </c>
      <c r="G157" s="91">
        <v>46004</v>
      </c>
      <c r="H157" s="91"/>
      <c r="I157" s="90">
        <v>1</v>
      </c>
      <c r="J157" s="92">
        <v>112</v>
      </c>
      <c r="K157" s="90" t="s">
        <v>235</v>
      </c>
      <c r="L157" s="90"/>
    </row>
    <row r="158" spans="1:12" ht="15" customHeight="1" outlineLevel="1" x14ac:dyDescent="0.3">
      <c r="A158" s="101" t="s">
        <v>633</v>
      </c>
      <c r="B158" s="90" t="s">
        <v>725</v>
      </c>
      <c r="C158" s="90" t="s">
        <v>726</v>
      </c>
      <c r="D158" s="90" t="s">
        <v>137</v>
      </c>
      <c r="E158" s="91">
        <v>46129</v>
      </c>
      <c r="F158" s="30">
        <v>24</v>
      </c>
      <c r="G158" s="91">
        <v>46004</v>
      </c>
      <c r="H158" s="91"/>
      <c r="I158" s="90">
        <v>1</v>
      </c>
      <c r="J158" s="92">
        <v>125</v>
      </c>
      <c r="K158" s="90" t="s">
        <v>235</v>
      </c>
      <c r="L158" s="90"/>
    </row>
    <row r="159" spans="1:12" ht="15" customHeight="1" outlineLevel="1" x14ac:dyDescent="0.3">
      <c r="A159" s="101" t="s">
        <v>633</v>
      </c>
      <c r="B159" s="90" t="s">
        <v>725</v>
      </c>
      <c r="C159" s="90" t="s">
        <v>726</v>
      </c>
      <c r="D159" s="90" t="s">
        <v>137</v>
      </c>
      <c r="E159" s="91">
        <v>46143</v>
      </c>
      <c r="F159" s="30">
        <v>24</v>
      </c>
      <c r="G159" s="91">
        <v>46004</v>
      </c>
      <c r="H159" s="91"/>
      <c r="I159" s="90">
        <v>1</v>
      </c>
      <c r="J159" s="92">
        <v>139</v>
      </c>
      <c r="K159" s="90" t="s">
        <v>236</v>
      </c>
      <c r="L159" s="90"/>
    </row>
    <row r="160" spans="1:12" ht="15" customHeight="1" outlineLevel="1" x14ac:dyDescent="0.3">
      <c r="A160" s="101" t="s">
        <v>633</v>
      </c>
      <c r="B160" s="90" t="s">
        <v>725</v>
      </c>
      <c r="C160" s="90" t="s">
        <v>726</v>
      </c>
      <c r="D160" s="90" t="s">
        <v>137</v>
      </c>
      <c r="E160" s="91">
        <v>46151</v>
      </c>
      <c r="F160" s="30">
        <v>24</v>
      </c>
      <c r="G160" s="91">
        <v>46004</v>
      </c>
      <c r="H160" s="91"/>
      <c r="I160" s="90">
        <v>1</v>
      </c>
      <c r="J160" s="92">
        <v>147</v>
      </c>
      <c r="K160" s="90" t="s">
        <v>236</v>
      </c>
      <c r="L160" s="90"/>
    </row>
    <row r="161" spans="1:12" ht="15" customHeight="1" outlineLevel="1" x14ac:dyDescent="0.3">
      <c r="A161" s="101" t="s">
        <v>633</v>
      </c>
      <c r="B161" s="90" t="s">
        <v>725</v>
      </c>
      <c r="C161" s="90" t="s">
        <v>726</v>
      </c>
      <c r="D161" s="90" t="s">
        <v>137</v>
      </c>
      <c r="E161" s="91">
        <v>46160</v>
      </c>
      <c r="F161" s="30">
        <v>22</v>
      </c>
      <c r="G161" s="91">
        <v>46004</v>
      </c>
      <c r="H161" s="91"/>
      <c r="I161" s="90">
        <v>1</v>
      </c>
      <c r="J161" s="92">
        <v>156</v>
      </c>
      <c r="K161" s="90" t="s">
        <v>236</v>
      </c>
      <c r="L161" s="90"/>
    </row>
    <row r="162" spans="1:12" ht="15" customHeight="1" outlineLevel="1" x14ac:dyDescent="0.3">
      <c r="A162" s="101" t="s">
        <v>633</v>
      </c>
      <c r="B162" s="90" t="s">
        <v>725</v>
      </c>
      <c r="C162" s="90" t="s">
        <v>726</v>
      </c>
      <c r="D162" s="90" t="s">
        <v>137</v>
      </c>
      <c r="E162" s="91">
        <v>46186</v>
      </c>
      <c r="F162" s="30">
        <v>28</v>
      </c>
      <c r="G162" s="91">
        <v>46004</v>
      </c>
      <c r="H162" s="91"/>
      <c r="I162" s="90">
        <v>1</v>
      </c>
      <c r="J162" s="92">
        <v>182</v>
      </c>
      <c r="K162" s="90" t="s">
        <v>237</v>
      </c>
      <c r="L162" s="90"/>
    </row>
    <row r="163" spans="1:12" ht="15" customHeight="1" x14ac:dyDescent="0.3">
      <c r="A163" s="101" t="s">
        <v>634</v>
      </c>
      <c r="B163" s="90" t="s">
        <v>727</v>
      </c>
      <c r="C163" s="90" t="s">
        <v>728</v>
      </c>
      <c r="D163" s="90" t="s">
        <v>137</v>
      </c>
      <c r="E163" s="91">
        <v>46026</v>
      </c>
      <c r="F163" s="30">
        <v>13</v>
      </c>
      <c r="G163" s="91">
        <v>46022</v>
      </c>
      <c r="H163" s="91"/>
      <c r="I163" s="90">
        <v>1</v>
      </c>
      <c r="J163" s="92">
        <v>4</v>
      </c>
      <c r="K163" s="90" t="s">
        <v>232</v>
      </c>
      <c r="L163" s="90"/>
    </row>
    <row r="164" spans="1:12" ht="15" customHeight="1" outlineLevel="1" x14ac:dyDescent="0.3">
      <c r="A164" s="101" t="s">
        <v>634</v>
      </c>
      <c r="B164" s="90" t="s">
        <v>727</v>
      </c>
      <c r="C164" s="90" t="s">
        <v>728</v>
      </c>
      <c r="D164" s="90" t="s">
        <v>137</v>
      </c>
      <c r="E164" s="91">
        <v>46032</v>
      </c>
      <c r="F164" s="30">
        <v>12</v>
      </c>
      <c r="G164" s="91">
        <v>46022</v>
      </c>
      <c r="H164" s="91"/>
      <c r="I164" s="90">
        <v>1</v>
      </c>
      <c r="J164" s="92">
        <v>10</v>
      </c>
      <c r="K164" s="90" t="s">
        <v>232</v>
      </c>
      <c r="L164" s="90"/>
    </row>
    <row r="165" spans="1:12" ht="15" customHeight="1" outlineLevel="1" x14ac:dyDescent="0.3">
      <c r="A165" s="101" t="s">
        <v>634</v>
      </c>
      <c r="B165" s="90" t="s">
        <v>727</v>
      </c>
      <c r="C165" s="90" t="s">
        <v>728</v>
      </c>
      <c r="D165" s="90" t="s">
        <v>137</v>
      </c>
      <c r="E165" s="91">
        <v>46038</v>
      </c>
      <c r="F165" s="30">
        <v>20</v>
      </c>
      <c r="G165" s="91">
        <v>46022</v>
      </c>
      <c r="H165" s="91"/>
      <c r="I165" s="90">
        <v>1</v>
      </c>
      <c r="J165" s="92">
        <v>16</v>
      </c>
      <c r="K165" s="90" t="s">
        <v>232</v>
      </c>
      <c r="L165" s="90"/>
    </row>
    <row r="166" spans="1:12" ht="15" customHeight="1" outlineLevel="1" x14ac:dyDescent="0.3">
      <c r="A166" s="101" t="s">
        <v>634</v>
      </c>
      <c r="B166" s="90" t="s">
        <v>727</v>
      </c>
      <c r="C166" s="90" t="s">
        <v>728</v>
      </c>
      <c r="D166" s="90" t="s">
        <v>137</v>
      </c>
      <c r="E166" s="91">
        <v>46045</v>
      </c>
      <c r="F166" s="30">
        <v>21</v>
      </c>
      <c r="G166" s="91">
        <v>46022</v>
      </c>
      <c r="H166" s="91"/>
      <c r="I166" s="90">
        <v>1</v>
      </c>
      <c r="J166" s="92">
        <v>23</v>
      </c>
      <c r="K166" s="90" t="s">
        <v>232</v>
      </c>
      <c r="L166" s="90"/>
    </row>
    <row r="167" spans="1:12" ht="15" customHeight="1" outlineLevel="1" x14ac:dyDescent="0.3">
      <c r="A167" s="101" t="s">
        <v>634</v>
      </c>
      <c r="B167" s="90" t="s">
        <v>727</v>
      </c>
      <c r="C167" s="90" t="s">
        <v>728</v>
      </c>
      <c r="D167" s="90" t="s">
        <v>137</v>
      </c>
      <c r="E167" s="91">
        <v>46052</v>
      </c>
      <c r="F167" s="30">
        <v>26</v>
      </c>
      <c r="G167" s="91">
        <v>46022</v>
      </c>
      <c r="H167" s="91"/>
      <c r="I167" s="90">
        <v>1</v>
      </c>
      <c r="J167" s="92">
        <v>30</v>
      </c>
      <c r="K167" s="90" t="s">
        <v>232</v>
      </c>
      <c r="L167" s="90"/>
    </row>
    <row r="168" spans="1:12" ht="15" customHeight="1" outlineLevel="1" x14ac:dyDescent="0.3">
      <c r="A168" s="101" t="s">
        <v>634</v>
      </c>
      <c r="B168" s="90" t="s">
        <v>727</v>
      </c>
      <c r="C168" s="90" t="s">
        <v>728</v>
      </c>
      <c r="D168" s="90" t="s">
        <v>137</v>
      </c>
      <c r="E168" s="91">
        <v>46071</v>
      </c>
      <c r="F168" s="30">
        <v>25</v>
      </c>
      <c r="G168" s="91">
        <v>46022</v>
      </c>
      <c r="H168" s="91"/>
      <c r="I168" s="90">
        <v>1</v>
      </c>
      <c r="J168" s="92">
        <v>49</v>
      </c>
      <c r="K168" s="90" t="s">
        <v>233</v>
      </c>
      <c r="L168" s="90"/>
    </row>
    <row r="169" spans="1:12" ht="15" customHeight="1" outlineLevel="1" x14ac:dyDescent="0.3">
      <c r="A169" s="101" t="s">
        <v>634</v>
      </c>
      <c r="B169" s="90" t="s">
        <v>727</v>
      </c>
      <c r="C169" s="90" t="s">
        <v>728</v>
      </c>
      <c r="D169" s="90" t="s">
        <v>137</v>
      </c>
      <c r="E169" s="91">
        <v>46102</v>
      </c>
      <c r="F169" s="30">
        <v>25</v>
      </c>
      <c r="G169" s="91">
        <v>46022</v>
      </c>
      <c r="H169" s="91"/>
      <c r="I169" s="90">
        <v>1</v>
      </c>
      <c r="J169" s="92">
        <v>80</v>
      </c>
      <c r="K169" s="90" t="s">
        <v>234</v>
      </c>
      <c r="L169" s="90"/>
    </row>
    <row r="170" spans="1:12" ht="15" customHeight="1" outlineLevel="1" x14ac:dyDescent="0.3">
      <c r="A170" s="101" t="s">
        <v>634</v>
      </c>
      <c r="B170" s="90" t="s">
        <v>727</v>
      </c>
      <c r="C170" s="90" t="s">
        <v>728</v>
      </c>
      <c r="D170" s="90" t="s">
        <v>137</v>
      </c>
      <c r="E170" s="91">
        <v>46116</v>
      </c>
      <c r="F170" s="30">
        <v>27</v>
      </c>
      <c r="G170" s="91">
        <v>46022</v>
      </c>
      <c r="H170" s="91"/>
      <c r="I170" s="90">
        <v>1</v>
      </c>
      <c r="J170" s="92">
        <v>94</v>
      </c>
      <c r="K170" s="90" t="s">
        <v>235</v>
      </c>
      <c r="L170" s="90"/>
    </row>
    <row r="171" spans="1:12" ht="15" customHeight="1" outlineLevel="1" x14ac:dyDescent="0.3">
      <c r="A171" s="101" t="s">
        <v>634</v>
      </c>
      <c r="B171" s="90" t="s">
        <v>727</v>
      </c>
      <c r="C171" s="90" t="s">
        <v>728</v>
      </c>
      <c r="D171" s="90" t="s">
        <v>137</v>
      </c>
      <c r="E171" s="91">
        <v>46129</v>
      </c>
      <c r="F171" s="30">
        <v>26</v>
      </c>
      <c r="G171" s="91">
        <v>46022</v>
      </c>
      <c r="H171" s="91"/>
      <c r="I171" s="90">
        <v>1</v>
      </c>
      <c r="J171" s="92">
        <v>107</v>
      </c>
      <c r="K171" s="90" t="s">
        <v>235</v>
      </c>
      <c r="L171" s="90"/>
    </row>
    <row r="172" spans="1:12" ht="15" customHeight="1" outlineLevel="1" x14ac:dyDescent="0.3">
      <c r="A172" s="101" t="s">
        <v>634</v>
      </c>
      <c r="B172" s="90" t="s">
        <v>727</v>
      </c>
      <c r="C172" s="90" t="s">
        <v>728</v>
      </c>
      <c r="D172" s="90" t="s">
        <v>137</v>
      </c>
      <c r="E172" s="91">
        <v>46143</v>
      </c>
      <c r="F172" s="30">
        <v>24</v>
      </c>
      <c r="G172" s="91">
        <v>46022</v>
      </c>
      <c r="H172" s="91"/>
      <c r="I172" s="90">
        <v>1</v>
      </c>
      <c r="J172" s="92">
        <v>121</v>
      </c>
      <c r="K172" s="90" t="s">
        <v>236</v>
      </c>
      <c r="L172" s="90"/>
    </row>
    <row r="173" spans="1:12" ht="15" customHeight="1" outlineLevel="1" x14ac:dyDescent="0.3">
      <c r="A173" s="101" t="s">
        <v>634</v>
      </c>
      <c r="B173" s="90" t="s">
        <v>727</v>
      </c>
      <c r="C173" s="90" t="s">
        <v>728</v>
      </c>
      <c r="D173" s="90" t="s">
        <v>137</v>
      </c>
      <c r="E173" s="91">
        <v>46151</v>
      </c>
      <c r="F173" s="30">
        <v>23</v>
      </c>
      <c r="G173" s="91">
        <v>46022</v>
      </c>
      <c r="H173" s="91"/>
      <c r="I173" s="90">
        <v>1</v>
      </c>
      <c r="J173" s="92">
        <v>129</v>
      </c>
      <c r="K173" s="90" t="s">
        <v>236</v>
      </c>
      <c r="L173" s="90"/>
    </row>
    <row r="174" spans="1:12" ht="15" customHeight="1" outlineLevel="1" x14ac:dyDescent="0.3">
      <c r="A174" s="101" t="s">
        <v>634</v>
      </c>
      <c r="B174" s="90" t="s">
        <v>727</v>
      </c>
      <c r="C174" s="90" t="s">
        <v>728</v>
      </c>
      <c r="D174" s="90" t="s">
        <v>137</v>
      </c>
      <c r="E174" s="91">
        <v>46160</v>
      </c>
      <c r="F174" s="30">
        <v>25</v>
      </c>
      <c r="G174" s="91">
        <v>46022</v>
      </c>
      <c r="H174" s="91"/>
      <c r="I174" s="90">
        <v>1</v>
      </c>
      <c r="J174" s="92">
        <v>138</v>
      </c>
      <c r="K174" s="90" t="s">
        <v>236</v>
      </c>
      <c r="L174" s="90"/>
    </row>
    <row r="175" spans="1:12" ht="15" customHeight="1" outlineLevel="1" x14ac:dyDescent="0.3">
      <c r="A175" s="101" t="s">
        <v>634</v>
      </c>
      <c r="B175" s="90" t="s">
        <v>727</v>
      </c>
      <c r="C175" s="90" t="s">
        <v>728</v>
      </c>
      <c r="D175" s="90" t="s">
        <v>137</v>
      </c>
      <c r="E175" s="91">
        <v>46186</v>
      </c>
      <c r="F175" s="30">
        <v>33</v>
      </c>
      <c r="G175" s="91">
        <v>46022</v>
      </c>
      <c r="H175" s="91"/>
      <c r="I175" s="90">
        <v>1</v>
      </c>
      <c r="J175" s="92">
        <v>164</v>
      </c>
      <c r="K175" s="90" t="s">
        <v>237</v>
      </c>
      <c r="L175" s="90"/>
    </row>
    <row r="176" spans="1:12" ht="15" customHeight="1" x14ac:dyDescent="0.3">
      <c r="A176" s="101" t="s">
        <v>645</v>
      </c>
      <c r="B176" s="90">
        <v>2349</v>
      </c>
      <c r="C176" s="90"/>
      <c r="D176" s="90" t="s">
        <v>130</v>
      </c>
      <c r="E176" s="91">
        <v>46151</v>
      </c>
      <c r="F176" s="30">
        <v>10</v>
      </c>
      <c r="G176" s="91">
        <v>46144</v>
      </c>
      <c r="H176" s="91"/>
      <c r="I176" s="90">
        <v>1</v>
      </c>
      <c r="J176" s="92">
        <v>7</v>
      </c>
      <c r="K176" s="90" t="s">
        <v>236</v>
      </c>
      <c r="L176" s="90"/>
    </row>
    <row r="177" spans="1:12" ht="15" customHeight="1" outlineLevel="1" x14ac:dyDescent="0.3">
      <c r="A177" s="101" t="s">
        <v>645</v>
      </c>
      <c r="B177" s="90">
        <v>2349</v>
      </c>
      <c r="C177" s="90"/>
      <c r="D177" s="90" t="s">
        <v>130</v>
      </c>
      <c r="E177" s="91">
        <v>46160</v>
      </c>
      <c r="F177" s="30">
        <v>14</v>
      </c>
      <c r="G177" s="91">
        <v>46144</v>
      </c>
      <c r="H177" s="91"/>
      <c r="I177" s="90">
        <v>1</v>
      </c>
      <c r="J177" s="92">
        <v>16</v>
      </c>
      <c r="K177" s="90" t="s">
        <v>236</v>
      </c>
      <c r="L177" s="90"/>
    </row>
    <row r="178" spans="1:12" ht="15" customHeight="1" outlineLevel="1" x14ac:dyDescent="0.3">
      <c r="A178" s="101" t="s">
        <v>645</v>
      </c>
      <c r="B178" s="90">
        <v>2349</v>
      </c>
      <c r="C178" s="90"/>
      <c r="D178" s="90" t="s">
        <v>130</v>
      </c>
      <c r="E178" s="91">
        <v>46186</v>
      </c>
      <c r="F178" s="30">
        <v>15</v>
      </c>
      <c r="G178" s="91">
        <v>46144</v>
      </c>
      <c r="H178" s="91"/>
      <c r="I178" s="90">
        <v>1</v>
      </c>
      <c r="J178" s="92">
        <v>42</v>
      </c>
      <c r="K178" s="90" t="s">
        <v>237</v>
      </c>
      <c r="L178" s="90"/>
    </row>
    <row r="179" spans="1:12" ht="15" customHeight="1" x14ac:dyDescent="0.3">
      <c r="A179" s="101" t="s">
        <v>646</v>
      </c>
      <c r="B179" s="90" t="s">
        <v>646</v>
      </c>
      <c r="C179" s="90" t="s">
        <v>646</v>
      </c>
      <c r="D179" s="90" t="s">
        <v>137</v>
      </c>
      <c r="E179" s="91">
        <v>45646</v>
      </c>
      <c r="F179" s="30">
        <v>38</v>
      </c>
      <c r="G179" s="91">
        <v>45985</v>
      </c>
      <c r="H179" s="91">
        <v>46077</v>
      </c>
      <c r="I179" s="90">
        <v>0</v>
      </c>
      <c r="J179" s="92">
        <v>-339</v>
      </c>
      <c r="K179" s="90" t="s">
        <v>220</v>
      </c>
      <c r="L179" s="90"/>
    </row>
    <row r="180" spans="1:12" ht="15" customHeight="1" outlineLevel="1" x14ac:dyDescent="0.3">
      <c r="A180" s="101" t="s">
        <v>646</v>
      </c>
      <c r="B180" s="90" t="s">
        <v>646</v>
      </c>
      <c r="C180" s="90" t="s">
        <v>646</v>
      </c>
      <c r="D180" s="90" t="s">
        <v>137</v>
      </c>
      <c r="E180" s="91">
        <v>45652</v>
      </c>
      <c r="F180" s="30">
        <v>36.299999999999997</v>
      </c>
      <c r="G180" s="91">
        <v>45985</v>
      </c>
      <c r="H180" s="91">
        <v>46077</v>
      </c>
      <c r="I180" s="90">
        <v>0</v>
      </c>
      <c r="J180" s="92">
        <v>-333</v>
      </c>
      <c r="K180" s="90" t="s">
        <v>220</v>
      </c>
      <c r="L180" s="90"/>
    </row>
    <row r="181" spans="1:12" ht="15" customHeight="1" outlineLevel="1" x14ac:dyDescent="0.3">
      <c r="A181" s="101" t="s">
        <v>646</v>
      </c>
      <c r="B181" s="90" t="s">
        <v>646</v>
      </c>
      <c r="C181" s="90" t="s">
        <v>646</v>
      </c>
      <c r="D181" s="90" t="s">
        <v>137</v>
      </c>
      <c r="E181" s="91">
        <v>45675</v>
      </c>
      <c r="F181" s="30">
        <v>30.3</v>
      </c>
      <c r="G181" s="91">
        <v>45985</v>
      </c>
      <c r="H181" s="91">
        <v>46077</v>
      </c>
      <c r="I181" s="90">
        <v>0</v>
      </c>
      <c r="J181" s="92">
        <v>-310</v>
      </c>
      <c r="K181" s="90" t="s">
        <v>221</v>
      </c>
      <c r="L181" s="90"/>
    </row>
    <row r="182" spans="1:12" ht="15" customHeight="1" outlineLevel="1" x14ac:dyDescent="0.3">
      <c r="A182" s="101" t="s">
        <v>646</v>
      </c>
      <c r="B182" s="90" t="s">
        <v>646</v>
      </c>
      <c r="C182" s="90" t="s">
        <v>646</v>
      </c>
      <c r="D182" s="90" t="s">
        <v>137</v>
      </c>
      <c r="E182" s="91">
        <v>45692</v>
      </c>
      <c r="F182" s="30">
        <v>32.200000000000003</v>
      </c>
      <c r="G182" s="91">
        <v>45985</v>
      </c>
      <c r="H182" s="91">
        <v>46077</v>
      </c>
      <c r="I182" s="90">
        <v>0</v>
      </c>
      <c r="J182" s="92">
        <v>-293</v>
      </c>
      <c r="K182" s="90" t="s">
        <v>222</v>
      </c>
      <c r="L182" s="90"/>
    </row>
    <row r="183" spans="1:12" ht="15" customHeight="1" outlineLevel="1" x14ac:dyDescent="0.3">
      <c r="A183" s="101" t="s">
        <v>646</v>
      </c>
      <c r="B183" s="90" t="s">
        <v>646</v>
      </c>
      <c r="C183" s="90" t="s">
        <v>646</v>
      </c>
      <c r="D183" s="90" t="s">
        <v>137</v>
      </c>
      <c r="E183" s="91">
        <v>45724</v>
      </c>
      <c r="F183" s="30">
        <v>28.3</v>
      </c>
      <c r="G183" s="91">
        <v>45985</v>
      </c>
      <c r="H183" s="91">
        <v>46077</v>
      </c>
      <c r="I183" s="90">
        <v>0</v>
      </c>
      <c r="J183" s="92">
        <v>-261</v>
      </c>
      <c r="K183" s="90" t="s">
        <v>223</v>
      </c>
      <c r="L183" s="90"/>
    </row>
    <row r="184" spans="1:12" ht="15" customHeight="1" outlineLevel="1" x14ac:dyDescent="0.3">
      <c r="A184" s="101" t="s">
        <v>646</v>
      </c>
      <c r="B184" s="90" t="s">
        <v>646</v>
      </c>
      <c r="C184" s="90" t="s">
        <v>646</v>
      </c>
      <c r="D184" s="90" t="s">
        <v>137</v>
      </c>
      <c r="E184" s="91">
        <v>45731</v>
      </c>
      <c r="F184" s="30">
        <v>32</v>
      </c>
      <c r="G184" s="91">
        <v>45985</v>
      </c>
      <c r="H184" s="91">
        <v>46077</v>
      </c>
      <c r="I184" s="90">
        <v>0</v>
      </c>
      <c r="J184" s="92">
        <v>-254</v>
      </c>
      <c r="K184" s="90" t="s">
        <v>223</v>
      </c>
      <c r="L184" s="90"/>
    </row>
    <row r="185" spans="1:12" ht="15" customHeight="1" outlineLevel="1" x14ac:dyDescent="0.3">
      <c r="A185" s="101" t="s">
        <v>646</v>
      </c>
      <c r="B185" s="90" t="s">
        <v>646</v>
      </c>
      <c r="C185" s="90" t="s">
        <v>646</v>
      </c>
      <c r="D185" s="90" t="s">
        <v>137</v>
      </c>
      <c r="E185" s="91">
        <v>45766</v>
      </c>
      <c r="F185" s="30">
        <v>28</v>
      </c>
      <c r="G185" s="91">
        <v>45985</v>
      </c>
      <c r="H185" s="91">
        <v>46077</v>
      </c>
      <c r="I185" s="90">
        <v>0</v>
      </c>
      <c r="J185" s="92">
        <v>-219</v>
      </c>
      <c r="K185" s="90" t="s">
        <v>224</v>
      </c>
      <c r="L185" s="90"/>
    </row>
    <row r="186" spans="1:12" ht="15" customHeight="1" outlineLevel="1" x14ac:dyDescent="0.3">
      <c r="A186" s="101" t="s">
        <v>646</v>
      </c>
      <c r="B186" s="90" t="s">
        <v>646</v>
      </c>
      <c r="C186" s="90" t="s">
        <v>646</v>
      </c>
      <c r="D186" s="90" t="s">
        <v>137</v>
      </c>
      <c r="E186" s="91">
        <v>45858</v>
      </c>
      <c r="F186" s="30">
        <v>26.2</v>
      </c>
      <c r="G186" s="91">
        <v>45985</v>
      </c>
      <c r="H186" s="91">
        <v>46077</v>
      </c>
      <c r="I186" s="90">
        <v>0</v>
      </c>
      <c r="J186" s="92">
        <v>-127</v>
      </c>
      <c r="K186" s="90" t="s">
        <v>226</v>
      </c>
      <c r="L186" s="90"/>
    </row>
    <row r="187" spans="1:12" ht="15" customHeight="1" outlineLevel="1" x14ac:dyDescent="0.3">
      <c r="A187" s="101" t="s">
        <v>646</v>
      </c>
      <c r="B187" s="90" t="s">
        <v>646</v>
      </c>
      <c r="C187" s="90" t="s">
        <v>646</v>
      </c>
      <c r="D187" s="90" t="s">
        <v>137</v>
      </c>
      <c r="E187" s="91">
        <v>45882</v>
      </c>
      <c r="F187" s="30">
        <v>23</v>
      </c>
      <c r="G187" s="91">
        <v>45985</v>
      </c>
      <c r="H187" s="91">
        <v>46077</v>
      </c>
      <c r="I187" s="90">
        <v>0</v>
      </c>
      <c r="J187" s="92">
        <v>-103</v>
      </c>
      <c r="K187" s="90" t="s">
        <v>227</v>
      </c>
      <c r="L187" s="90"/>
    </row>
    <row r="188" spans="1:12" ht="15" customHeight="1" outlineLevel="1" x14ac:dyDescent="0.3">
      <c r="A188" s="101" t="s">
        <v>646</v>
      </c>
      <c r="B188" s="90" t="s">
        <v>646</v>
      </c>
      <c r="C188" s="90" t="s">
        <v>646</v>
      </c>
      <c r="D188" s="90" t="s">
        <v>137</v>
      </c>
      <c r="E188" s="91">
        <v>45893</v>
      </c>
      <c r="F188" s="30">
        <v>20</v>
      </c>
      <c r="G188" s="91">
        <v>45985</v>
      </c>
      <c r="H188" s="91">
        <v>46077</v>
      </c>
      <c r="I188" s="90">
        <v>0</v>
      </c>
      <c r="J188" s="92">
        <v>-92</v>
      </c>
      <c r="K188" s="90" t="s">
        <v>227</v>
      </c>
      <c r="L188" s="90"/>
    </row>
    <row r="189" spans="1:12" ht="15" customHeight="1" outlineLevel="1" x14ac:dyDescent="0.3">
      <c r="A189" s="101" t="s">
        <v>646</v>
      </c>
      <c r="B189" s="90" t="s">
        <v>646</v>
      </c>
      <c r="C189" s="90" t="s">
        <v>646</v>
      </c>
      <c r="D189" s="90" t="s">
        <v>137</v>
      </c>
      <c r="E189" s="91">
        <v>45922</v>
      </c>
      <c r="F189" s="30">
        <v>4</v>
      </c>
      <c r="G189" s="91">
        <v>45985</v>
      </c>
      <c r="H189" s="91">
        <v>46077</v>
      </c>
      <c r="I189" s="90">
        <v>0</v>
      </c>
      <c r="J189" s="92">
        <v>-63</v>
      </c>
      <c r="K189" s="90" t="s">
        <v>228</v>
      </c>
      <c r="L189" s="90"/>
    </row>
    <row r="190" spans="1:12" ht="15" customHeight="1" outlineLevel="1" x14ac:dyDescent="0.3">
      <c r="A190" s="101" t="s">
        <v>646</v>
      </c>
      <c r="B190" s="90" t="s">
        <v>646</v>
      </c>
      <c r="C190" s="90" t="s">
        <v>646</v>
      </c>
      <c r="D190" s="90" t="s">
        <v>137</v>
      </c>
      <c r="E190" s="91">
        <v>45990</v>
      </c>
      <c r="F190" s="30">
        <v>23</v>
      </c>
      <c r="G190" s="91">
        <v>45985</v>
      </c>
      <c r="H190" s="91">
        <v>46077</v>
      </c>
      <c r="I190" s="90">
        <v>0</v>
      </c>
      <c r="J190" s="92">
        <v>5</v>
      </c>
      <c r="K190" s="90" t="s">
        <v>230</v>
      </c>
      <c r="L190" s="90"/>
    </row>
    <row r="191" spans="1:12" ht="15" customHeight="1" outlineLevel="1" x14ac:dyDescent="0.3">
      <c r="A191" s="101" t="s">
        <v>646</v>
      </c>
      <c r="B191" s="90" t="s">
        <v>646</v>
      </c>
      <c r="C191" s="90" t="s">
        <v>646</v>
      </c>
      <c r="D191" s="90" t="s">
        <v>137</v>
      </c>
      <c r="E191" s="91">
        <v>46004</v>
      </c>
      <c r="F191" s="30">
        <v>27</v>
      </c>
      <c r="G191" s="91">
        <v>45985</v>
      </c>
      <c r="H191" s="91">
        <v>46077</v>
      </c>
      <c r="I191" s="90">
        <v>0</v>
      </c>
      <c r="J191" s="92">
        <v>19</v>
      </c>
      <c r="K191" s="90" t="s">
        <v>231</v>
      </c>
      <c r="L191" s="90"/>
    </row>
    <row r="192" spans="1:12" ht="15" customHeight="1" outlineLevel="1" x14ac:dyDescent="0.3">
      <c r="A192" s="101" t="s">
        <v>646</v>
      </c>
      <c r="B192" s="90" t="s">
        <v>646</v>
      </c>
      <c r="C192" s="90" t="s">
        <v>646</v>
      </c>
      <c r="D192" s="90" t="s">
        <v>137</v>
      </c>
      <c r="E192" s="91">
        <v>46012</v>
      </c>
      <c r="F192" s="30">
        <v>31.2</v>
      </c>
      <c r="G192" s="91">
        <v>45985</v>
      </c>
      <c r="H192" s="91">
        <v>46077</v>
      </c>
      <c r="I192" s="90">
        <v>0</v>
      </c>
      <c r="J192" s="92">
        <v>27</v>
      </c>
      <c r="K192" s="90" t="s">
        <v>231</v>
      </c>
      <c r="L192" s="90"/>
    </row>
    <row r="193" spans="1:12" ht="15" customHeight="1" outlineLevel="1" x14ac:dyDescent="0.3">
      <c r="A193" s="101" t="s">
        <v>646</v>
      </c>
      <c r="B193" s="90" t="s">
        <v>646</v>
      </c>
      <c r="C193" s="90" t="s">
        <v>646</v>
      </c>
      <c r="D193" s="90" t="s">
        <v>137</v>
      </c>
      <c r="E193" s="91">
        <v>46020</v>
      </c>
      <c r="F193" s="30">
        <v>21</v>
      </c>
      <c r="G193" s="91">
        <v>45985</v>
      </c>
      <c r="H193" s="91">
        <v>46077</v>
      </c>
      <c r="I193" s="90">
        <v>0</v>
      </c>
      <c r="J193" s="92">
        <v>35</v>
      </c>
      <c r="K193" s="90" t="s">
        <v>231</v>
      </c>
      <c r="L193" s="90"/>
    </row>
    <row r="194" spans="1:12" ht="15" customHeight="1" outlineLevel="1" x14ac:dyDescent="0.3">
      <c r="A194" s="101" t="s">
        <v>646</v>
      </c>
      <c r="B194" s="90" t="s">
        <v>646</v>
      </c>
      <c r="C194" s="90" t="s">
        <v>646</v>
      </c>
      <c r="D194" s="90" t="s">
        <v>137</v>
      </c>
      <c r="E194" s="91">
        <v>46026</v>
      </c>
      <c r="F194" s="30">
        <v>24</v>
      </c>
      <c r="G194" s="91">
        <v>45985</v>
      </c>
      <c r="H194" s="91">
        <v>46077</v>
      </c>
      <c r="I194" s="90">
        <v>0</v>
      </c>
      <c r="J194" s="92">
        <v>41</v>
      </c>
      <c r="K194" s="90" t="s">
        <v>232</v>
      </c>
      <c r="L194" s="90"/>
    </row>
    <row r="195" spans="1:12" ht="15" customHeight="1" outlineLevel="1" x14ac:dyDescent="0.3">
      <c r="A195" s="101" t="s">
        <v>646</v>
      </c>
      <c r="B195" s="90" t="s">
        <v>646</v>
      </c>
      <c r="C195" s="90" t="s">
        <v>646</v>
      </c>
      <c r="D195" s="90" t="s">
        <v>137</v>
      </c>
      <c r="E195" s="91">
        <v>46032</v>
      </c>
      <c r="F195" s="30">
        <v>23</v>
      </c>
      <c r="G195" s="91">
        <v>45985</v>
      </c>
      <c r="H195" s="91">
        <v>46077</v>
      </c>
      <c r="I195" s="90">
        <v>0</v>
      </c>
      <c r="J195" s="92">
        <v>47</v>
      </c>
      <c r="K195" s="90" t="s">
        <v>232</v>
      </c>
      <c r="L195" s="90"/>
    </row>
    <row r="196" spans="1:12" ht="15" customHeight="1" outlineLevel="1" x14ac:dyDescent="0.3">
      <c r="A196" s="101" t="s">
        <v>646</v>
      </c>
      <c r="B196" s="90" t="s">
        <v>646</v>
      </c>
      <c r="C196" s="90" t="s">
        <v>646</v>
      </c>
      <c r="D196" s="90" t="s">
        <v>137</v>
      </c>
      <c r="E196" s="91">
        <v>46038</v>
      </c>
      <c r="F196" s="30">
        <v>9</v>
      </c>
      <c r="G196" s="91">
        <v>45985</v>
      </c>
      <c r="H196" s="91">
        <v>46077</v>
      </c>
      <c r="I196" s="90">
        <v>0</v>
      </c>
      <c r="J196" s="92">
        <v>53</v>
      </c>
      <c r="K196" s="90" t="s">
        <v>232</v>
      </c>
      <c r="L196" s="90"/>
    </row>
    <row r="197" spans="1:12" ht="15" customHeight="1" outlineLevel="1" x14ac:dyDescent="0.3">
      <c r="A197" s="101" t="s">
        <v>646</v>
      </c>
      <c r="B197" s="90" t="s">
        <v>646</v>
      </c>
      <c r="C197" s="90" t="s">
        <v>646</v>
      </c>
      <c r="D197" s="90" t="s">
        <v>137</v>
      </c>
      <c r="E197" s="91">
        <v>46045</v>
      </c>
      <c r="F197" s="30">
        <v>13</v>
      </c>
      <c r="G197" s="91">
        <v>45985</v>
      </c>
      <c r="H197" s="91">
        <v>46077</v>
      </c>
      <c r="I197" s="90">
        <v>0</v>
      </c>
      <c r="J197" s="92">
        <v>60</v>
      </c>
      <c r="K197" s="90" t="s">
        <v>232</v>
      </c>
      <c r="L197" s="90"/>
    </row>
    <row r="198" spans="1:12" ht="15" customHeight="1" outlineLevel="1" x14ac:dyDescent="0.3">
      <c r="A198" s="101" t="s">
        <v>646</v>
      </c>
      <c r="B198" s="90" t="s">
        <v>646</v>
      </c>
      <c r="C198" s="90" t="s">
        <v>646</v>
      </c>
      <c r="D198" s="90" t="s">
        <v>137</v>
      </c>
      <c r="E198" s="91">
        <v>46052</v>
      </c>
      <c r="F198" s="30">
        <v>12</v>
      </c>
      <c r="G198" s="91">
        <v>45985</v>
      </c>
      <c r="H198" s="91">
        <v>46077</v>
      </c>
      <c r="I198" s="90">
        <v>0</v>
      </c>
      <c r="J198" s="92">
        <v>67</v>
      </c>
      <c r="K198" s="90" t="s">
        <v>232</v>
      </c>
      <c r="L198" s="90"/>
    </row>
    <row r="199" spans="1:12" ht="15" customHeight="1" x14ac:dyDescent="0.3">
      <c r="A199" s="101" t="s">
        <v>651</v>
      </c>
      <c r="B199" s="90" t="s">
        <v>729</v>
      </c>
      <c r="C199" s="90"/>
      <c r="D199" s="90" t="s">
        <v>130</v>
      </c>
      <c r="E199" s="91">
        <v>45402</v>
      </c>
      <c r="F199" s="30">
        <v>27.46</v>
      </c>
      <c r="G199" s="91">
        <v>45803</v>
      </c>
      <c r="H199" s="91">
        <v>45995</v>
      </c>
      <c r="I199" s="90">
        <v>0</v>
      </c>
      <c r="J199" s="92">
        <v>-401</v>
      </c>
      <c r="K199" s="90" t="s">
        <v>212</v>
      </c>
      <c r="L199" s="90"/>
    </row>
    <row r="200" spans="1:12" ht="15" customHeight="1" outlineLevel="1" x14ac:dyDescent="0.3">
      <c r="A200" s="101" t="s">
        <v>651</v>
      </c>
      <c r="B200" s="90" t="s">
        <v>729</v>
      </c>
      <c r="C200" s="90"/>
      <c r="D200" s="90" t="s">
        <v>130</v>
      </c>
      <c r="E200" s="91">
        <v>45467</v>
      </c>
      <c r="F200" s="30">
        <v>21</v>
      </c>
      <c r="G200" s="91">
        <v>45803</v>
      </c>
      <c r="H200" s="91">
        <v>45995</v>
      </c>
      <c r="I200" s="90">
        <v>0</v>
      </c>
      <c r="J200" s="92">
        <v>-336</v>
      </c>
      <c r="K200" s="90" t="s">
        <v>214</v>
      </c>
      <c r="L200" s="90"/>
    </row>
    <row r="201" spans="1:12" ht="15" customHeight="1" outlineLevel="1" x14ac:dyDescent="0.3">
      <c r="A201" s="101" t="s">
        <v>651</v>
      </c>
      <c r="B201" s="90" t="s">
        <v>729</v>
      </c>
      <c r="C201" s="90"/>
      <c r="D201" s="90" t="s">
        <v>130</v>
      </c>
      <c r="E201" s="91">
        <v>45646</v>
      </c>
      <c r="F201" s="30">
        <v>12</v>
      </c>
      <c r="G201" s="91">
        <v>45803</v>
      </c>
      <c r="H201" s="91">
        <v>45995</v>
      </c>
      <c r="I201" s="90">
        <v>0</v>
      </c>
      <c r="J201" s="92">
        <v>-157</v>
      </c>
      <c r="K201" s="90" t="s">
        <v>220</v>
      </c>
      <c r="L201" s="90"/>
    </row>
    <row r="202" spans="1:12" ht="15" customHeight="1" outlineLevel="1" x14ac:dyDescent="0.3">
      <c r="A202" s="101" t="s">
        <v>651</v>
      </c>
      <c r="B202" s="90" t="s">
        <v>729</v>
      </c>
      <c r="C202" s="90"/>
      <c r="D202" s="90" t="s">
        <v>130</v>
      </c>
      <c r="E202" s="91">
        <v>45652</v>
      </c>
      <c r="F202" s="30">
        <v>8</v>
      </c>
      <c r="G202" s="91">
        <v>45803</v>
      </c>
      <c r="H202" s="91">
        <v>45995</v>
      </c>
      <c r="I202" s="90">
        <v>0</v>
      </c>
      <c r="J202" s="92">
        <v>-151</v>
      </c>
      <c r="K202" s="90" t="s">
        <v>220</v>
      </c>
      <c r="L202" s="90"/>
    </row>
    <row r="203" spans="1:12" ht="15" customHeight="1" outlineLevel="1" x14ac:dyDescent="0.3">
      <c r="A203" s="101" t="s">
        <v>651</v>
      </c>
      <c r="B203" s="90" t="s">
        <v>729</v>
      </c>
      <c r="C203" s="90"/>
      <c r="D203" s="90" t="s">
        <v>130</v>
      </c>
      <c r="E203" s="91">
        <v>45675</v>
      </c>
      <c r="F203" s="30">
        <v>9</v>
      </c>
      <c r="G203" s="91">
        <v>45803</v>
      </c>
      <c r="H203" s="91">
        <v>45995</v>
      </c>
      <c r="I203" s="90">
        <v>0</v>
      </c>
      <c r="J203" s="92">
        <v>-128</v>
      </c>
      <c r="K203" s="90" t="s">
        <v>221</v>
      </c>
      <c r="L203" s="90"/>
    </row>
    <row r="204" spans="1:12" ht="15" customHeight="1" outlineLevel="1" x14ac:dyDescent="0.3">
      <c r="A204" s="101" t="s">
        <v>651</v>
      </c>
      <c r="B204" s="90" t="s">
        <v>729</v>
      </c>
      <c r="C204" s="90"/>
      <c r="D204" s="90" t="s">
        <v>130</v>
      </c>
      <c r="E204" s="91">
        <v>45692</v>
      </c>
      <c r="F204" s="30">
        <v>6.3</v>
      </c>
      <c r="G204" s="91">
        <v>45803</v>
      </c>
      <c r="H204" s="91">
        <v>45995</v>
      </c>
      <c r="I204" s="90">
        <v>0</v>
      </c>
      <c r="J204" s="92">
        <v>-111</v>
      </c>
      <c r="K204" s="90" t="s">
        <v>222</v>
      </c>
      <c r="L204" s="90"/>
    </row>
    <row r="205" spans="1:12" ht="15" customHeight="1" outlineLevel="1" x14ac:dyDescent="0.3">
      <c r="A205" s="101" t="s">
        <v>651</v>
      </c>
      <c r="B205" s="90" t="s">
        <v>729</v>
      </c>
      <c r="C205" s="90"/>
      <c r="D205" s="90" t="s">
        <v>130</v>
      </c>
      <c r="E205" s="91">
        <v>45724</v>
      </c>
      <c r="F205" s="30">
        <v>6</v>
      </c>
      <c r="G205" s="91">
        <v>45803</v>
      </c>
      <c r="H205" s="91">
        <v>45995</v>
      </c>
      <c r="I205" s="90">
        <v>0</v>
      </c>
      <c r="J205" s="92">
        <v>-79</v>
      </c>
      <c r="K205" s="90" t="s">
        <v>223</v>
      </c>
      <c r="L205" s="90"/>
    </row>
    <row r="206" spans="1:12" ht="15" customHeight="1" x14ac:dyDescent="0.3">
      <c r="A206" s="101" t="s">
        <v>653</v>
      </c>
      <c r="B206" s="90" t="s">
        <v>730</v>
      </c>
      <c r="C206" s="90"/>
      <c r="D206" s="90" t="s">
        <v>130</v>
      </c>
      <c r="E206" s="91">
        <v>45360</v>
      </c>
      <c r="F206" s="30">
        <v>34.979999999999997</v>
      </c>
      <c r="G206" s="91">
        <v>45664</v>
      </c>
      <c r="H206" s="91">
        <v>46133</v>
      </c>
      <c r="I206" s="90">
        <v>0</v>
      </c>
      <c r="J206" s="92">
        <v>-304</v>
      </c>
      <c r="K206" s="90" t="s">
        <v>211</v>
      </c>
      <c r="L206" s="90"/>
    </row>
    <row r="207" spans="1:12" ht="15" customHeight="1" outlineLevel="1" x14ac:dyDescent="0.3">
      <c r="A207" s="101" t="s">
        <v>653</v>
      </c>
      <c r="B207" s="90" t="s">
        <v>730</v>
      </c>
      <c r="C207" s="90"/>
      <c r="D207" s="90" t="s">
        <v>130</v>
      </c>
      <c r="E207" s="91">
        <v>45402</v>
      </c>
      <c r="F207" s="30">
        <v>33.950000000000003</v>
      </c>
      <c r="G207" s="91">
        <v>45664</v>
      </c>
      <c r="H207" s="91">
        <v>46133</v>
      </c>
      <c r="I207" s="90">
        <v>0</v>
      </c>
      <c r="J207" s="92">
        <v>-262</v>
      </c>
      <c r="K207" s="90" t="s">
        <v>212</v>
      </c>
      <c r="L207" s="90"/>
    </row>
    <row r="208" spans="1:12" ht="15" customHeight="1" outlineLevel="1" x14ac:dyDescent="0.3">
      <c r="A208" s="101" t="s">
        <v>653</v>
      </c>
      <c r="B208" s="90" t="s">
        <v>730</v>
      </c>
      <c r="C208" s="90"/>
      <c r="D208" s="90" t="s">
        <v>130</v>
      </c>
      <c r="E208" s="91">
        <v>45467</v>
      </c>
      <c r="F208" s="30">
        <v>28</v>
      </c>
      <c r="G208" s="91">
        <v>45664</v>
      </c>
      <c r="H208" s="91">
        <v>46133</v>
      </c>
      <c r="I208" s="90">
        <v>0</v>
      </c>
      <c r="J208" s="92">
        <v>-197</v>
      </c>
      <c r="K208" s="90" t="s">
        <v>214</v>
      </c>
      <c r="L208" s="90"/>
    </row>
    <row r="209" spans="1:12" ht="15" customHeight="1" outlineLevel="1" x14ac:dyDescent="0.3">
      <c r="A209" s="101" t="s">
        <v>653</v>
      </c>
      <c r="B209" s="90" t="s">
        <v>730</v>
      </c>
      <c r="C209" s="90"/>
      <c r="D209" s="90" t="s">
        <v>130</v>
      </c>
      <c r="E209" s="91">
        <v>45675</v>
      </c>
      <c r="F209" s="30">
        <v>19</v>
      </c>
      <c r="G209" s="91">
        <v>45664</v>
      </c>
      <c r="H209" s="91">
        <v>46133</v>
      </c>
      <c r="I209" s="90">
        <v>0</v>
      </c>
      <c r="J209" s="92">
        <v>11</v>
      </c>
      <c r="K209" s="90" t="s">
        <v>221</v>
      </c>
      <c r="L209" s="90"/>
    </row>
    <row r="210" spans="1:12" ht="15" customHeight="1" outlineLevel="1" x14ac:dyDescent="0.3">
      <c r="A210" s="101" t="s">
        <v>653</v>
      </c>
      <c r="B210" s="90" t="s">
        <v>730</v>
      </c>
      <c r="C210" s="90"/>
      <c r="D210" s="90" t="s">
        <v>130</v>
      </c>
      <c r="E210" s="91">
        <v>45692</v>
      </c>
      <c r="F210" s="30">
        <v>22</v>
      </c>
      <c r="G210" s="91">
        <v>45664</v>
      </c>
      <c r="H210" s="91">
        <v>46133</v>
      </c>
      <c r="I210" s="90">
        <v>0</v>
      </c>
      <c r="J210" s="92">
        <v>28</v>
      </c>
      <c r="K210" s="90" t="s">
        <v>222</v>
      </c>
      <c r="L210" s="90"/>
    </row>
    <row r="211" spans="1:12" ht="15" customHeight="1" outlineLevel="1" x14ac:dyDescent="0.3">
      <c r="A211" s="101" t="s">
        <v>653</v>
      </c>
      <c r="B211" s="90" t="s">
        <v>730</v>
      </c>
      <c r="C211" s="90"/>
      <c r="D211" s="90" t="s">
        <v>130</v>
      </c>
      <c r="E211" s="91">
        <v>45724</v>
      </c>
      <c r="F211" s="30">
        <v>26.2</v>
      </c>
      <c r="G211" s="91">
        <v>45664</v>
      </c>
      <c r="H211" s="91">
        <v>46133</v>
      </c>
      <c r="I211" s="90">
        <v>0</v>
      </c>
      <c r="J211" s="92">
        <v>60</v>
      </c>
      <c r="K211" s="90" t="s">
        <v>223</v>
      </c>
      <c r="L211" s="90"/>
    </row>
    <row r="212" spans="1:12" ht="15" customHeight="1" outlineLevel="1" x14ac:dyDescent="0.3">
      <c r="A212" s="101" t="s">
        <v>653</v>
      </c>
      <c r="B212" s="90" t="s">
        <v>730</v>
      </c>
      <c r="C212" s="90"/>
      <c r="D212" s="90" t="s">
        <v>130</v>
      </c>
      <c r="E212" s="91">
        <v>45731</v>
      </c>
      <c r="F212" s="30">
        <v>22.2</v>
      </c>
      <c r="G212" s="91">
        <v>45664</v>
      </c>
      <c r="H212" s="91">
        <v>46133</v>
      </c>
      <c r="I212" s="90">
        <v>0</v>
      </c>
      <c r="J212" s="92">
        <v>67</v>
      </c>
      <c r="K212" s="90" t="s">
        <v>223</v>
      </c>
      <c r="L212" s="90"/>
    </row>
    <row r="213" spans="1:12" ht="15" customHeight="1" outlineLevel="1" x14ac:dyDescent="0.3">
      <c r="A213" s="101" t="s">
        <v>653</v>
      </c>
      <c r="B213" s="90" t="s">
        <v>730</v>
      </c>
      <c r="C213" s="90"/>
      <c r="D213" s="90" t="s">
        <v>130</v>
      </c>
      <c r="E213" s="91">
        <v>45766</v>
      </c>
      <c r="F213" s="30">
        <v>24</v>
      </c>
      <c r="G213" s="91">
        <v>45664</v>
      </c>
      <c r="H213" s="91">
        <v>46133</v>
      </c>
      <c r="I213" s="90">
        <v>0</v>
      </c>
      <c r="J213" s="92">
        <v>102</v>
      </c>
      <c r="K213" s="90" t="s">
        <v>224</v>
      </c>
      <c r="L213" s="90"/>
    </row>
    <row r="214" spans="1:12" ht="15" customHeight="1" outlineLevel="1" x14ac:dyDescent="0.3">
      <c r="A214" s="101" t="s">
        <v>653</v>
      </c>
      <c r="B214" s="90" t="s">
        <v>730</v>
      </c>
      <c r="C214" s="90"/>
      <c r="D214" s="90" t="s">
        <v>130</v>
      </c>
      <c r="E214" s="91">
        <v>45858</v>
      </c>
      <c r="F214" s="30">
        <v>17.399999999999999</v>
      </c>
      <c r="G214" s="91">
        <v>45664</v>
      </c>
      <c r="H214" s="91">
        <v>46133</v>
      </c>
      <c r="I214" s="90">
        <v>0</v>
      </c>
      <c r="J214" s="92">
        <v>194</v>
      </c>
      <c r="K214" s="90" t="s">
        <v>226</v>
      </c>
      <c r="L214" s="90"/>
    </row>
    <row r="215" spans="1:12" ht="15" customHeight="1" outlineLevel="1" x14ac:dyDescent="0.3">
      <c r="A215" s="101" t="s">
        <v>653</v>
      </c>
      <c r="B215" s="90" t="s">
        <v>730</v>
      </c>
      <c r="C215" s="90"/>
      <c r="D215" s="90" t="s">
        <v>130</v>
      </c>
      <c r="E215" s="91">
        <v>45882</v>
      </c>
      <c r="F215" s="30">
        <v>13</v>
      </c>
      <c r="G215" s="91">
        <v>45664</v>
      </c>
      <c r="H215" s="91">
        <v>46133</v>
      </c>
      <c r="I215" s="90">
        <v>0</v>
      </c>
      <c r="J215" s="92">
        <v>218</v>
      </c>
      <c r="K215" s="90" t="s">
        <v>227</v>
      </c>
      <c r="L215" s="90"/>
    </row>
    <row r="216" spans="1:12" ht="15" customHeight="1" outlineLevel="1" x14ac:dyDescent="0.3">
      <c r="A216" s="101" t="s">
        <v>653</v>
      </c>
      <c r="B216" s="90" t="s">
        <v>730</v>
      </c>
      <c r="C216" s="90"/>
      <c r="D216" s="90" t="s">
        <v>130</v>
      </c>
      <c r="E216" s="91">
        <v>45893</v>
      </c>
      <c r="F216" s="30">
        <v>9</v>
      </c>
      <c r="G216" s="91">
        <v>45664</v>
      </c>
      <c r="H216" s="91">
        <v>46133</v>
      </c>
      <c r="I216" s="90">
        <v>0</v>
      </c>
      <c r="J216" s="92">
        <v>229</v>
      </c>
      <c r="K216" s="90" t="s">
        <v>227</v>
      </c>
      <c r="L216" s="90"/>
    </row>
    <row r="217" spans="1:12" ht="15" customHeight="1" outlineLevel="1" x14ac:dyDescent="0.3">
      <c r="A217" s="101" t="s">
        <v>653</v>
      </c>
      <c r="B217" s="90" t="s">
        <v>730</v>
      </c>
      <c r="C217" s="90"/>
      <c r="D217" s="90" t="s">
        <v>130</v>
      </c>
      <c r="E217" s="91">
        <v>45922</v>
      </c>
      <c r="F217" s="30">
        <v>12</v>
      </c>
      <c r="G217" s="91">
        <v>45664</v>
      </c>
      <c r="H217" s="91">
        <v>46133</v>
      </c>
      <c r="I217" s="90">
        <v>0</v>
      </c>
      <c r="J217" s="92">
        <v>258</v>
      </c>
      <c r="K217" s="90" t="s">
        <v>228</v>
      </c>
      <c r="L217" s="90"/>
    </row>
    <row r="218" spans="1:12" ht="15" customHeight="1" outlineLevel="1" x14ac:dyDescent="0.3">
      <c r="A218" s="101" t="s">
        <v>653</v>
      </c>
      <c r="B218" s="90" t="s">
        <v>730</v>
      </c>
      <c r="C218" s="90"/>
      <c r="D218" s="90" t="s">
        <v>130</v>
      </c>
      <c r="E218" s="91">
        <v>45932</v>
      </c>
      <c r="F218" s="30">
        <v>9</v>
      </c>
      <c r="G218" s="91">
        <v>45664</v>
      </c>
      <c r="H218" s="91">
        <v>46133</v>
      </c>
      <c r="I218" s="90">
        <v>0</v>
      </c>
      <c r="J218" s="92">
        <v>268</v>
      </c>
      <c r="K218" s="90" t="s">
        <v>229</v>
      </c>
      <c r="L218" s="90"/>
    </row>
    <row r="219" spans="1:12" ht="15" customHeight="1" outlineLevel="1" x14ac:dyDescent="0.3">
      <c r="A219" s="101" t="s">
        <v>653</v>
      </c>
      <c r="B219" s="90" t="s">
        <v>730</v>
      </c>
      <c r="C219" s="90"/>
      <c r="D219" s="90" t="s">
        <v>130</v>
      </c>
      <c r="E219" s="91">
        <v>45947</v>
      </c>
      <c r="F219" s="30">
        <v>9</v>
      </c>
      <c r="G219" s="91">
        <v>45664</v>
      </c>
      <c r="H219" s="91">
        <v>46133</v>
      </c>
      <c r="I219" s="90">
        <v>0</v>
      </c>
      <c r="J219" s="92">
        <v>283</v>
      </c>
      <c r="K219" s="90" t="s">
        <v>229</v>
      </c>
      <c r="L219" s="90"/>
    </row>
    <row r="220" spans="1:12" ht="15" customHeight="1" outlineLevel="1" x14ac:dyDescent="0.3">
      <c r="A220" s="101" t="s">
        <v>653</v>
      </c>
      <c r="B220" s="90" t="s">
        <v>730</v>
      </c>
      <c r="C220" s="90"/>
      <c r="D220" s="90" t="s">
        <v>130</v>
      </c>
      <c r="E220" s="91">
        <v>45985</v>
      </c>
      <c r="F220" s="30">
        <v>5</v>
      </c>
      <c r="G220" s="91">
        <v>45664</v>
      </c>
      <c r="H220" s="91">
        <v>46133</v>
      </c>
      <c r="I220" s="90">
        <v>0</v>
      </c>
      <c r="J220" s="92">
        <v>321</v>
      </c>
      <c r="K220" s="90" t="s">
        <v>230</v>
      </c>
      <c r="L220" s="90"/>
    </row>
    <row r="221" spans="1:12" ht="15" customHeight="1" outlineLevel="1" x14ac:dyDescent="0.3">
      <c r="A221" s="101" t="s">
        <v>653</v>
      </c>
      <c r="B221" s="90" t="s">
        <v>730</v>
      </c>
      <c r="C221" s="90"/>
      <c r="D221" s="90" t="s">
        <v>130</v>
      </c>
      <c r="E221" s="91">
        <v>46045</v>
      </c>
      <c r="F221" s="30">
        <v>10</v>
      </c>
      <c r="G221" s="91">
        <v>45664</v>
      </c>
      <c r="H221" s="91">
        <v>46133</v>
      </c>
      <c r="I221" s="90">
        <v>0</v>
      </c>
      <c r="J221" s="92">
        <v>381</v>
      </c>
      <c r="K221" s="90" t="s">
        <v>232</v>
      </c>
      <c r="L221" s="90"/>
    </row>
    <row r="222" spans="1:12" ht="15" customHeight="1" outlineLevel="1" x14ac:dyDescent="0.3">
      <c r="A222" s="101" t="s">
        <v>653</v>
      </c>
      <c r="B222" s="90" t="s">
        <v>730</v>
      </c>
      <c r="C222" s="90"/>
      <c r="D222" s="90" t="s">
        <v>130</v>
      </c>
      <c r="E222" s="91">
        <v>46052</v>
      </c>
      <c r="F222" s="30">
        <v>5</v>
      </c>
      <c r="G222" s="91">
        <v>45664</v>
      </c>
      <c r="H222" s="91">
        <v>46133</v>
      </c>
      <c r="I222" s="90">
        <v>0</v>
      </c>
      <c r="J222" s="92">
        <v>388</v>
      </c>
      <c r="K222" s="90" t="s">
        <v>232</v>
      </c>
      <c r="L222" s="90"/>
    </row>
    <row r="223" spans="1:12" ht="15" customHeight="1" outlineLevel="1" x14ac:dyDescent="0.3">
      <c r="A223" s="101" t="s">
        <v>653</v>
      </c>
      <c r="B223" s="90" t="s">
        <v>730</v>
      </c>
      <c r="C223" s="90"/>
      <c r="D223" s="90" t="s">
        <v>130</v>
      </c>
      <c r="E223" s="91">
        <v>46071</v>
      </c>
      <c r="F223" s="30">
        <v>7</v>
      </c>
      <c r="G223" s="91">
        <v>45664</v>
      </c>
      <c r="H223" s="91">
        <v>46133</v>
      </c>
      <c r="I223" s="90">
        <v>0</v>
      </c>
      <c r="J223" s="92">
        <v>407</v>
      </c>
      <c r="K223" s="90" t="s">
        <v>233</v>
      </c>
      <c r="L223" s="90"/>
    </row>
    <row r="224" spans="1:12" ht="15" customHeight="1" outlineLevel="1" x14ac:dyDescent="0.3">
      <c r="A224" s="101" t="s">
        <v>653</v>
      </c>
      <c r="B224" s="90" t="s">
        <v>730</v>
      </c>
      <c r="C224" s="90"/>
      <c r="D224" s="90" t="s">
        <v>130</v>
      </c>
      <c r="E224" s="91">
        <v>46102</v>
      </c>
      <c r="F224" s="30">
        <v>7</v>
      </c>
      <c r="G224" s="91">
        <v>45664</v>
      </c>
      <c r="H224" s="91">
        <v>46133</v>
      </c>
      <c r="I224" s="90">
        <v>0</v>
      </c>
      <c r="J224" s="92">
        <v>438</v>
      </c>
      <c r="K224" s="90" t="s">
        <v>234</v>
      </c>
      <c r="L224" s="90"/>
    </row>
    <row r="225" spans="1:12" ht="15" customHeight="1" x14ac:dyDescent="0.3">
      <c r="A225" s="101" t="s">
        <v>654</v>
      </c>
      <c r="B225" s="90">
        <v>403</v>
      </c>
      <c r="C225" s="90"/>
      <c r="D225" s="90" t="s">
        <v>130</v>
      </c>
      <c r="E225" s="91">
        <v>45171</v>
      </c>
      <c r="F225" s="30">
        <v>24.68</v>
      </c>
      <c r="G225" s="91">
        <v>45857</v>
      </c>
      <c r="H225" s="91"/>
      <c r="I225" s="90">
        <v>1</v>
      </c>
      <c r="J225" s="92">
        <v>-686</v>
      </c>
      <c r="K225" s="90" t="s">
        <v>205</v>
      </c>
      <c r="L225" s="90"/>
    </row>
    <row r="226" spans="1:12" ht="15" customHeight="1" outlineLevel="1" x14ac:dyDescent="0.3">
      <c r="A226" s="101" t="s">
        <v>654</v>
      </c>
      <c r="B226" s="90">
        <v>403</v>
      </c>
      <c r="C226" s="90"/>
      <c r="D226" s="90" t="s">
        <v>130</v>
      </c>
      <c r="E226" s="91">
        <v>45224</v>
      </c>
      <c r="F226" s="30">
        <v>25.71</v>
      </c>
      <c r="G226" s="91">
        <v>45857</v>
      </c>
      <c r="H226" s="91"/>
      <c r="I226" s="90">
        <v>1</v>
      </c>
      <c r="J226" s="92">
        <v>-633</v>
      </c>
      <c r="K226" s="90" t="s">
        <v>206</v>
      </c>
      <c r="L226" s="90"/>
    </row>
    <row r="227" spans="1:12" ht="15" customHeight="1" outlineLevel="1" x14ac:dyDescent="0.3">
      <c r="A227" s="101" t="s">
        <v>654</v>
      </c>
      <c r="B227" s="90">
        <v>403</v>
      </c>
      <c r="C227" s="90"/>
      <c r="D227" s="90" t="s">
        <v>130</v>
      </c>
      <c r="E227" s="91">
        <v>45257</v>
      </c>
      <c r="F227" s="30">
        <v>22.63</v>
      </c>
      <c r="G227" s="91">
        <v>45857</v>
      </c>
      <c r="H227" s="91"/>
      <c r="I227" s="90">
        <v>1</v>
      </c>
      <c r="J227" s="92">
        <v>-600</v>
      </c>
      <c r="K227" s="90" t="s">
        <v>207</v>
      </c>
      <c r="L227" s="90"/>
    </row>
    <row r="228" spans="1:12" ht="15" customHeight="1" outlineLevel="1" x14ac:dyDescent="0.3">
      <c r="A228" s="101" t="s">
        <v>654</v>
      </c>
      <c r="B228" s="90">
        <v>403</v>
      </c>
      <c r="C228" s="90"/>
      <c r="D228" s="90" t="s">
        <v>130</v>
      </c>
      <c r="E228" s="91">
        <v>45271</v>
      </c>
      <c r="F228" s="30">
        <v>22.84</v>
      </c>
      <c r="G228" s="91">
        <v>45857</v>
      </c>
      <c r="H228" s="91"/>
      <c r="I228" s="90">
        <v>1</v>
      </c>
      <c r="J228" s="92">
        <v>-586</v>
      </c>
      <c r="K228" s="90" t="s">
        <v>208</v>
      </c>
      <c r="L228" s="90"/>
    </row>
    <row r="229" spans="1:12" ht="15" customHeight="1" outlineLevel="1" x14ac:dyDescent="0.3">
      <c r="A229" s="101" t="s">
        <v>654</v>
      </c>
      <c r="B229" s="90">
        <v>403</v>
      </c>
      <c r="C229" s="90"/>
      <c r="D229" s="90" t="s">
        <v>130</v>
      </c>
      <c r="E229" s="91">
        <v>45310</v>
      </c>
      <c r="F229" s="30">
        <v>27.77</v>
      </c>
      <c r="G229" s="91">
        <v>45857</v>
      </c>
      <c r="H229" s="91"/>
      <c r="I229" s="90">
        <v>1</v>
      </c>
      <c r="J229" s="92">
        <v>-547</v>
      </c>
      <c r="K229" s="90" t="s">
        <v>209</v>
      </c>
      <c r="L229" s="90"/>
    </row>
    <row r="230" spans="1:12" ht="15" customHeight="1" outlineLevel="1" x14ac:dyDescent="0.3">
      <c r="A230" s="101" t="s">
        <v>654</v>
      </c>
      <c r="B230" s="90">
        <v>403</v>
      </c>
      <c r="C230" s="90"/>
      <c r="D230" s="90" t="s">
        <v>130</v>
      </c>
      <c r="E230" s="91">
        <v>45360</v>
      </c>
      <c r="F230" s="30">
        <v>28.8</v>
      </c>
      <c r="G230" s="91">
        <v>45857</v>
      </c>
      <c r="H230" s="91"/>
      <c r="I230" s="90">
        <v>1</v>
      </c>
      <c r="J230" s="92">
        <v>-497</v>
      </c>
      <c r="K230" s="90" t="s">
        <v>211</v>
      </c>
      <c r="L230" s="90"/>
    </row>
    <row r="231" spans="1:12" ht="15" customHeight="1" outlineLevel="1" x14ac:dyDescent="0.3">
      <c r="A231" s="101" t="s">
        <v>654</v>
      </c>
      <c r="B231" s="90">
        <v>403</v>
      </c>
      <c r="C231" s="90"/>
      <c r="D231" s="90" t="s">
        <v>130</v>
      </c>
      <c r="E231" s="91">
        <v>45402</v>
      </c>
      <c r="F231" s="30">
        <v>36.01</v>
      </c>
      <c r="G231" s="91">
        <v>45857</v>
      </c>
      <c r="H231" s="91"/>
      <c r="I231" s="90">
        <v>1</v>
      </c>
      <c r="J231" s="92">
        <v>-455</v>
      </c>
      <c r="K231" s="90" t="s">
        <v>212</v>
      </c>
      <c r="L231" s="90"/>
    </row>
    <row r="232" spans="1:12" ht="15" customHeight="1" outlineLevel="1" x14ac:dyDescent="0.3">
      <c r="A232" s="101" t="s">
        <v>654</v>
      </c>
      <c r="B232" s="90">
        <v>403</v>
      </c>
      <c r="C232" s="90"/>
      <c r="D232" s="90" t="s">
        <v>130</v>
      </c>
      <c r="E232" s="91">
        <v>45467</v>
      </c>
      <c r="F232" s="30">
        <v>32</v>
      </c>
      <c r="G232" s="91">
        <v>45857</v>
      </c>
      <c r="H232" s="91"/>
      <c r="I232" s="90">
        <v>1</v>
      </c>
      <c r="J232" s="92">
        <v>-390</v>
      </c>
      <c r="K232" s="90" t="s">
        <v>214</v>
      </c>
      <c r="L232" s="90"/>
    </row>
    <row r="233" spans="1:12" ht="15" customHeight="1" outlineLevel="1" x14ac:dyDescent="0.3">
      <c r="A233" s="101" t="s">
        <v>654</v>
      </c>
      <c r="B233" s="90">
        <v>403</v>
      </c>
      <c r="C233" s="90"/>
      <c r="D233" s="90" t="s">
        <v>130</v>
      </c>
      <c r="E233" s="91">
        <v>45646</v>
      </c>
      <c r="F233" s="30">
        <v>21</v>
      </c>
      <c r="G233" s="91">
        <v>45857</v>
      </c>
      <c r="H233" s="91"/>
      <c r="I233" s="90">
        <v>1</v>
      </c>
      <c r="J233" s="92">
        <v>-211</v>
      </c>
      <c r="K233" s="90" t="s">
        <v>220</v>
      </c>
      <c r="L233" s="90"/>
    </row>
    <row r="234" spans="1:12" ht="15" customHeight="1" outlineLevel="1" x14ac:dyDescent="0.3">
      <c r="A234" s="101" t="s">
        <v>654</v>
      </c>
      <c r="B234" s="90">
        <v>403</v>
      </c>
      <c r="C234" s="90"/>
      <c r="D234" s="90" t="s">
        <v>130</v>
      </c>
      <c r="E234" s="91">
        <v>45652</v>
      </c>
      <c r="F234" s="30">
        <v>27.2</v>
      </c>
      <c r="G234" s="91">
        <v>45857</v>
      </c>
      <c r="H234" s="91"/>
      <c r="I234" s="90">
        <v>1</v>
      </c>
      <c r="J234" s="92">
        <v>-205</v>
      </c>
      <c r="K234" s="90" t="s">
        <v>220</v>
      </c>
      <c r="L234" s="90"/>
    </row>
    <row r="235" spans="1:12" ht="15" customHeight="1" outlineLevel="1" x14ac:dyDescent="0.3">
      <c r="A235" s="101" t="s">
        <v>654</v>
      </c>
      <c r="B235" s="90">
        <v>403</v>
      </c>
      <c r="C235" s="90"/>
      <c r="D235" s="90" t="s">
        <v>130</v>
      </c>
      <c r="E235" s="91">
        <v>45675</v>
      </c>
      <c r="F235" s="30">
        <v>18</v>
      </c>
      <c r="G235" s="91">
        <v>45857</v>
      </c>
      <c r="H235" s="91"/>
      <c r="I235" s="90">
        <v>1</v>
      </c>
      <c r="J235" s="92">
        <v>-182</v>
      </c>
      <c r="K235" s="90" t="s">
        <v>221</v>
      </c>
      <c r="L235" s="90"/>
    </row>
    <row r="236" spans="1:12" ht="15" customHeight="1" outlineLevel="1" x14ac:dyDescent="0.3">
      <c r="A236" s="101" t="s">
        <v>654</v>
      </c>
      <c r="B236" s="90">
        <v>403</v>
      </c>
      <c r="C236" s="90"/>
      <c r="D236" s="90" t="s">
        <v>130</v>
      </c>
      <c r="E236" s="91">
        <v>45692</v>
      </c>
      <c r="F236" s="30">
        <v>21.2</v>
      </c>
      <c r="G236" s="91">
        <v>45857</v>
      </c>
      <c r="H236" s="91"/>
      <c r="I236" s="90">
        <v>1</v>
      </c>
      <c r="J236" s="92">
        <v>-165</v>
      </c>
      <c r="K236" s="90" t="s">
        <v>222</v>
      </c>
      <c r="L236" s="90"/>
    </row>
    <row r="237" spans="1:12" ht="15" customHeight="1" outlineLevel="1" x14ac:dyDescent="0.3">
      <c r="A237" s="101" t="s">
        <v>654</v>
      </c>
      <c r="B237" s="90">
        <v>403</v>
      </c>
      <c r="C237" s="90"/>
      <c r="D237" s="90" t="s">
        <v>130</v>
      </c>
      <c r="E237" s="91">
        <v>45724</v>
      </c>
      <c r="F237" s="30">
        <v>8.1999999999999993</v>
      </c>
      <c r="G237" s="91">
        <v>45857</v>
      </c>
      <c r="H237" s="91"/>
      <c r="I237" s="90">
        <v>1</v>
      </c>
      <c r="J237" s="92">
        <v>-133</v>
      </c>
      <c r="K237" s="90" t="s">
        <v>223</v>
      </c>
      <c r="L237" s="90"/>
    </row>
    <row r="238" spans="1:12" ht="15" customHeight="1" outlineLevel="1" x14ac:dyDescent="0.3">
      <c r="A238" s="101" t="s">
        <v>654</v>
      </c>
      <c r="B238" s="90">
        <v>403</v>
      </c>
      <c r="C238" s="90"/>
      <c r="D238" s="90" t="s">
        <v>130</v>
      </c>
      <c r="E238" s="91">
        <v>45731</v>
      </c>
      <c r="F238" s="30">
        <v>11</v>
      </c>
      <c r="G238" s="91">
        <v>45857</v>
      </c>
      <c r="H238" s="91"/>
      <c r="I238" s="90">
        <v>1</v>
      </c>
      <c r="J238" s="92">
        <v>-126</v>
      </c>
      <c r="K238" s="90" t="s">
        <v>223</v>
      </c>
      <c r="L238" s="90"/>
    </row>
    <row r="239" spans="1:12" ht="15" customHeight="1" outlineLevel="1" x14ac:dyDescent="0.3">
      <c r="A239" s="101" t="s">
        <v>654</v>
      </c>
      <c r="B239" s="90">
        <v>403</v>
      </c>
      <c r="C239" s="90"/>
      <c r="D239" s="90" t="s">
        <v>130</v>
      </c>
      <c r="E239" s="91">
        <v>45858</v>
      </c>
      <c r="F239" s="30">
        <v>9</v>
      </c>
      <c r="G239" s="91">
        <v>45857</v>
      </c>
      <c r="H239" s="91"/>
      <c r="I239" s="90">
        <v>1</v>
      </c>
      <c r="J239" s="92">
        <v>1</v>
      </c>
      <c r="K239" s="90" t="s">
        <v>226</v>
      </c>
      <c r="L239" s="90"/>
    </row>
    <row r="240" spans="1:12" ht="15" customHeight="1" outlineLevel="1" x14ac:dyDescent="0.3">
      <c r="A240" s="101" t="s">
        <v>654</v>
      </c>
      <c r="B240" s="90">
        <v>403</v>
      </c>
      <c r="C240" s="90"/>
      <c r="D240" s="90" t="s">
        <v>130</v>
      </c>
      <c r="E240" s="91">
        <v>45882</v>
      </c>
      <c r="F240" s="30">
        <v>27</v>
      </c>
      <c r="G240" s="91">
        <v>45857</v>
      </c>
      <c r="H240" s="91"/>
      <c r="I240" s="90">
        <v>1</v>
      </c>
      <c r="J240" s="92">
        <v>25</v>
      </c>
      <c r="K240" s="90" t="s">
        <v>227</v>
      </c>
      <c r="L240" s="90"/>
    </row>
    <row r="241" spans="1:12" ht="15" customHeight="1" outlineLevel="1" x14ac:dyDescent="0.3">
      <c r="A241" s="101" t="s">
        <v>654</v>
      </c>
      <c r="B241" s="90">
        <v>403</v>
      </c>
      <c r="C241" s="90"/>
      <c r="D241" s="90" t="s">
        <v>130</v>
      </c>
      <c r="E241" s="91">
        <v>45893</v>
      </c>
      <c r="F241" s="30">
        <v>33.299999999999997</v>
      </c>
      <c r="G241" s="91">
        <v>45857</v>
      </c>
      <c r="H241" s="91"/>
      <c r="I241" s="90">
        <v>1</v>
      </c>
      <c r="J241" s="92">
        <v>36</v>
      </c>
      <c r="K241" s="90" t="s">
        <v>227</v>
      </c>
      <c r="L241" s="90"/>
    </row>
    <row r="242" spans="1:12" ht="15" customHeight="1" outlineLevel="1" x14ac:dyDescent="0.3">
      <c r="A242" s="101" t="s">
        <v>654</v>
      </c>
      <c r="B242" s="90">
        <v>403</v>
      </c>
      <c r="C242" s="90"/>
      <c r="D242" s="90" t="s">
        <v>130</v>
      </c>
      <c r="E242" s="91">
        <v>45922</v>
      </c>
      <c r="F242" s="30">
        <v>47</v>
      </c>
      <c r="G242" s="91">
        <v>45857</v>
      </c>
      <c r="H242" s="91"/>
      <c r="I242" s="90">
        <v>1</v>
      </c>
      <c r="J242" s="92">
        <v>65</v>
      </c>
      <c r="K242" s="90" t="s">
        <v>228</v>
      </c>
      <c r="L242" s="90"/>
    </row>
    <row r="243" spans="1:12" ht="15" customHeight="1" outlineLevel="1" x14ac:dyDescent="0.3">
      <c r="A243" s="101" t="s">
        <v>654</v>
      </c>
      <c r="B243" s="90">
        <v>403</v>
      </c>
      <c r="C243" s="90"/>
      <c r="D243" s="90" t="s">
        <v>130</v>
      </c>
      <c r="E243" s="91">
        <v>45932</v>
      </c>
      <c r="F243" s="30">
        <v>39</v>
      </c>
      <c r="G243" s="91">
        <v>45857</v>
      </c>
      <c r="H243" s="91"/>
      <c r="I243" s="90">
        <v>1</v>
      </c>
      <c r="J243" s="92">
        <v>75</v>
      </c>
      <c r="K243" s="90" t="s">
        <v>229</v>
      </c>
      <c r="L243" s="90"/>
    </row>
    <row r="244" spans="1:12" ht="15" customHeight="1" outlineLevel="1" x14ac:dyDescent="0.3">
      <c r="A244" s="101" t="s">
        <v>654</v>
      </c>
      <c r="B244" s="90">
        <v>403</v>
      </c>
      <c r="C244" s="90"/>
      <c r="D244" s="90" t="s">
        <v>130</v>
      </c>
      <c r="E244" s="91">
        <v>45947</v>
      </c>
      <c r="F244" s="30">
        <v>38</v>
      </c>
      <c r="G244" s="91">
        <v>45857</v>
      </c>
      <c r="H244" s="91"/>
      <c r="I244" s="90">
        <v>1</v>
      </c>
      <c r="J244" s="92">
        <v>90</v>
      </c>
      <c r="K244" s="90" t="s">
        <v>229</v>
      </c>
      <c r="L244" s="90"/>
    </row>
    <row r="245" spans="1:12" ht="15" customHeight="1" outlineLevel="1" x14ac:dyDescent="0.3">
      <c r="A245" s="101" t="s">
        <v>654</v>
      </c>
      <c r="B245" s="90">
        <v>403</v>
      </c>
      <c r="C245" s="90"/>
      <c r="D245" s="90" t="s">
        <v>130</v>
      </c>
      <c r="E245" s="91">
        <v>45979</v>
      </c>
      <c r="F245" s="30">
        <v>31</v>
      </c>
      <c r="G245" s="91">
        <v>45857</v>
      </c>
      <c r="H245" s="91"/>
      <c r="I245" s="90">
        <v>1</v>
      </c>
      <c r="J245" s="92">
        <v>122</v>
      </c>
      <c r="K245" s="90" t="s">
        <v>230</v>
      </c>
      <c r="L245" s="90"/>
    </row>
    <row r="246" spans="1:12" ht="15" customHeight="1" outlineLevel="1" x14ac:dyDescent="0.3">
      <c r="A246" s="101" t="s">
        <v>654</v>
      </c>
      <c r="B246" s="90">
        <v>403</v>
      </c>
      <c r="C246" s="90"/>
      <c r="D246" s="90" t="s">
        <v>130</v>
      </c>
      <c r="E246" s="91">
        <v>45985</v>
      </c>
      <c r="F246" s="30">
        <v>33</v>
      </c>
      <c r="G246" s="91">
        <v>45857</v>
      </c>
      <c r="H246" s="91"/>
      <c r="I246" s="90">
        <v>1</v>
      </c>
      <c r="J246" s="92">
        <v>128</v>
      </c>
      <c r="K246" s="90" t="s">
        <v>230</v>
      </c>
      <c r="L246" s="90"/>
    </row>
    <row r="247" spans="1:12" ht="15" customHeight="1" outlineLevel="1" x14ac:dyDescent="0.3">
      <c r="A247" s="101" t="s">
        <v>654</v>
      </c>
      <c r="B247" s="90">
        <v>403</v>
      </c>
      <c r="C247" s="90"/>
      <c r="D247" s="90" t="s">
        <v>130</v>
      </c>
      <c r="E247" s="91">
        <v>45990</v>
      </c>
      <c r="F247" s="30">
        <v>30</v>
      </c>
      <c r="G247" s="91">
        <v>45857</v>
      </c>
      <c r="H247" s="91"/>
      <c r="I247" s="90">
        <v>1</v>
      </c>
      <c r="J247" s="92">
        <v>133</v>
      </c>
      <c r="K247" s="90" t="s">
        <v>230</v>
      </c>
      <c r="L247" s="90"/>
    </row>
    <row r="248" spans="1:12" ht="15" customHeight="1" outlineLevel="1" x14ac:dyDescent="0.3">
      <c r="A248" s="101" t="s">
        <v>654</v>
      </c>
      <c r="B248" s="90">
        <v>403</v>
      </c>
      <c r="C248" s="90"/>
      <c r="D248" s="90" t="s">
        <v>130</v>
      </c>
      <c r="E248" s="91">
        <v>46004</v>
      </c>
      <c r="F248" s="30">
        <v>31</v>
      </c>
      <c r="G248" s="91">
        <v>45857</v>
      </c>
      <c r="H248" s="91"/>
      <c r="I248" s="90">
        <v>1</v>
      </c>
      <c r="J248" s="92">
        <v>147</v>
      </c>
      <c r="K248" s="90" t="s">
        <v>231</v>
      </c>
      <c r="L248" s="90"/>
    </row>
    <row r="249" spans="1:12" ht="15" customHeight="1" outlineLevel="1" x14ac:dyDescent="0.3">
      <c r="A249" s="101" t="s">
        <v>654</v>
      </c>
      <c r="B249" s="90">
        <v>403</v>
      </c>
      <c r="C249" s="90"/>
      <c r="D249" s="90" t="s">
        <v>130</v>
      </c>
      <c r="E249" s="91">
        <v>46012</v>
      </c>
      <c r="F249" s="30">
        <v>37.5</v>
      </c>
      <c r="G249" s="91">
        <v>45857</v>
      </c>
      <c r="H249" s="91"/>
      <c r="I249" s="90">
        <v>1</v>
      </c>
      <c r="J249" s="92">
        <v>155</v>
      </c>
      <c r="K249" s="90" t="s">
        <v>231</v>
      </c>
      <c r="L249" s="90"/>
    </row>
    <row r="250" spans="1:12" ht="15" customHeight="1" outlineLevel="1" x14ac:dyDescent="0.3">
      <c r="A250" s="101" t="s">
        <v>654</v>
      </c>
      <c r="B250" s="90">
        <v>403</v>
      </c>
      <c r="C250" s="90"/>
      <c r="D250" s="90" t="s">
        <v>130</v>
      </c>
      <c r="E250" s="91">
        <v>46020</v>
      </c>
      <c r="F250" s="30">
        <v>28</v>
      </c>
      <c r="G250" s="91">
        <v>45857</v>
      </c>
      <c r="H250" s="91"/>
      <c r="I250" s="90">
        <v>1</v>
      </c>
      <c r="J250" s="92">
        <v>163</v>
      </c>
      <c r="K250" s="90" t="s">
        <v>231</v>
      </c>
      <c r="L250" s="90"/>
    </row>
    <row r="251" spans="1:12" ht="15" customHeight="1" outlineLevel="1" x14ac:dyDescent="0.3">
      <c r="A251" s="101" t="s">
        <v>654</v>
      </c>
      <c r="B251" s="90">
        <v>403</v>
      </c>
      <c r="C251" s="90"/>
      <c r="D251" s="90" t="s">
        <v>130</v>
      </c>
      <c r="E251" s="91">
        <v>46026</v>
      </c>
      <c r="F251" s="30">
        <v>28</v>
      </c>
      <c r="G251" s="91">
        <v>45857</v>
      </c>
      <c r="H251" s="91"/>
      <c r="I251" s="90">
        <v>1</v>
      </c>
      <c r="J251" s="92">
        <v>169</v>
      </c>
      <c r="K251" s="90" t="s">
        <v>232</v>
      </c>
      <c r="L251" s="90"/>
    </row>
    <row r="252" spans="1:12" ht="15" customHeight="1" outlineLevel="1" x14ac:dyDescent="0.3">
      <c r="A252" s="101" t="s">
        <v>654</v>
      </c>
      <c r="B252" s="90">
        <v>403</v>
      </c>
      <c r="C252" s="90"/>
      <c r="D252" s="90" t="s">
        <v>130</v>
      </c>
      <c r="E252" s="91">
        <v>46032</v>
      </c>
      <c r="F252" s="30">
        <v>26</v>
      </c>
      <c r="G252" s="91">
        <v>45857</v>
      </c>
      <c r="H252" s="91"/>
      <c r="I252" s="90">
        <v>1</v>
      </c>
      <c r="J252" s="92">
        <v>175</v>
      </c>
      <c r="K252" s="90" t="s">
        <v>232</v>
      </c>
      <c r="L252" s="90"/>
    </row>
    <row r="253" spans="1:12" ht="15" customHeight="1" outlineLevel="1" x14ac:dyDescent="0.3">
      <c r="A253" s="101" t="s">
        <v>654</v>
      </c>
      <c r="B253" s="90">
        <v>403</v>
      </c>
      <c r="C253" s="90"/>
      <c r="D253" s="90" t="s">
        <v>130</v>
      </c>
      <c r="E253" s="91">
        <v>46038</v>
      </c>
      <c r="F253" s="30">
        <v>24</v>
      </c>
      <c r="G253" s="91">
        <v>45857</v>
      </c>
      <c r="H253" s="91"/>
      <c r="I253" s="90">
        <v>1</v>
      </c>
      <c r="J253" s="92">
        <v>181</v>
      </c>
      <c r="K253" s="90" t="s">
        <v>232</v>
      </c>
      <c r="L253" s="90"/>
    </row>
    <row r="254" spans="1:12" ht="15" customHeight="1" outlineLevel="1" x14ac:dyDescent="0.3">
      <c r="A254" s="101" t="s">
        <v>654</v>
      </c>
      <c r="B254" s="90">
        <v>403</v>
      </c>
      <c r="C254" s="90"/>
      <c r="D254" s="90" t="s">
        <v>130</v>
      </c>
      <c r="E254" s="91">
        <v>46045</v>
      </c>
      <c r="F254" s="30">
        <v>25</v>
      </c>
      <c r="G254" s="91">
        <v>45857</v>
      </c>
      <c r="H254" s="91"/>
      <c r="I254" s="90">
        <v>1</v>
      </c>
      <c r="J254" s="92">
        <v>188</v>
      </c>
      <c r="K254" s="90" t="s">
        <v>232</v>
      </c>
      <c r="L254" s="90"/>
    </row>
    <row r="255" spans="1:12" ht="15" customHeight="1" outlineLevel="1" x14ac:dyDescent="0.3">
      <c r="A255" s="101" t="s">
        <v>654</v>
      </c>
      <c r="B255" s="90">
        <v>403</v>
      </c>
      <c r="C255" s="90"/>
      <c r="D255" s="90" t="s">
        <v>130</v>
      </c>
      <c r="E255" s="91">
        <v>46052</v>
      </c>
      <c r="F255" s="30">
        <v>26</v>
      </c>
      <c r="G255" s="91">
        <v>45857</v>
      </c>
      <c r="H255" s="91"/>
      <c r="I255" s="90">
        <v>1</v>
      </c>
      <c r="J255" s="92">
        <v>195</v>
      </c>
      <c r="K255" s="90" t="s">
        <v>232</v>
      </c>
      <c r="L255" s="90"/>
    </row>
    <row r="256" spans="1:12" ht="15" customHeight="1" outlineLevel="1" x14ac:dyDescent="0.3">
      <c r="A256" s="101" t="s">
        <v>654</v>
      </c>
      <c r="B256" s="90">
        <v>403</v>
      </c>
      <c r="C256" s="90"/>
      <c r="D256" s="90" t="s">
        <v>130</v>
      </c>
      <c r="E256" s="91">
        <v>46071</v>
      </c>
      <c r="F256" s="30">
        <v>22</v>
      </c>
      <c r="G256" s="91">
        <v>45857</v>
      </c>
      <c r="H256" s="91"/>
      <c r="I256" s="90">
        <v>1</v>
      </c>
      <c r="J256" s="92">
        <v>214</v>
      </c>
      <c r="K256" s="90" t="s">
        <v>233</v>
      </c>
      <c r="L256" s="90"/>
    </row>
    <row r="257" spans="1:12" ht="15" customHeight="1" outlineLevel="1" x14ac:dyDescent="0.3">
      <c r="A257" s="101" t="s">
        <v>654</v>
      </c>
      <c r="B257" s="90">
        <v>403</v>
      </c>
      <c r="C257" s="90"/>
      <c r="D257" s="90" t="s">
        <v>130</v>
      </c>
      <c r="E257" s="91">
        <v>46102</v>
      </c>
      <c r="F257" s="30">
        <v>20</v>
      </c>
      <c r="G257" s="91">
        <v>45857</v>
      </c>
      <c r="H257" s="91"/>
      <c r="I257" s="90">
        <v>1</v>
      </c>
      <c r="J257" s="92">
        <v>245</v>
      </c>
      <c r="K257" s="90" t="s">
        <v>234</v>
      </c>
      <c r="L257" s="90"/>
    </row>
    <row r="258" spans="1:12" ht="15" customHeight="1" outlineLevel="1" x14ac:dyDescent="0.3">
      <c r="A258" s="101" t="s">
        <v>654</v>
      </c>
      <c r="B258" s="90">
        <v>403</v>
      </c>
      <c r="C258" s="90"/>
      <c r="D258" s="90" t="s">
        <v>130</v>
      </c>
      <c r="E258" s="91">
        <v>46116</v>
      </c>
      <c r="F258" s="30">
        <v>17</v>
      </c>
      <c r="G258" s="91">
        <v>45857</v>
      </c>
      <c r="H258" s="91"/>
      <c r="I258" s="90">
        <v>1</v>
      </c>
      <c r="J258" s="92">
        <v>259</v>
      </c>
      <c r="K258" s="90" t="s">
        <v>235</v>
      </c>
      <c r="L258" s="90"/>
    </row>
    <row r="259" spans="1:12" ht="15" customHeight="1" outlineLevel="1" x14ac:dyDescent="0.3">
      <c r="A259" s="101" t="s">
        <v>654</v>
      </c>
      <c r="B259" s="90">
        <v>403</v>
      </c>
      <c r="C259" s="90"/>
      <c r="D259" s="90" t="s">
        <v>130</v>
      </c>
      <c r="E259" s="91">
        <v>46129</v>
      </c>
      <c r="F259" s="30">
        <v>22</v>
      </c>
      <c r="G259" s="91">
        <v>45857</v>
      </c>
      <c r="H259" s="91"/>
      <c r="I259" s="90">
        <v>1</v>
      </c>
      <c r="J259" s="92">
        <v>272</v>
      </c>
      <c r="K259" s="90" t="s">
        <v>235</v>
      </c>
      <c r="L259" s="90"/>
    </row>
    <row r="260" spans="1:12" ht="15" customHeight="1" outlineLevel="1" x14ac:dyDescent="0.3">
      <c r="A260" s="101" t="s">
        <v>654</v>
      </c>
      <c r="B260" s="90">
        <v>403</v>
      </c>
      <c r="C260" s="90"/>
      <c r="D260" s="90" t="s">
        <v>130</v>
      </c>
      <c r="E260" s="91">
        <v>46143</v>
      </c>
      <c r="F260" s="30">
        <v>17</v>
      </c>
      <c r="G260" s="91">
        <v>45857</v>
      </c>
      <c r="H260" s="91"/>
      <c r="I260" s="90">
        <v>1</v>
      </c>
      <c r="J260" s="92">
        <v>286</v>
      </c>
      <c r="K260" s="90" t="s">
        <v>236</v>
      </c>
      <c r="L260" s="90"/>
    </row>
    <row r="261" spans="1:12" ht="15" customHeight="1" outlineLevel="1" x14ac:dyDescent="0.3">
      <c r="A261" s="101" t="s">
        <v>654</v>
      </c>
      <c r="B261" s="90">
        <v>403</v>
      </c>
      <c r="C261" s="90"/>
      <c r="D261" s="90" t="s">
        <v>130</v>
      </c>
      <c r="E261" s="91">
        <v>46151</v>
      </c>
      <c r="F261" s="30">
        <v>21</v>
      </c>
      <c r="G261" s="91">
        <v>45857</v>
      </c>
      <c r="H261" s="91"/>
      <c r="I261" s="90">
        <v>1</v>
      </c>
      <c r="J261" s="92">
        <v>294</v>
      </c>
      <c r="K261" s="90" t="s">
        <v>236</v>
      </c>
      <c r="L261" s="90"/>
    </row>
    <row r="262" spans="1:12" ht="15" customHeight="1" outlineLevel="1" x14ac:dyDescent="0.3">
      <c r="A262" s="101" t="s">
        <v>654</v>
      </c>
      <c r="B262" s="90">
        <v>403</v>
      </c>
      <c r="C262" s="90"/>
      <c r="D262" s="90" t="s">
        <v>130</v>
      </c>
      <c r="E262" s="91">
        <v>46160</v>
      </c>
      <c r="F262" s="30">
        <v>25</v>
      </c>
      <c r="G262" s="91">
        <v>45857</v>
      </c>
      <c r="H262" s="91"/>
      <c r="I262" s="90">
        <v>1</v>
      </c>
      <c r="J262" s="92">
        <v>303</v>
      </c>
      <c r="K262" s="90" t="s">
        <v>236</v>
      </c>
      <c r="L262" s="90"/>
    </row>
    <row r="263" spans="1:12" ht="15" customHeight="1" outlineLevel="1" x14ac:dyDescent="0.3">
      <c r="A263" s="101" t="s">
        <v>654</v>
      </c>
      <c r="B263" s="90">
        <v>403</v>
      </c>
      <c r="C263" s="90"/>
      <c r="D263" s="90" t="s">
        <v>130</v>
      </c>
      <c r="E263" s="91">
        <v>46186</v>
      </c>
      <c r="F263" s="30">
        <v>14</v>
      </c>
      <c r="G263" s="91">
        <v>45857</v>
      </c>
      <c r="H263" s="91"/>
      <c r="I263" s="90">
        <v>1</v>
      </c>
      <c r="J263" s="92">
        <v>329</v>
      </c>
      <c r="K263" s="90" t="s">
        <v>237</v>
      </c>
      <c r="L263" s="90"/>
    </row>
    <row r="264" spans="1:12" ht="15" customHeight="1" x14ac:dyDescent="0.3">
      <c r="A264" s="101" t="s">
        <v>655</v>
      </c>
      <c r="B264" s="90">
        <v>404</v>
      </c>
      <c r="C264" s="90"/>
      <c r="D264" s="90" t="s">
        <v>130</v>
      </c>
      <c r="E264" s="91">
        <v>45115</v>
      </c>
      <c r="F264" s="30">
        <v>13.58</v>
      </c>
      <c r="G264" s="91">
        <v>46152</v>
      </c>
      <c r="H264" s="91"/>
      <c r="I264" s="90">
        <v>1</v>
      </c>
      <c r="J264" s="92">
        <v>-1037</v>
      </c>
      <c r="K264" s="90" t="s">
        <v>203</v>
      </c>
      <c r="L264" s="90"/>
    </row>
    <row r="265" spans="1:12" ht="15" customHeight="1" outlineLevel="1" x14ac:dyDescent="0.3">
      <c r="A265" s="101" t="s">
        <v>655</v>
      </c>
      <c r="B265" s="90">
        <v>404</v>
      </c>
      <c r="C265" s="90"/>
      <c r="D265" s="90" t="s">
        <v>130</v>
      </c>
      <c r="E265" s="91">
        <v>45131</v>
      </c>
      <c r="F265" s="30">
        <v>19.02</v>
      </c>
      <c r="G265" s="91">
        <v>46152</v>
      </c>
      <c r="H265" s="91"/>
      <c r="I265" s="90">
        <v>1</v>
      </c>
      <c r="J265" s="92">
        <v>-1021</v>
      </c>
      <c r="K265" s="90" t="s">
        <v>203</v>
      </c>
      <c r="L265" s="90"/>
    </row>
    <row r="266" spans="1:12" ht="15" customHeight="1" outlineLevel="1" x14ac:dyDescent="0.3">
      <c r="A266" s="101" t="s">
        <v>655</v>
      </c>
      <c r="B266" s="90">
        <v>404</v>
      </c>
      <c r="C266" s="90"/>
      <c r="D266" s="90" t="s">
        <v>130</v>
      </c>
      <c r="E266" s="91">
        <v>45147</v>
      </c>
      <c r="F266" s="30">
        <v>19.34</v>
      </c>
      <c r="G266" s="91">
        <v>46152</v>
      </c>
      <c r="H266" s="91"/>
      <c r="I266" s="90">
        <v>1</v>
      </c>
      <c r="J266" s="92">
        <v>-1005</v>
      </c>
      <c r="K266" s="90" t="s">
        <v>204</v>
      </c>
      <c r="L266" s="90"/>
    </row>
    <row r="267" spans="1:12" ht="15" customHeight="1" outlineLevel="1" x14ac:dyDescent="0.3">
      <c r="A267" s="101" t="s">
        <v>655</v>
      </c>
      <c r="B267" s="90">
        <v>404</v>
      </c>
      <c r="C267" s="90"/>
      <c r="D267" s="90" t="s">
        <v>130</v>
      </c>
      <c r="E267" s="91">
        <v>45171</v>
      </c>
      <c r="F267" s="30">
        <v>16.66</v>
      </c>
      <c r="G267" s="91">
        <v>46152</v>
      </c>
      <c r="H267" s="91"/>
      <c r="I267" s="90">
        <v>1</v>
      </c>
      <c r="J267" s="92">
        <v>-981</v>
      </c>
      <c r="K267" s="90" t="s">
        <v>205</v>
      </c>
      <c r="L267" s="90"/>
    </row>
    <row r="268" spans="1:12" ht="15" customHeight="1" outlineLevel="1" x14ac:dyDescent="0.3">
      <c r="A268" s="101" t="s">
        <v>655</v>
      </c>
      <c r="B268" s="90">
        <v>404</v>
      </c>
      <c r="C268" s="90"/>
      <c r="D268" s="90" t="s">
        <v>130</v>
      </c>
      <c r="E268" s="91">
        <v>45224</v>
      </c>
      <c r="F268" s="30">
        <v>16.04</v>
      </c>
      <c r="G268" s="91">
        <v>46152</v>
      </c>
      <c r="H268" s="91"/>
      <c r="I268" s="90">
        <v>1</v>
      </c>
      <c r="J268" s="92">
        <v>-928</v>
      </c>
      <c r="K268" s="90" t="s">
        <v>206</v>
      </c>
      <c r="L268" s="90"/>
    </row>
    <row r="269" spans="1:12" ht="15" customHeight="1" outlineLevel="1" x14ac:dyDescent="0.3">
      <c r="A269" s="101" t="s">
        <v>655</v>
      </c>
      <c r="B269" s="90">
        <v>404</v>
      </c>
      <c r="C269" s="90"/>
      <c r="D269" s="90" t="s">
        <v>130</v>
      </c>
      <c r="E269" s="91">
        <v>45257</v>
      </c>
      <c r="F269" s="30">
        <v>12.44</v>
      </c>
      <c r="G269" s="91">
        <v>46152</v>
      </c>
      <c r="H269" s="91"/>
      <c r="I269" s="90">
        <v>1</v>
      </c>
      <c r="J269" s="92">
        <v>-895</v>
      </c>
      <c r="K269" s="90" t="s">
        <v>207</v>
      </c>
      <c r="L269" s="90"/>
    </row>
    <row r="270" spans="1:12" ht="15" customHeight="1" outlineLevel="1" x14ac:dyDescent="0.3">
      <c r="A270" s="101" t="s">
        <v>655</v>
      </c>
      <c r="B270" s="90">
        <v>404</v>
      </c>
      <c r="C270" s="90"/>
      <c r="D270" s="90" t="s">
        <v>130</v>
      </c>
      <c r="E270" s="91">
        <v>45271</v>
      </c>
      <c r="F270" s="30">
        <v>12.55</v>
      </c>
      <c r="G270" s="91">
        <v>46152</v>
      </c>
      <c r="H270" s="91"/>
      <c r="I270" s="90">
        <v>1</v>
      </c>
      <c r="J270" s="92">
        <v>-881</v>
      </c>
      <c r="K270" s="90" t="s">
        <v>208</v>
      </c>
      <c r="L270" s="90"/>
    </row>
    <row r="271" spans="1:12" ht="15" customHeight="1" outlineLevel="1" x14ac:dyDescent="0.3">
      <c r="A271" s="101" t="s">
        <v>655</v>
      </c>
      <c r="B271" s="90">
        <v>404</v>
      </c>
      <c r="C271" s="90"/>
      <c r="D271" s="90" t="s">
        <v>130</v>
      </c>
      <c r="E271" s="91">
        <v>45310</v>
      </c>
      <c r="F271" s="30">
        <v>13.68</v>
      </c>
      <c r="G271" s="91">
        <v>46152</v>
      </c>
      <c r="H271" s="91"/>
      <c r="I271" s="90">
        <v>1</v>
      </c>
      <c r="J271" s="92">
        <v>-842</v>
      </c>
      <c r="K271" s="90" t="s">
        <v>209</v>
      </c>
      <c r="L271" s="90"/>
    </row>
    <row r="272" spans="1:12" ht="15" customHeight="1" outlineLevel="1" x14ac:dyDescent="0.3">
      <c r="A272" s="101" t="s">
        <v>655</v>
      </c>
      <c r="B272" s="90">
        <v>404</v>
      </c>
      <c r="C272" s="90"/>
      <c r="D272" s="90" t="s">
        <v>130</v>
      </c>
      <c r="E272" s="91">
        <v>45360</v>
      </c>
      <c r="F272" s="30">
        <v>16.77</v>
      </c>
      <c r="G272" s="91">
        <v>46152</v>
      </c>
      <c r="H272" s="91"/>
      <c r="I272" s="90">
        <v>1</v>
      </c>
      <c r="J272" s="92">
        <v>-792</v>
      </c>
      <c r="K272" s="90" t="s">
        <v>211</v>
      </c>
      <c r="L272" s="90"/>
    </row>
    <row r="273" spans="1:12" ht="15" customHeight="1" outlineLevel="1" x14ac:dyDescent="0.3">
      <c r="A273" s="101" t="s">
        <v>655</v>
      </c>
      <c r="B273" s="90">
        <v>404</v>
      </c>
      <c r="C273" s="90"/>
      <c r="D273" s="90" t="s">
        <v>130</v>
      </c>
      <c r="E273" s="91">
        <v>45402</v>
      </c>
      <c r="F273" s="30">
        <v>11.65</v>
      </c>
      <c r="G273" s="91">
        <v>46152</v>
      </c>
      <c r="H273" s="91"/>
      <c r="I273" s="90">
        <v>1</v>
      </c>
      <c r="J273" s="92">
        <v>-750</v>
      </c>
      <c r="K273" s="90" t="s">
        <v>212</v>
      </c>
      <c r="L273" s="90"/>
    </row>
    <row r="274" spans="1:12" ht="15" customHeight="1" outlineLevel="1" x14ac:dyDescent="0.3">
      <c r="A274" s="101" t="s">
        <v>655</v>
      </c>
      <c r="B274" s="90">
        <v>404</v>
      </c>
      <c r="C274" s="90"/>
      <c r="D274" s="90" t="s">
        <v>130</v>
      </c>
      <c r="E274" s="91">
        <v>45467</v>
      </c>
      <c r="F274" s="30">
        <v>11.4</v>
      </c>
      <c r="G274" s="91">
        <v>46152</v>
      </c>
      <c r="H274" s="91"/>
      <c r="I274" s="90">
        <v>1</v>
      </c>
      <c r="J274" s="92">
        <v>-685</v>
      </c>
      <c r="K274" s="90" t="s">
        <v>214</v>
      </c>
      <c r="L274" s="90"/>
    </row>
    <row r="275" spans="1:12" ht="15" customHeight="1" outlineLevel="1" x14ac:dyDescent="0.3">
      <c r="A275" s="101" t="s">
        <v>655</v>
      </c>
      <c r="B275" s="90">
        <v>404</v>
      </c>
      <c r="C275" s="90"/>
      <c r="D275" s="90" t="s">
        <v>130</v>
      </c>
      <c r="E275" s="91">
        <v>45646</v>
      </c>
      <c r="F275" s="30">
        <v>27.2</v>
      </c>
      <c r="G275" s="91">
        <v>46152</v>
      </c>
      <c r="H275" s="91"/>
      <c r="I275" s="90">
        <v>1</v>
      </c>
      <c r="J275" s="92">
        <v>-506</v>
      </c>
      <c r="K275" s="90" t="s">
        <v>220</v>
      </c>
      <c r="L275" s="90"/>
    </row>
    <row r="276" spans="1:12" ht="15" customHeight="1" outlineLevel="1" x14ac:dyDescent="0.3">
      <c r="A276" s="101" t="s">
        <v>655</v>
      </c>
      <c r="B276" s="90">
        <v>404</v>
      </c>
      <c r="C276" s="90"/>
      <c r="D276" s="90" t="s">
        <v>130</v>
      </c>
      <c r="E276" s="91">
        <v>45652</v>
      </c>
      <c r="F276" s="30">
        <v>36.200000000000003</v>
      </c>
      <c r="G276" s="91">
        <v>46152</v>
      </c>
      <c r="H276" s="91"/>
      <c r="I276" s="90">
        <v>1</v>
      </c>
      <c r="J276" s="92">
        <v>-500</v>
      </c>
      <c r="K276" s="90" t="s">
        <v>220</v>
      </c>
      <c r="L276" s="90"/>
    </row>
    <row r="277" spans="1:12" ht="15" customHeight="1" outlineLevel="1" x14ac:dyDescent="0.3">
      <c r="A277" s="101" t="s">
        <v>655</v>
      </c>
      <c r="B277" s="90">
        <v>404</v>
      </c>
      <c r="C277" s="90"/>
      <c r="D277" s="90" t="s">
        <v>130</v>
      </c>
      <c r="E277" s="91">
        <v>45675</v>
      </c>
      <c r="F277" s="30">
        <v>26</v>
      </c>
      <c r="G277" s="91">
        <v>46152</v>
      </c>
      <c r="H277" s="91"/>
      <c r="I277" s="90">
        <v>1</v>
      </c>
      <c r="J277" s="92">
        <v>-477</v>
      </c>
      <c r="K277" s="90" t="s">
        <v>221</v>
      </c>
      <c r="L277" s="90"/>
    </row>
    <row r="278" spans="1:12" ht="15" customHeight="1" outlineLevel="1" x14ac:dyDescent="0.3">
      <c r="A278" s="101" t="s">
        <v>655</v>
      </c>
      <c r="B278" s="90">
        <v>404</v>
      </c>
      <c r="C278" s="90"/>
      <c r="D278" s="90" t="s">
        <v>130</v>
      </c>
      <c r="E278" s="91">
        <v>45692</v>
      </c>
      <c r="F278" s="30">
        <v>27</v>
      </c>
      <c r="G278" s="91">
        <v>46152</v>
      </c>
      <c r="H278" s="91"/>
      <c r="I278" s="90">
        <v>1</v>
      </c>
      <c r="J278" s="92">
        <v>-460</v>
      </c>
      <c r="K278" s="90" t="s">
        <v>222</v>
      </c>
      <c r="L278" s="90"/>
    </row>
    <row r="279" spans="1:12" ht="15" customHeight="1" outlineLevel="1" x14ac:dyDescent="0.3">
      <c r="A279" s="101" t="s">
        <v>655</v>
      </c>
      <c r="B279" s="90">
        <v>404</v>
      </c>
      <c r="C279" s="90"/>
      <c r="D279" s="90" t="s">
        <v>130</v>
      </c>
      <c r="E279" s="91">
        <v>45724</v>
      </c>
      <c r="F279" s="30">
        <v>18.2</v>
      </c>
      <c r="G279" s="91">
        <v>46152</v>
      </c>
      <c r="H279" s="91"/>
      <c r="I279" s="90">
        <v>1</v>
      </c>
      <c r="J279" s="92">
        <v>-428</v>
      </c>
      <c r="K279" s="90" t="s">
        <v>223</v>
      </c>
      <c r="L279" s="90"/>
    </row>
    <row r="280" spans="1:12" ht="15" customHeight="1" outlineLevel="1" x14ac:dyDescent="0.3">
      <c r="A280" s="101" t="s">
        <v>655</v>
      </c>
      <c r="B280" s="90">
        <v>404</v>
      </c>
      <c r="C280" s="90"/>
      <c r="D280" s="90" t="s">
        <v>130</v>
      </c>
      <c r="E280" s="91">
        <v>45731</v>
      </c>
      <c r="F280" s="30">
        <v>21.2</v>
      </c>
      <c r="G280" s="91">
        <v>46152</v>
      </c>
      <c r="H280" s="91"/>
      <c r="I280" s="90">
        <v>1</v>
      </c>
      <c r="J280" s="92">
        <v>-421</v>
      </c>
      <c r="K280" s="90" t="s">
        <v>223</v>
      </c>
      <c r="L280" s="90"/>
    </row>
    <row r="281" spans="1:12" ht="15" customHeight="1" outlineLevel="1" x14ac:dyDescent="0.3">
      <c r="A281" s="101" t="s">
        <v>655</v>
      </c>
      <c r="B281" s="90">
        <v>404</v>
      </c>
      <c r="C281" s="90"/>
      <c r="D281" s="90" t="s">
        <v>130</v>
      </c>
      <c r="E281" s="91">
        <v>45766</v>
      </c>
      <c r="F281" s="30">
        <v>16</v>
      </c>
      <c r="G281" s="91">
        <v>46152</v>
      </c>
      <c r="H281" s="91"/>
      <c r="I281" s="90">
        <v>1</v>
      </c>
      <c r="J281" s="92">
        <v>-386</v>
      </c>
      <c r="K281" s="90" t="s">
        <v>224</v>
      </c>
      <c r="L281" s="90"/>
    </row>
    <row r="282" spans="1:12" ht="15" customHeight="1" outlineLevel="1" x14ac:dyDescent="0.3">
      <c r="A282" s="101" t="s">
        <v>655</v>
      </c>
      <c r="B282" s="90">
        <v>404</v>
      </c>
      <c r="C282" s="90"/>
      <c r="D282" s="90" t="s">
        <v>130</v>
      </c>
      <c r="E282" s="91">
        <v>45858</v>
      </c>
      <c r="F282" s="30">
        <v>11</v>
      </c>
      <c r="G282" s="91">
        <v>46152</v>
      </c>
      <c r="H282" s="91"/>
      <c r="I282" s="90">
        <v>1</v>
      </c>
      <c r="J282" s="92">
        <v>-294</v>
      </c>
      <c r="K282" s="90" t="s">
        <v>226</v>
      </c>
      <c r="L282" s="90"/>
    </row>
    <row r="283" spans="1:12" ht="15" customHeight="1" outlineLevel="1" x14ac:dyDescent="0.3">
      <c r="A283" s="101" t="s">
        <v>655</v>
      </c>
      <c r="B283" s="90">
        <v>404</v>
      </c>
      <c r="C283" s="90"/>
      <c r="D283" s="90" t="s">
        <v>130</v>
      </c>
      <c r="E283" s="91">
        <v>45882</v>
      </c>
      <c r="F283" s="30">
        <v>10</v>
      </c>
      <c r="G283" s="91">
        <v>46152</v>
      </c>
      <c r="H283" s="91"/>
      <c r="I283" s="90">
        <v>1</v>
      </c>
      <c r="J283" s="92">
        <v>-270</v>
      </c>
      <c r="K283" s="90" t="s">
        <v>227</v>
      </c>
      <c r="L283" s="90"/>
    </row>
    <row r="284" spans="1:12" ht="15" customHeight="1" outlineLevel="1" x14ac:dyDescent="0.3">
      <c r="A284" s="101" t="s">
        <v>655</v>
      </c>
      <c r="B284" s="90">
        <v>404</v>
      </c>
      <c r="C284" s="90"/>
      <c r="D284" s="90" t="s">
        <v>130</v>
      </c>
      <c r="E284" s="91">
        <v>45893</v>
      </c>
      <c r="F284" s="30">
        <v>9</v>
      </c>
      <c r="G284" s="91">
        <v>46152</v>
      </c>
      <c r="H284" s="91"/>
      <c r="I284" s="90">
        <v>1</v>
      </c>
      <c r="J284" s="92">
        <v>-259</v>
      </c>
      <c r="K284" s="90" t="s">
        <v>227</v>
      </c>
      <c r="L284" s="90"/>
    </row>
    <row r="285" spans="1:12" ht="15" customHeight="1" outlineLevel="1" x14ac:dyDescent="0.3">
      <c r="A285" s="101" t="s">
        <v>655</v>
      </c>
      <c r="B285" s="90">
        <v>404</v>
      </c>
      <c r="C285" s="90"/>
      <c r="D285" s="90" t="s">
        <v>130</v>
      </c>
      <c r="E285" s="91">
        <v>45922</v>
      </c>
      <c r="F285" s="30">
        <v>8</v>
      </c>
      <c r="G285" s="91">
        <v>46152</v>
      </c>
      <c r="H285" s="91"/>
      <c r="I285" s="90">
        <v>1</v>
      </c>
      <c r="J285" s="92">
        <v>-230</v>
      </c>
      <c r="K285" s="90" t="s">
        <v>228</v>
      </c>
      <c r="L285" s="90"/>
    </row>
    <row r="286" spans="1:12" ht="15" customHeight="1" outlineLevel="1" x14ac:dyDescent="0.3">
      <c r="A286" s="101" t="s">
        <v>655</v>
      </c>
      <c r="B286" s="90">
        <v>404</v>
      </c>
      <c r="C286" s="90"/>
      <c r="D286" s="90" t="s">
        <v>130</v>
      </c>
      <c r="E286" s="91">
        <v>45932</v>
      </c>
      <c r="F286" s="30">
        <v>11</v>
      </c>
      <c r="G286" s="91">
        <v>46152</v>
      </c>
      <c r="H286" s="91"/>
      <c r="I286" s="90">
        <v>1</v>
      </c>
      <c r="J286" s="92">
        <v>-220</v>
      </c>
      <c r="K286" s="90" t="s">
        <v>229</v>
      </c>
      <c r="L286" s="90"/>
    </row>
    <row r="287" spans="1:12" ht="15" customHeight="1" outlineLevel="1" x14ac:dyDescent="0.3">
      <c r="A287" s="101" t="s">
        <v>655</v>
      </c>
      <c r="B287" s="90">
        <v>404</v>
      </c>
      <c r="C287" s="90"/>
      <c r="D287" s="90" t="s">
        <v>130</v>
      </c>
      <c r="E287" s="91">
        <v>45947</v>
      </c>
      <c r="F287" s="30">
        <v>7.5</v>
      </c>
      <c r="G287" s="91">
        <v>46152</v>
      </c>
      <c r="H287" s="91"/>
      <c r="I287" s="90">
        <v>1</v>
      </c>
      <c r="J287" s="92">
        <v>-205</v>
      </c>
      <c r="K287" s="90" t="s">
        <v>229</v>
      </c>
      <c r="L287" s="90"/>
    </row>
    <row r="288" spans="1:12" ht="15" customHeight="1" outlineLevel="1" x14ac:dyDescent="0.3">
      <c r="A288" s="101" t="s">
        <v>655</v>
      </c>
      <c r="B288" s="90">
        <v>404</v>
      </c>
      <c r="C288" s="90"/>
      <c r="D288" s="90" t="s">
        <v>130</v>
      </c>
      <c r="E288" s="91">
        <v>46160</v>
      </c>
      <c r="F288" s="30">
        <v>11</v>
      </c>
      <c r="G288" s="91">
        <v>46152</v>
      </c>
      <c r="H288" s="91"/>
      <c r="I288" s="90">
        <v>1</v>
      </c>
      <c r="J288" s="92">
        <v>8</v>
      </c>
      <c r="K288" s="90" t="s">
        <v>236</v>
      </c>
      <c r="L288" s="90"/>
    </row>
    <row r="289" spans="1:12" ht="15" customHeight="1" outlineLevel="1" x14ac:dyDescent="0.3">
      <c r="A289" s="101" t="s">
        <v>655</v>
      </c>
      <c r="B289" s="90">
        <v>404</v>
      </c>
      <c r="C289" s="90"/>
      <c r="D289" s="90" t="s">
        <v>130</v>
      </c>
      <c r="E289" s="91">
        <v>46186</v>
      </c>
      <c r="F289" s="30">
        <v>14</v>
      </c>
      <c r="G289" s="91">
        <v>46152</v>
      </c>
      <c r="H289" s="91"/>
      <c r="I289" s="90">
        <v>1</v>
      </c>
      <c r="J289" s="92">
        <v>34</v>
      </c>
      <c r="K289" s="90" t="s">
        <v>237</v>
      </c>
      <c r="L289" s="90"/>
    </row>
    <row r="290" spans="1:12" ht="15" customHeight="1" x14ac:dyDescent="0.3">
      <c r="A290" s="101" t="s">
        <v>657</v>
      </c>
      <c r="B290" s="90" t="s">
        <v>731</v>
      </c>
      <c r="C290" s="90"/>
      <c r="D290" s="90" t="s">
        <v>130</v>
      </c>
      <c r="E290" s="91">
        <v>45257</v>
      </c>
      <c r="F290" s="30">
        <v>21.6</v>
      </c>
      <c r="G290" s="91">
        <v>46165</v>
      </c>
      <c r="H290" s="91"/>
      <c r="I290" s="90">
        <v>1</v>
      </c>
      <c r="J290" s="92">
        <v>-908</v>
      </c>
      <c r="K290" s="90" t="s">
        <v>207</v>
      </c>
      <c r="L290" s="90"/>
    </row>
    <row r="291" spans="1:12" ht="15" customHeight="1" outlineLevel="1" x14ac:dyDescent="0.3">
      <c r="A291" s="101" t="s">
        <v>657</v>
      </c>
      <c r="B291" s="90" t="s">
        <v>731</v>
      </c>
      <c r="C291" s="90"/>
      <c r="D291" s="90" t="s">
        <v>130</v>
      </c>
      <c r="E291" s="91">
        <v>45271</v>
      </c>
      <c r="F291" s="30">
        <v>21.39</v>
      </c>
      <c r="G291" s="91">
        <v>46165</v>
      </c>
      <c r="H291" s="91"/>
      <c r="I291" s="90">
        <v>1</v>
      </c>
      <c r="J291" s="92">
        <v>-894</v>
      </c>
      <c r="K291" s="90" t="s">
        <v>208</v>
      </c>
      <c r="L291" s="90"/>
    </row>
    <row r="292" spans="1:12" ht="15" customHeight="1" outlineLevel="1" x14ac:dyDescent="0.3">
      <c r="A292" s="101" t="s">
        <v>657</v>
      </c>
      <c r="B292" s="90" t="s">
        <v>731</v>
      </c>
      <c r="C292" s="90"/>
      <c r="D292" s="90" t="s">
        <v>130</v>
      </c>
      <c r="E292" s="91">
        <v>45310</v>
      </c>
      <c r="F292" s="30">
        <v>23.65</v>
      </c>
      <c r="G292" s="91">
        <v>46165</v>
      </c>
      <c r="H292" s="91"/>
      <c r="I292" s="90">
        <v>1</v>
      </c>
      <c r="J292" s="92">
        <v>-855</v>
      </c>
      <c r="K292" s="90" t="s">
        <v>209</v>
      </c>
      <c r="L292" s="90"/>
    </row>
    <row r="293" spans="1:12" ht="15" customHeight="1" outlineLevel="1" x14ac:dyDescent="0.3">
      <c r="A293" s="101" t="s">
        <v>657</v>
      </c>
      <c r="B293" s="90" t="s">
        <v>731</v>
      </c>
      <c r="C293" s="90"/>
      <c r="D293" s="90" t="s">
        <v>130</v>
      </c>
      <c r="E293" s="91">
        <v>45360</v>
      </c>
      <c r="F293" s="30">
        <v>25.82</v>
      </c>
      <c r="G293" s="91">
        <v>46165</v>
      </c>
      <c r="H293" s="91"/>
      <c r="I293" s="90">
        <v>1</v>
      </c>
      <c r="J293" s="92">
        <v>-805</v>
      </c>
      <c r="K293" s="90" t="s">
        <v>211</v>
      </c>
      <c r="L293" s="90"/>
    </row>
    <row r="294" spans="1:12" ht="15" customHeight="1" outlineLevel="1" x14ac:dyDescent="0.3">
      <c r="A294" s="101" t="s">
        <v>657</v>
      </c>
      <c r="B294" s="90" t="s">
        <v>731</v>
      </c>
      <c r="C294" s="90"/>
      <c r="D294" s="90" t="s">
        <v>130</v>
      </c>
      <c r="E294" s="91">
        <v>45402</v>
      </c>
      <c r="F294" s="30">
        <v>23.14</v>
      </c>
      <c r="G294" s="91">
        <v>46165</v>
      </c>
      <c r="H294" s="91"/>
      <c r="I294" s="90">
        <v>1</v>
      </c>
      <c r="J294" s="92">
        <v>-763</v>
      </c>
      <c r="K294" s="90" t="s">
        <v>212</v>
      </c>
      <c r="L294" s="90"/>
    </row>
    <row r="295" spans="1:12" ht="15" customHeight="1" outlineLevel="1" x14ac:dyDescent="0.3">
      <c r="A295" s="101" t="s">
        <v>657</v>
      </c>
      <c r="B295" s="90" t="s">
        <v>731</v>
      </c>
      <c r="C295" s="90"/>
      <c r="D295" s="90" t="s">
        <v>130</v>
      </c>
      <c r="E295" s="91">
        <v>45467</v>
      </c>
      <c r="F295" s="30">
        <v>29.5</v>
      </c>
      <c r="G295" s="91">
        <v>46165</v>
      </c>
      <c r="H295" s="91"/>
      <c r="I295" s="90">
        <v>1</v>
      </c>
      <c r="J295" s="92">
        <v>-698</v>
      </c>
      <c r="K295" s="90" t="s">
        <v>214</v>
      </c>
      <c r="L295" s="90"/>
    </row>
    <row r="296" spans="1:12" ht="15" customHeight="1" outlineLevel="1" x14ac:dyDescent="0.3">
      <c r="A296" s="101" t="s">
        <v>657</v>
      </c>
      <c r="B296" s="90" t="s">
        <v>731</v>
      </c>
      <c r="C296" s="90"/>
      <c r="D296" s="90" t="s">
        <v>130</v>
      </c>
      <c r="E296" s="91">
        <v>45646</v>
      </c>
      <c r="F296" s="30">
        <v>16.2</v>
      </c>
      <c r="G296" s="91">
        <v>46165</v>
      </c>
      <c r="H296" s="91"/>
      <c r="I296" s="90">
        <v>1</v>
      </c>
      <c r="J296" s="92">
        <v>-519</v>
      </c>
      <c r="K296" s="90" t="s">
        <v>220</v>
      </c>
      <c r="L296" s="90"/>
    </row>
    <row r="297" spans="1:12" ht="15" customHeight="1" outlineLevel="1" x14ac:dyDescent="0.3">
      <c r="A297" s="101" t="s">
        <v>657</v>
      </c>
      <c r="B297" s="90" t="s">
        <v>731</v>
      </c>
      <c r="C297" s="90"/>
      <c r="D297" s="90" t="s">
        <v>130</v>
      </c>
      <c r="E297" s="91">
        <v>45652</v>
      </c>
      <c r="F297" s="30">
        <v>17</v>
      </c>
      <c r="G297" s="91">
        <v>46165</v>
      </c>
      <c r="H297" s="91"/>
      <c r="I297" s="90">
        <v>1</v>
      </c>
      <c r="J297" s="92">
        <v>-513</v>
      </c>
      <c r="K297" s="90" t="s">
        <v>220</v>
      </c>
      <c r="L297" s="90"/>
    </row>
    <row r="298" spans="1:12" ht="15" customHeight="1" outlineLevel="1" x14ac:dyDescent="0.3">
      <c r="A298" s="101" t="s">
        <v>657</v>
      </c>
      <c r="B298" s="90" t="s">
        <v>731</v>
      </c>
      <c r="C298" s="90"/>
      <c r="D298" s="90" t="s">
        <v>130</v>
      </c>
      <c r="E298" s="91">
        <v>45675</v>
      </c>
      <c r="F298" s="30">
        <v>13</v>
      </c>
      <c r="G298" s="91">
        <v>46165</v>
      </c>
      <c r="H298" s="91"/>
      <c r="I298" s="90">
        <v>1</v>
      </c>
      <c r="J298" s="92">
        <v>-490</v>
      </c>
      <c r="K298" s="90" t="s">
        <v>221</v>
      </c>
      <c r="L298" s="90"/>
    </row>
    <row r="299" spans="1:12" ht="15" customHeight="1" outlineLevel="1" x14ac:dyDescent="0.3">
      <c r="A299" s="101" t="s">
        <v>657</v>
      </c>
      <c r="B299" s="90" t="s">
        <v>731</v>
      </c>
      <c r="C299" s="90"/>
      <c r="D299" s="90" t="s">
        <v>130</v>
      </c>
      <c r="E299" s="91">
        <v>45724</v>
      </c>
      <c r="F299" s="30">
        <v>25</v>
      </c>
      <c r="G299" s="91">
        <v>46165</v>
      </c>
      <c r="H299" s="91"/>
      <c r="I299" s="90">
        <v>1</v>
      </c>
      <c r="J299" s="92">
        <v>-441</v>
      </c>
      <c r="K299" s="90" t="s">
        <v>223</v>
      </c>
      <c r="L299" s="90"/>
    </row>
    <row r="300" spans="1:12" ht="15" customHeight="1" outlineLevel="1" x14ac:dyDescent="0.3">
      <c r="A300" s="101" t="s">
        <v>657</v>
      </c>
      <c r="B300" s="90" t="s">
        <v>731</v>
      </c>
      <c r="C300" s="90"/>
      <c r="D300" s="90" t="s">
        <v>130</v>
      </c>
      <c r="E300" s="91">
        <v>45731</v>
      </c>
      <c r="F300" s="30">
        <v>31</v>
      </c>
      <c r="G300" s="91">
        <v>46165</v>
      </c>
      <c r="H300" s="91"/>
      <c r="I300" s="90">
        <v>1</v>
      </c>
      <c r="J300" s="92">
        <v>-434</v>
      </c>
      <c r="K300" s="90" t="s">
        <v>223</v>
      </c>
      <c r="L300" s="90"/>
    </row>
    <row r="301" spans="1:12" ht="15" customHeight="1" outlineLevel="1" x14ac:dyDescent="0.3">
      <c r="A301" s="101" t="s">
        <v>657</v>
      </c>
      <c r="B301" s="90" t="s">
        <v>731</v>
      </c>
      <c r="C301" s="90"/>
      <c r="D301" s="90" t="s">
        <v>130</v>
      </c>
      <c r="E301" s="91">
        <v>45766</v>
      </c>
      <c r="F301" s="30">
        <v>34</v>
      </c>
      <c r="G301" s="91">
        <v>46165</v>
      </c>
      <c r="H301" s="91"/>
      <c r="I301" s="90">
        <v>1</v>
      </c>
      <c r="J301" s="92">
        <v>-399</v>
      </c>
      <c r="K301" s="90" t="s">
        <v>224</v>
      </c>
      <c r="L301" s="90"/>
    </row>
    <row r="302" spans="1:12" ht="15" customHeight="1" outlineLevel="1" x14ac:dyDescent="0.3">
      <c r="A302" s="101" t="s">
        <v>657</v>
      </c>
      <c r="B302" s="90" t="s">
        <v>731</v>
      </c>
      <c r="C302" s="90"/>
      <c r="D302" s="90" t="s">
        <v>130</v>
      </c>
      <c r="E302" s="91">
        <v>45858</v>
      </c>
      <c r="F302" s="30">
        <v>29</v>
      </c>
      <c r="G302" s="91">
        <v>46165</v>
      </c>
      <c r="H302" s="91"/>
      <c r="I302" s="90">
        <v>1</v>
      </c>
      <c r="J302" s="92">
        <v>-307</v>
      </c>
      <c r="K302" s="90" t="s">
        <v>226</v>
      </c>
      <c r="L302" s="90"/>
    </row>
    <row r="303" spans="1:12" ht="15" customHeight="1" outlineLevel="1" x14ac:dyDescent="0.3">
      <c r="A303" s="101" t="s">
        <v>657</v>
      </c>
      <c r="B303" s="90" t="s">
        <v>731</v>
      </c>
      <c r="C303" s="90"/>
      <c r="D303" s="90" t="s">
        <v>130</v>
      </c>
      <c r="E303" s="91">
        <v>45882</v>
      </c>
      <c r="F303" s="30">
        <v>21</v>
      </c>
      <c r="G303" s="91">
        <v>46165</v>
      </c>
      <c r="H303" s="91"/>
      <c r="I303" s="90">
        <v>1</v>
      </c>
      <c r="J303" s="92">
        <v>-283</v>
      </c>
      <c r="K303" s="90" t="s">
        <v>227</v>
      </c>
      <c r="L303" s="90"/>
    </row>
    <row r="304" spans="1:12" ht="15" customHeight="1" outlineLevel="1" x14ac:dyDescent="0.3">
      <c r="A304" s="101" t="s">
        <v>657</v>
      </c>
      <c r="B304" s="90" t="s">
        <v>731</v>
      </c>
      <c r="C304" s="90"/>
      <c r="D304" s="90" t="s">
        <v>130</v>
      </c>
      <c r="E304" s="91">
        <v>45893</v>
      </c>
      <c r="F304" s="30">
        <v>27</v>
      </c>
      <c r="G304" s="91">
        <v>46165</v>
      </c>
      <c r="H304" s="91"/>
      <c r="I304" s="90">
        <v>1</v>
      </c>
      <c r="J304" s="92">
        <v>-272</v>
      </c>
      <c r="K304" s="90" t="s">
        <v>227</v>
      </c>
      <c r="L304" s="90"/>
    </row>
    <row r="305" spans="1:12" ht="15" customHeight="1" outlineLevel="1" x14ac:dyDescent="0.3">
      <c r="A305" s="101" t="s">
        <v>657</v>
      </c>
      <c r="B305" s="90" t="s">
        <v>731</v>
      </c>
      <c r="C305" s="90"/>
      <c r="D305" s="90" t="s">
        <v>130</v>
      </c>
      <c r="E305" s="91">
        <v>45922</v>
      </c>
      <c r="F305" s="30">
        <v>22</v>
      </c>
      <c r="G305" s="91">
        <v>46165</v>
      </c>
      <c r="H305" s="91"/>
      <c r="I305" s="90">
        <v>1</v>
      </c>
      <c r="J305" s="92">
        <v>-243</v>
      </c>
      <c r="K305" s="90" t="s">
        <v>228</v>
      </c>
      <c r="L305" s="90"/>
    </row>
    <row r="306" spans="1:12" ht="15" customHeight="1" outlineLevel="1" x14ac:dyDescent="0.3">
      <c r="A306" s="101" t="s">
        <v>657</v>
      </c>
      <c r="B306" s="90" t="s">
        <v>731</v>
      </c>
      <c r="C306" s="90"/>
      <c r="D306" s="90" t="s">
        <v>130</v>
      </c>
      <c r="E306" s="91">
        <v>45932</v>
      </c>
      <c r="F306" s="30">
        <v>20</v>
      </c>
      <c r="G306" s="91">
        <v>46165</v>
      </c>
      <c r="H306" s="91"/>
      <c r="I306" s="90">
        <v>1</v>
      </c>
      <c r="J306" s="92">
        <v>-233</v>
      </c>
      <c r="K306" s="90" t="s">
        <v>229</v>
      </c>
      <c r="L306" s="90"/>
    </row>
    <row r="307" spans="1:12" ht="15" customHeight="1" outlineLevel="1" x14ac:dyDescent="0.3">
      <c r="A307" s="101" t="s">
        <v>657</v>
      </c>
      <c r="B307" s="90" t="s">
        <v>731</v>
      </c>
      <c r="C307" s="90"/>
      <c r="D307" s="90" t="s">
        <v>130</v>
      </c>
      <c r="E307" s="91">
        <v>45947</v>
      </c>
      <c r="F307" s="30">
        <v>16</v>
      </c>
      <c r="G307" s="91">
        <v>46165</v>
      </c>
      <c r="H307" s="91"/>
      <c r="I307" s="90">
        <v>1</v>
      </c>
      <c r="J307" s="92">
        <v>-218</v>
      </c>
      <c r="K307" s="90" t="s">
        <v>229</v>
      </c>
      <c r="L307" s="90"/>
    </row>
    <row r="308" spans="1:12" ht="15" customHeight="1" outlineLevel="1" x14ac:dyDescent="0.3">
      <c r="A308" s="101" t="s">
        <v>657</v>
      </c>
      <c r="B308" s="90" t="s">
        <v>731</v>
      </c>
      <c r="C308" s="90"/>
      <c r="D308" s="90" t="s">
        <v>130</v>
      </c>
      <c r="E308" s="91">
        <v>45979</v>
      </c>
      <c r="F308" s="30">
        <v>19</v>
      </c>
      <c r="G308" s="91">
        <v>46165</v>
      </c>
      <c r="H308" s="91"/>
      <c r="I308" s="90">
        <v>1</v>
      </c>
      <c r="J308" s="92">
        <v>-186</v>
      </c>
      <c r="K308" s="90" t="s">
        <v>230</v>
      </c>
      <c r="L308" s="90"/>
    </row>
    <row r="309" spans="1:12" ht="15" customHeight="1" outlineLevel="1" x14ac:dyDescent="0.3">
      <c r="A309" s="101" t="s">
        <v>657</v>
      </c>
      <c r="B309" s="90" t="s">
        <v>731</v>
      </c>
      <c r="C309" s="90"/>
      <c r="D309" s="90" t="s">
        <v>130</v>
      </c>
      <c r="E309" s="91">
        <v>45985</v>
      </c>
      <c r="F309" s="30">
        <v>14</v>
      </c>
      <c r="G309" s="91">
        <v>46165</v>
      </c>
      <c r="H309" s="91"/>
      <c r="I309" s="90">
        <v>1</v>
      </c>
      <c r="J309" s="92">
        <v>-180</v>
      </c>
      <c r="K309" s="90" t="s">
        <v>230</v>
      </c>
      <c r="L309" s="90"/>
    </row>
    <row r="310" spans="1:12" ht="15" customHeight="1" outlineLevel="1" x14ac:dyDescent="0.3">
      <c r="A310" s="101" t="s">
        <v>657</v>
      </c>
      <c r="B310" s="90" t="s">
        <v>731</v>
      </c>
      <c r="C310" s="90"/>
      <c r="D310" s="90" t="s">
        <v>130</v>
      </c>
      <c r="E310" s="91">
        <v>45990</v>
      </c>
      <c r="F310" s="30">
        <v>13</v>
      </c>
      <c r="G310" s="91">
        <v>46165</v>
      </c>
      <c r="H310" s="91"/>
      <c r="I310" s="90">
        <v>1</v>
      </c>
      <c r="J310" s="92">
        <v>-175</v>
      </c>
      <c r="K310" s="90" t="s">
        <v>230</v>
      </c>
      <c r="L310" s="90"/>
    </row>
    <row r="311" spans="1:12" ht="15" customHeight="1" outlineLevel="1" x14ac:dyDescent="0.3">
      <c r="A311" s="101" t="s">
        <v>657</v>
      </c>
      <c r="B311" s="90" t="s">
        <v>731</v>
      </c>
      <c r="C311" s="90"/>
      <c r="D311" s="90" t="s">
        <v>130</v>
      </c>
      <c r="E311" s="91">
        <v>46004</v>
      </c>
      <c r="F311" s="30">
        <v>18</v>
      </c>
      <c r="G311" s="91">
        <v>46165</v>
      </c>
      <c r="H311" s="91"/>
      <c r="I311" s="90">
        <v>1</v>
      </c>
      <c r="J311" s="92">
        <v>-161</v>
      </c>
      <c r="K311" s="90" t="s">
        <v>231</v>
      </c>
      <c r="L311" s="90"/>
    </row>
    <row r="312" spans="1:12" ht="15" customHeight="1" outlineLevel="1" x14ac:dyDescent="0.3">
      <c r="A312" s="101" t="s">
        <v>657</v>
      </c>
      <c r="B312" s="90" t="s">
        <v>731</v>
      </c>
      <c r="C312" s="90"/>
      <c r="D312" s="90" t="s">
        <v>130</v>
      </c>
      <c r="E312" s="91">
        <v>46012</v>
      </c>
      <c r="F312" s="30">
        <v>21.4</v>
      </c>
      <c r="G312" s="91">
        <v>46165</v>
      </c>
      <c r="H312" s="91"/>
      <c r="I312" s="90">
        <v>1</v>
      </c>
      <c r="J312" s="92">
        <v>-153</v>
      </c>
      <c r="K312" s="90" t="s">
        <v>231</v>
      </c>
      <c r="L312" s="90"/>
    </row>
    <row r="313" spans="1:12" ht="15" customHeight="1" outlineLevel="1" x14ac:dyDescent="0.3">
      <c r="A313" s="101" t="s">
        <v>657</v>
      </c>
      <c r="B313" s="90" t="s">
        <v>731</v>
      </c>
      <c r="C313" s="90"/>
      <c r="D313" s="90" t="s">
        <v>130</v>
      </c>
      <c r="E313" s="91">
        <v>46020</v>
      </c>
      <c r="F313" s="30">
        <v>15</v>
      </c>
      <c r="G313" s="91">
        <v>46165</v>
      </c>
      <c r="H313" s="91"/>
      <c r="I313" s="90">
        <v>1</v>
      </c>
      <c r="J313" s="92">
        <v>-145</v>
      </c>
      <c r="K313" s="90" t="s">
        <v>231</v>
      </c>
      <c r="L313" s="90"/>
    </row>
    <row r="314" spans="1:12" ht="15" customHeight="1" outlineLevel="1" x14ac:dyDescent="0.3">
      <c r="A314" s="101" t="s">
        <v>657</v>
      </c>
      <c r="B314" s="90" t="s">
        <v>731</v>
      </c>
      <c r="C314" s="90"/>
      <c r="D314" s="90" t="s">
        <v>130</v>
      </c>
      <c r="E314" s="91">
        <v>46026</v>
      </c>
      <c r="F314" s="30">
        <v>17</v>
      </c>
      <c r="G314" s="91">
        <v>46165</v>
      </c>
      <c r="H314" s="91"/>
      <c r="I314" s="90">
        <v>1</v>
      </c>
      <c r="J314" s="92">
        <v>-139</v>
      </c>
      <c r="K314" s="90" t="s">
        <v>232</v>
      </c>
      <c r="L314" s="90"/>
    </row>
    <row r="315" spans="1:12" ht="15" customHeight="1" outlineLevel="1" x14ac:dyDescent="0.3">
      <c r="A315" s="101" t="s">
        <v>657</v>
      </c>
      <c r="B315" s="90" t="s">
        <v>731</v>
      </c>
      <c r="C315" s="90"/>
      <c r="D315" s="90" t="s">
        <v>130</v>
      </c>
      <c r="E315" s="91">
        <v>46032</v>
      </c>
      <c r="F315" s="30">
        <v>12</v>
      </c>
      <c r="G315" s="91">
        <v>46165</v>
      </c>
      <c r="H315" s="91"/>
      <c r="I315" s="90">
        <v>1</v>
      </c>
      <c r="J315" s="92">
        <v>-133</v>
      </c>
      <c r="K315" s="90" t="s">
        <v>232</v>
      </c>
      <c r="L315" s="90"/>
    </row>
    <row r="316" spans="1:12" ht="15" customHeight="1" outlineLevel="1" x14ac:dyDescent="0.3">
      <c r="A316" s="101" t="s">
        <v>657</v>
      </c>
      <c r="B316" s="90" t="s">
        <v>731</v>
      </c>
      <c r="C316" s="90"/>
      <c r="D316" s="90" t="s">
        <v>130</v>
      </c>
      <c r="E316" s="91">
        <v>46038</v>
      </c>
      <c r="F316" s="30">
        <v>13</v>
      </c>
      <c r="G316" s="91">
        <v>46165</v>
      </c>
      <c r="H316" s="91"/>
      <c r="I316" s="90">
        <v>1</v>
      </c>
      <c r="J316" s="92">
        <v>-127</v>
      </c>
      <c r="K316" s="90" t="s">
        <v>232</v>
      </c>
      <c r="L316" s="90"/>
    </row>
    <row r="317" spans="1:12" ht="15" customHeight="1" outlineLevel="1" x14ac:dyDescent="0.3">
      <c r="A317" s="101" t="s">
        <v>657</v>
      </c>
      <c r="B317" s="90" t="s">
        <v>731</v>
      </c>
      <c r="C317" s="90"/>
      <c r="D317" s="90" t="s">
        <v>130</v>
      </c>
      <c r="E317" s="91">
        <v>46045</v>
      </c>
      <c r="F317" s="30">
        <v>10</v>
      </c>
      <c r="G317" s="91">
        <v>46165</v>
      </c>
      <c r="H317" s="91"/>
      <c r="I317" s="90">
        <v>1</v>
      </c>
      <c r="J317" s="92">
        <v>-120</v>
      </c>
      <c r="K317" s="90" t="s">
        <v>232</v>
      </c>
      <c r="L317" s="90"/>
    </row>
    <row r="318" spans="1:12" ht="15" customHeight="1" outlineLevel="1" x14ac:dyDescent="0.3">
      <c r="A318" s="101" t="s">
        <v>657</v>
      </c>
      <c r="B318" s="90" t="s">
        <v>731</v>
      </c>
      <c r="C318" s="90"/>
      <c r="D318" s="90" t="s">
        <v>130</v>
      </c>
      <c r="E318" s="91">
        <v>46052</v>
      </c>
      <c r="F318" s="30">
        <v>13</v>
      </c>
      <c r="G318" s="91">
        <v>46165</v>
      </c>
      <c r="H318" s="91"/>
      <c r="I318" s="90">
        <v>1</v>
      </c>
      <c r="J318" s="92">
        <v>-113</v>
      </c>
      <c r="K318" s="90" t="s">
        <v>232</v>
      </c>
      <c r="L318" s="90"/>
    </row>
    <row r="319" spans="1:12" ht="15" customHeight="1" outlineLevel="1" x14ac:dyDescent="0.3">
      <c r="A319" s="101" t="s">
        <v>657</v>
      </c>
      <c r="B319" s="90" t="s">
        <v>731</v>
      </c>
      <c r="C319" s="90"/>
      <c r="D319" s="90" t="s">
        <v>130</v>
      </c>
      <c r="E319" s="91">
        <v>46071</v>
      </c>
      <c r="F319" s="30">
        <v>11</v>
      </c>
      <c r="G319" s="91">
        <v>46165</v>
      </c>
      <c r="H319" s="91"/>
      <c r="I319" s="90">
        <v>1</v>
      </c>
      <c r="J319" s="92">
        <v>-94</v>
      </c>
      <c r="K319" s="90" t="s">
        <v>233</v>
      </c>
      <c r="L319" s="90"/>
    </row>
    <row r="320" spans="1:12" ht="15" customHeight="1" outlineLevel="1" x14ac:dyDescent="0.3">
      <c r="A320" s="101" t="s">
        <v>657</v>
      </c>
      <c r="B320" s="90" t="s">
        <v>731</v>
      </c>
      <c r="C320" s="90"/>
      <c r="D320" s="90" t="s">
        <v>130</v>
      </c>
      <c r="E320" s="91">
        <v>46102</v>
      </c>
      <c r="F320" s="30">
        <v>9</v>
      </c>
      <c r="G320" s="91">
        <v>46165</v>
      </c>
      <c r="H320" s="91"/>
      <c r="I320" s="90">
        <v>1</v>
      </c>
      <c r="J320" s="92">
        <v>-63</v>
      </c>
      <c r="K320" s="90" t="s">
        <v>234</v>
      </c>
      <c r="L320" s="90"/>
    </row>
    <row r="321" spans="1:12" ht="15" customHeight="1" outlineLevel="1" x14ac:dyDescent="0.3">
      <c r="A321" s="101" t="s">
        <v>657</v>
      </c>
      <c r="B321" s="90" t="s">
        <v>731</v>
      </c>
      <c r="C321" s="90"/>
      <c r="D321" s="90" t="s">
        <v>130</v>
      </c>
      <c r="E321" s="91">
        <v>46186</v>
      </c>
      <c r="F321" s="30">
        <v>27</v>
      </c>
      <c r="G321" s="91">
        <v>46165</v>
      </c>
      <c r="H321" s="91"/>
      <c r="I321" s="90">
        <v>1</v>
      </c>
      <c r="J321" s="92">
        <v>21</v>
      </c>
      <c r="K321" s="90" t="s">
        <v>237</v>
      </c>
      <c r="L321" s="90"/>
    </row>
    <row r="322" spans="1:12" ht="15" customHeight="1" x14ac:dyDescent="0.3">
      <c r="A322" s="101" t="s">
        <v>659</v>
      </c>
      <c r="B322" s="90" t="s">
        <v>732</v>
      </c>
      <c r="C322" s="90"/>
      <c r="D322" s="90" t="s">
        <v>130</v>
      </c>
      <c r="E322" s="91">
        <v>45094</v>
      </c>
      <c r="F322" s="30">
        <v>12.34</v>
      </c>
      <c r="G322" s="91">
        <v>45461</v>
      </c>
      <c r="H322" s="91">
        <v>46019</v>
      </c>
      <c r="I322" s="90">
        <v>0</v>
      </c>
      <c r="J322" s="92">
        <v>-367</v>
      </c>
      <c r="K322" s="90" t="s">
        <v>202</v>
      </c>
      <c r="L322" s="90"/>
    </row>
    <row r="323" spans="1:12" ht="15" customHeight="1" outlineLevel="1" x14ac:dyDescent="0.3">
      <c r="A323" s="101" t="s">
        <v>659</v>
      </c>
      <c r="B323" s="90" t="s">
        <v>732</v>
      </c>
      <c r="C323" s="90"/>
      <c r="D323" s="90" t="s">
        <v>130</v>
      </c>
      <c r="E323" s="91">
        <v>45099</v>
      </c>
      <c r="F323" s="30">
        <v>20.77</v>
      </c>
      <c r="G323" s="91">
        <v>45461</v>
      </c>
      <c r="H323" s="91">
        <v>46019</v>
      </c>
      <c r="I323" s="90">
        <v>0</v>
      </c>
      <c r="J323" s="92">
        <v>-362</v>
      </c>
      <c r="K323" s="90" t="s">
        <v>202</v>
      </c>
      <c r="L323" s="90"/>
    </row>
    <row r="324" spans="1:12" ht="15" customHeight="1" outlineLevel="1" x14ac:dyDescent="0.3">
      <c r="A324" s="101" t="s">
        <v>659</v>
      </c>
      <c r="B324" s="90" t="s">
        <v>732</v>
      </c>
      <c r="C324" s="90"/>
      <c r="D324" s="90" t="s">
        <v>130</v>
      </c>
      <c r="E324" s="91">
        <v>45115</v>
      </c>
      <c r="F324" s="30">
        <v>21.91</v>
      </c>
      <c r="G324" s="91">
        <v>45461</v>
      </c>
      <c r="H324" s="91">
        <v>46019</v>
      </c>
      <c r="I324" s="90">
        <v>0</v>
      </c>
      <c r="J324" s="92">
        <v>-346</v>
      </c>
      <c r="K324" s="90" t="s">
        <v>203</v>
      </c>
      <c r="L324" s="90"/>
    </row>
    <row r="325" spans="1:12" ht="15" customHeight="1" outlineLevel="1" x14ac:dyDescent="0.3">
      <c r="A325" s="101" t="s">
        <v>659</v>
      </c>
      <c r="B325" s="90" t="s">
        <v>732</v>
      </c>
      <c r="C325" s="90"/>
      <c r="D325" s="90" t="s">
        <v>130</v>
      </c>
      <c r="E325" s="91">
        <v>45131</v>
      </c>
      <c r="F325" s="30">
        <v>20.37</v>
      </c>
      <c r="G325" s="91">
        <v>45461</v>
      </c>
      <c r="H325" s="91">
        <v>46019</v>
      </c>
      <c r="I325" s="90">
        <v>0</v>
      </c>
      <c r="J325" s="92">
        <v>-330</v>
      </c>
      <c r="K325" s="90" t="s">
        <v>203</v>
      </c>
      <c r="L325" s="90"/>
    </row>
    <row r="326" spans="1:12" ht="15" customHeight="1" outlineLevel="1" x14ac:dyDescent="0.3">
      <c r="A326" s="101" t="s">
        <v>659</v>
      </c>
      <c r="B326" s="90" t="s">
        <v>732</v>
      </c>
      <c r="C326" s="90"/>
      <c r="D326" s="90" t="s">
        <v>130</v>
      </c>
      <c r="E326" s="91">
        <v>45147</v>
      </c>
      <c r="F326" s="30">
        <v>26.74</v>
      </c>
      <c r="G326" s="91">
        <v>45461</v>
      </c>
      <c r="H326" s="91">
        <v>46019</v>
      </c>
      <c r="I326" s="90">
        <v>0</v>
      </c>
      <c r="J326" s="92">
        <v>-314</v>
      </c>
      <c r="K326" s="90" t="s">
        <v>204</v>
      </c>
      <c r="L326" s="90"/>
    </row>
    <row r="327" spans="1:12" ht="15" customHeight="1" outlineLevel="1" x14ac:dyDescent="0.3">
      <c r="A327" s="101" t="s">
        <v>659</v>
      </c>
      <c r="B327" s="90" t="s">
        <v>732</v>
      </c>
      <c r="C327" s="90"/>
      <c r="D327" s="90" t="s">
        <v>130</v>
      </c>
      <c r="E327" s="91">
        <v>45171</v>
      </c>
      <c r="F327" s="30">
        <v>26.74</v>
      </c>
      <c r="G327" s="91">
        <v>45461</v>
      </c>
      <c r="H327" s="91">
        <v>46019</v>
      </c>
      <c r="I327" s="90">
        <v>0</v>
      </c>
      <c r="J327" s="92">
        <v>-290</v>
      </c>
      <c r="K327" s="90" t="s">
        <v>205</v>
      </c>
      <c r="L327" s="90"/>
    </row>
    <row r="328" spans="1:12" ht="15" customHeight="1" outlineLevel="1" x14ac:dyDescent="0.3">
      <c r="A328" s="101" t="s">
        <v>659</v>
      </c>
      <c r="B328" s="90" t="s">
        <v>732</v>
      </c>
      <c r="C328" s="90"/>
      <c r="D328" s="90" t="s">
        <v>130</v>
      </c>
      <c r="E328" s="91">
        <v>45224</v>
      </c>
      <c r="F328" s="30">
        <v>24.68</v>
      </c>
      <c r="G328" s="91">
        <v>45461</v>
      </c>
      <c r="H328" s="91">
        <v>46019</v>
      </c>
      <c r="I328" s="90">
        <v>0</v>
      </c>
      <c r="J328" s="92">
        <v>-237</v>
      </c>
      <c r="K328" s="90" t="s">
        <v>206</v>
      </c>
      <c r="L328" s="90"/>
    </row>
    <row r="329" spans="1:12" ht="15" customHeight="1" outlineLevel="1" x14ac:dyDescent="0.3">
      <c r="A329" s="101" t="s">
        <v>659</v>
      </c>
      <c r="B329" s="90" t="s">
        <v>732</v>
      </c>
      <c r="C329" s="90"/>
      <c r="D329" s="90" t="s">
        <v>130</v>
      </c>
      <c r="E329" s="91">
        <v>45257</v>
      </c>
      <c r="F329" s="30">
        <v>19.55</v>
      </c>
      <c r="G329" s="91">
        <v>45461</v>
      </c>
      <c r="H329" s="91">
        <v>46019</v>
      </c>
      <c r="I329" s="90">
        <v>0</v>
      </c>
      <c r="J329" s="92">
        <v>-204</v>
      </c>
      <c r="K329" s="90" t="s">
        <v>207</v>
      </c>
      <c r="L329" s="90"/>
    </row>
    <row r="330" spans="1:12" ht="15" customHeight="1" outlineLevel="1" x14ac:dyDescent="0.3">
      <c r="A330" s="101" t="s">
        <v>659</v>
      </c>
      <c r="B330" s="90" t="s">
        <v>732</v>
      </c>
      <c r="C330" s="90"/>
      <c r="D330" s="90" t="s">
        <v>130</v>
      </c>
      <c r="E330" s="91">
        <v>45271</v>
      </c>
      <c r="F330" s="30">
        <v>19.75</v>
      </c>
      <c r="G330" s="91">
        <v>45461</v>
      </c>
      <c r="H330" s="91">
        <v>46019</v>
      </c>
      <c r="I330" s="90">
        <v>0</v>
      </c>
      <c r="J330" s="92">
        <v>-190</v>
      </c>
      <c r="K330" s="90" t="s">
        <v>208</v>
      </c>
      <c r="L330" s="90"/>
    </row>
    <row r="331" spans="1:12" ht="15" customHeight="1" outlineLevel="1" x14ac:dyDescent="0.3">
      <c r="A331" s="101" t="s">
        <v>659</v>
      </c>
      <c r="B331" s="90" t="s">
        <v>732</v>
      </c>
      <c r="C331" s="90"/>
      <c r="D331" s="90" t="s">
        <v>130</v>
      </c>
      <c r="E331" s="91">
        <v>45310</v>
      </c>
      <c r="F331" s="30">
        <v>20.36</v>
      </c>
      <c r="G331" s="91">
        <v>45461</v>
      </c>
      <c r="H331" s="91">
        <v>46019</v>
      </c>
      <c r="I331" s="90">
        <v>0</v>
      </c>
      <c r="J331" s="92">
        <v>-151</v>
      </c>
      <c r="K331" s="90" t="s">
        <v>209</v>
      </c>
      <c r="L331" s="90"/>
    </row>
    <row r="332" spans="1:12" ht="15" customHeight="1" outlineLevel="1" x14ac:dyDescent="0.3">
      <c r="A332" s="101" t="s">
        <v>659</v>
      </c>
      <c r="B332" s="90" t="s">
        <v>732</v>
      </c>
      <c r="C332" s="90"/>
      <c r="D332" s="90" t="s">
        <v>130</v>
      </c>
      <c r="E332" s="91">
        <v>45360</v>
      </c>
      <c r="F332" s="30">
        <v>20.78</v>
      </c>
      <c r="G332" s="91">
        <v>45461</v>
      </c>
      <c r="H332" s="91">
        <v>46019</v>
      </c>
      <c r="I332" s="90">
        <v>0</v>
      </c>
      <c r="J332" s="92">
        <v>-101</v>
      </c>
      <c r="K332" s="90" t="s">
        <v>211</v>
      </c>
      <c r="L332" s="90"/>
    </row>
    <row r="333" spans="1:12" ht="15" customHeight="1" outlineLevel="1" x14ac:dyDescent="0.3">
      <c r="A333" s="101" t="s">
        <v>659</v>
      </c>
      <c r="B333" s="90" t="s">
        <v>732</v>
      </c>
      <c r="C333" s="90"/>
      <c r="D333" s="90" t="s">
        <v>130</v>
      </c>
      <c r="E333" s="91">
        <v>45467</v>
      </c>
      <c r="F333" s="30">
        <v>22.2</v>
      </c>
      <c r="G333" s="91">
        <v>45461</v>
      </c>
      <c r="H333" s="91">
        <v>46019</v>
      </c>
      <c r="I333" s="90">
        <v>0</v>
      </c>
      <c r="J333" s="92">
        <v>6</v>
      </c>
      <c r="K333" s="90" t="s">
        <v>214</v>
      </c>
      <c r="L333" s="90"/>
    </row>
    <row r="334" spans="1:12" ht="15" customHeight="1" outlineLevel="1" x14ac:dyDescent="0.3">
      <c r="A334" s="101" t="s">
        <v>659</v>
      </c>
      <c r="B334" s="90" t="s">
        <v>732</v>
      </c>
      <c r="C334" s="90"/>
      <c r="D334" s="90" t="s">
        <v>130</v>
      </c>
      <c r="E334" s="91">
        <v>45646</v>
      </c>
      <c r="F334" s="30">
        <v>29</v>
      </c>
      <c r="G334" s="91">
        <v>45461</v>
      </c>
      <c r="H334" s="91">
        <v>46019</v>
      </c>
      <c r="I334" s="90">
        <v>0</v>
      </c>
      <c r="J334" s="92">
        <v>185</v>
      </c>
      <c r="K334" s="90" t="s">
        <v>220</v>
      </c>
      <c r="L334" s="90"/>
    </row>
    <row r="335" spans="1:12" ht="15" customHeight="1" outlineLevel="1" x14ac:dyDescent="0.3">
      <c r="A335" s="101" t="s">
        <v>659</v>
      </c>
      <c r="B335" s="90" t="s">
        <v>732</v>
      </c>
      <c r="C335" s="90"/>
      <c r="D335" s="90" t="s">
        <v>130</v>
      </c>
      <c r="E335" s="91">
        <v>45652</v>
      </c>
      <c r="F335" s="30">
        <v>30.3</v>
      </c>
      <c r="G335" s="91">
        <v>45461</v>
      </c>
      <c r="H335" s="91">
        <v>46019</v>
      </c>
      <c r="I335" s="90">
        <v>0</v>
      </c>
      <c r="J335" s="92">
        <v>191</v>
      </c>
      <c r="K335" s="90" t="s">
        <v>220</v>
      </c>
      <c r="L335" s="90"/>
    </row>
    <row r="336" spans="1:12" ht="15" customHeight="1" outlineLevel="1" x14ac:dyDescent="0.3">
      <c r="A336" s="101" t="s">
        <v>659</v>
      </c>
      <c r="B336" s="90" t="s">
        <v>732</v>
      </c>
      <c r="C336" s="90"/>
      <c r="D336" s="90" t="s">
        <v>130</v>
      </c>
      <c r="E336" s="91">
        <v>45675</v>
      </c>
      <c r="F336" s="30">
        <v>16</v>
      </c>
      <c r="G336" s="91">
        <v>45461</v>
      </c>
      <c r="H336" s="91">
        <v>46019</v>
      </c>
      <c r="I336" s="90">
        <v>0</v>
      </c>
      <c r="J336" s="92">
        <v>214</v>
      </c>
      <c r="K336" s="90" t="s">
        <v>221</v>
      </c>
      <c r="L336" s="90"/>
    </row>
    <row r="337" spans="1:12" ht="15" customHeight="1" outlineLevel="1" x14ac:dyDescent="0.3">
      <c r="A337" s="101" t="s">
        <v>659</v>
      </c>
      <c r="B337" s="90" t="s">
        <v>732</v>
      </c>
      <c r="C337" s="90"/>
      <c r="D337" s="90" t="s">
        <v>130</v>
      </c>
      <c r="E337" s="91">
        <v>45692</v>
      </c>
      <c r="F337" s="30">
        <v>20.100000000000001</v>
      </c>
      <c r="G337" s="91">
        <v>45461</v>
      </c>
      <c r="H337" s="91">
        <v>46019</v>
      </c>
      <c r="I337" s="90">
        <v>0</v>
      </c>
      <c r="J337" s="92">
        <v>231</v>
      </c>
      <c r="K337" s="90" t="s">
        <v>222</v>
      </c>
      <c r="L337" s="90"/>
    </row>
    <row r="338" spans="1:12" ht="15" customHeight="1" outlineLevel="1" x14ac:dyDescent="0.3">
      <c r="A338" s="101" t="s">
        <v>659</v>
      </c>
      <c r="B338" s="90" t="s">
        <v>732</v>
      </c>
      <c r="C338" s="90"/>
      <c r="D338" s="90" t="s">
        <v>130</v>
      </c>
      <c r="E338" s="91">
        <v>45724</v>
      </c>
      <c r="F338" s="30">
        <v>22</v>
      </c>
      <c r="G338" s="91">
        <v>45461</v>
      </c>
      <c r="H338" s="91">
        <v>46019</v>
      </c>
      <c r="I338" s="90">
        <v>0</v>
      </c>
      <c r="J338" s="92">
        <v>263</v>
      </c>
      <c r="K338" s="90" t="s">
        <v>223</v>
      </c>
      <c r="L338" s="90"/>
    </row>
    <row r="339" spans="1:12" ht="15" customHeight="1" outlineLevel="1" x14ac:dyDescent="0.3">
      <c r="A339" s="101" t="s">
        <v>659</v>
      </c>
      <c r="B339" s="90" t="s">
        <v>732</v>
      </c>
      <c r="C339" s="90"/>
      <c r="D339" s="90" t="s">
        <v>130</v>
      </c>
      <c r="E339" s="91">
        <v>45731</v>
      </c>
      <c r="F339" s="30">
        <v>24</v>
      </c>
      <c r="G339" s="91">
        <v>45461</v>
      </c>
      <c r="H339" s="91">
        <v>46019</v>
      </c>
      <c r="I339" s="90">
        <v>0</v>
      </c>
      <c r="J339" s="92">
        <v>270</v>
      </c>
      <c r="K339" s="90" t="s">
        <v>223</v>
      </c>
      <c r="L339" s="90"/>
    </row>
    <row r="340" spans="1:12" ht="15" customHeight="1" outlineLevel="1" x14ac:dyDescent="0.3">
      <c r="A340" s="101" t="s">
        <v>659</v>
      </c>
      <c r="B340" s="90" t="s">
        <v>732</v>
      </c>
      <c r="C340" s="90"/>
      <c r="D340" s="90" t="s">
        <v>130</v>
      </c>
      <c r="E340" s="91">
        <v>45766</v>
      </c>
      <c r="F340" s="30">
        <v>15</v>
      </c>
      <c r="G340" s="91">
        <v>45461</v>
      </c>
      <c r="H340" s="91">
        <v>46019</v>
      </c>
      <c r="I340" s="90">
        <v>0</v>
      </c>
      <c r="J340" s="92">
        <v>305</v>
      </c>
      <c r="K340" s="90" t="s">
        <v>224</v>
      </c>
      <c r="L340" s="90"/>
    </row>
    <row r="341" spans="1:12" ht="15" customHeight="1" outlineLevel="1" x14ac:dyDescent="0.3">
      <c r="A341" s="101" t="s">
        <v>659</v>
      </c>
      <c r="B341" s="90" t="s">
        <v>732</v>
      </c>
      <c r="C341" s="90"/>
      <c r="D341" s="90" t="s">
        <v>130</v>
      </c>
      <c r="E341" s="91">
        <v>45858</v>
      </c>
      <c r="F341" s="30">
        <v>17</v>
      </c>
      <c r="G341" s="91">
        <v>45461</v>
      </c>
      <c r="H341" s="91">
        <v>46019</v>
      </c>
      <c r="I341" s="90">
        <v>0</v>
      </c>
      <c r="J341" s="92">
        <v>397</v>
      </c>
      <c r="K341" s="90" t="s">
        <v>226</v>
      </c>
      <c r="L341" s="90"/>
    </row>
    <row r="342" spans="1:12" ht="15" customHeight="1" outlineLevel="1" x14ac:dyDescent="0.3">
      <c r="A342" s="101" t="s">
        <v>659</v>
      </c>
      <c r="B342" s="90" t="s">
        <v>732</v>
      </c>
      <c r="C342" s="90"/>
      <c r="D342" s="90" t="s">
        <v>130</v>
      </c>
      <c r="E342" s="91">
        <v>45882</v>
      </c>
      <c r="F342" s="30">
        <v>9</v>
      </c>
      <c r="G342" s="91">
        <v>45461</v>
      </c>
      <c r="H342" s="91">
        <v>46019</v>
      </c>
      <c r="I342" s="90">
        <v>0</v>
      </c>
      <c r="J342" s="92">
        <v>421</v>
      </c>
      <c r="K342" s="90" t="s">
        <v>227</v>
      </c>
      <c r="L342" s="90"/>
    </row>
    <row r="343" spans="1:12" ht="15" customHeight="1" outlineLevel="1" x14ac:dyDescent="0.3">
      <c r="A343" s="101" t="s">
        <v>659</v>
      </c>
      <c r="B343" s="90" t="s">
        <v>732</v>
      </c>
      <c r="C343" s="90"/>
      <c r="D343" s="90" t="s">
        <v>130</v>
      </c>
      <c r="E343" s="91">
        <v>45893</v>
      </c>
      <c r="F343" s="30">
        <v>8</v>
      </c>
      <c r="G343" s="91">
        <v>45461</v>
      </c>
      <c r="H343" s="91">
        <v>46019</v>
      </c>
      <c r="I343" s="90">
        <v>0</v>
      </c>
      <c r="J343" s="92">
        <v>432</v>
      </c>
      <c r="K343" s="90" t="s">
        <v>227</v>
      </c>
      <c r="L343" s="90"/>
    </row>
    <row r="344" spans="1:12" ht="15" customHeight="1" outlineLevel="1" x14ac:dyDescent="0.3">
      <c r="A344" s="101" t="s">
        <v>659</v>
      </c>
      <c r="B344" s="90" t="s">
        <v>732</v>
      </c>
      <c r="C344" s="90"/>
      <c r="D344" s="90" t="s">
        <v>130</v>
      </c>
      <c r="E344" s="91">
        <v>45922</v>
      </c>
      <c r="F344" s="30">
        <v>7</v>
      </c>
      <c r="G344" s="91">
        <v>45461</v>
      </c>
      <c r="H344" s="91">
        <v>46019</v>
      </c>
      <c r="I344" s="90">
        <v>0</v>
      </c>
      <c r="J344" s="92">
        <v>461</v>
      </c>
      <c r="K344" s="90" t="s">
        <v>228</v>
      </c>
      <c r="L344" s="90"/>
    </row>
    <row r="345" spans="1:12" ht="15" customHeight="1" outlineLevel="1" x14ac:dyDescent="0.3">
      <c r="A345" s="101" t="s">
        <v>659</v>
      </c>
      <c r="B345" s="90" t="s">
        <v>732</v>
      </c>
      <c r="C345" s="90"/>
      <c r="D345" s="90" t="s">
        <v>130</v>
      </c>
      <c r="E345" s="91">
        <v>45932</v>
      </c>
      <c r="F345" s="30">
        <v>6</v>
      </c>
      <c r="G345" s="91">
        <v>45461</v>
      </c>
      <c r="H345" s="91">
        <v>46019</v>
      </c>
      <c r="I345" s="90">
        <v>0</v>
      </c>
      <c r="J345" s="92">
        <v>471</v>
      </c>
      <c r="K345" s="90" t="s">
        <v>229</v>
      </c>
      <c r="L345" s="90"/>
    </row>
    <row r="346" spans="1:12" ht="15" customHeight="1" x14ac:dyDescent="0.3">
      <c r="A346" s="101" t="s">
        <v>660</v>
      </c>
      <c r="B346" s="90" t="s">
        <v>733</v>
      </c>
      <c r="C346" s="90"/>
      <c r="D346" s="90" t="s">
        <v>130</v>
      </c>
      <c r="E346" s="91">
        <v>45094</v>
      </c>
      <c r="F346" s="30">
        <v>32.92</v>
      </c>
      <c r="G346" s="91">
        <v>45712</v>
      </c>
      <c r="H346" s="91">
        <v>46019</v>
      </c>
      <c r="I346" s="90">
        <v>0</v>
      </c>
      <c r="J346" s="92">
        <v>-618</v>
      </c>
      <c r="K346" s="90" t="s">
        <v>202</v>
      </c>
      <c r="L346" s="90"/>
    </row>
    <row r="347" spans="1:12" ht="15" customHeight="1" outlineLevel="1" x14ac:dyDescent="0.3">
      <c r="A347" s="101" t="s">
        <v>660</v>
      </c>
      <c r="B347" s="90" t="s">
        <v>733</v>
      </c>
      <c r="C347" s="90"/>
      <c r="D347" s="90" t="s">
        <v>130</v>
      </c>
      <c r="E347" s="91">
        <v>45099</v>
      </c>
      <c r="F347" s="30">
        <v>30.04</v>
      </c>
      <c r="G347" s="91">
        <v>45712</v>
      </c>
      <c r="H347" s="91">
        <v>46019</v>
      </c>
      <c r="I347" s="90">
        <v>0</v>
      </c>
      <c r="J347" s="92">
        <v>-613</v>
      </c>
      <c r="K347" s="90" t="s">
        <v>202</v>
      </c>
      <c r="L347" s="90"/>
    </row>
    <row r="348" spans="1:12" ht="15" customHeight="1" outlineLevel="1" x14ac:dyDescent="0.3">
      <c r="A348" s="101" t="s">
        <v>660</v>
      </c>
      <c r="B348" s="90" t="s">
        <v>733</v>
      </c>
      <c r="C348" s="90"/>
      <c r="D348" s="90" t="s">
        <v>130</v>
      </c>
      <c r="E348" s="91">
        <v>45115</v>
      </c>
      <c r="F348" s="30">
        <v>31.06</v>
      </c>
      <c r="G348" s="91">
        <v>45712</v>
      </c>
      <c r="H348" s="91">
        <v>46019</v>
      </c>
      <c r="I348" s="90">
        <v>0</v>
      </c>
      <c r="J348" s="92">
        <v>-597</v>
      </c>
      <c r="K348" s="90" t="s">
        <v>203</v>
      </c>
      <c r="L348" s="90"/>
    </row>
    <row r="349" spans="1:12" ht="15" customHeight="1" outlineLevel="1" x14ac:dyDescent="0.3">
      <c r="A349" s="101" t="s">
        <v>660</v>
      </c>
      <c r="B349" s="90" t="s">
        <v>733</v>
      </c>
      <c r="C349" s="90"/>
      <c r="D349" s="90" t="s">
        <v>130</v>
      </c>
      <c r="E349" s="91">
        <v>45131</v>
      </c>
      <c r="F349" s="30">
        <v>35.19</v>
      </c>
      <c r="G349" s="91">
        <v>45712</v>
      </c>
      <c r="H349" s="91">
        <v>46019</v>
      </c>
      <c r="I349" s="90">
        <v>0</v>
      </c>
      <c r="J349" s="92">
        <v>-581</v>
      </c>
      <c r="K349" s="90" t="s">
        <v>203</v>
      </c>
      <c r="L349" s="90"/>
    </row>
    <row r="350" spans="1:12" ht="15" customHeight="1" outlineLevel="1" x14ac:dyDescent="0.3">
      <c r="A350" s="101" t="s">
        <v>660</v>
      </c>
      <c r="B350" s="90" t="s">
        <v>733</v>
      </c>
      <c r="C350" s="90"/>
      <c r="D350" s="90" t="s">
        <v>130</v>
      </c>
      <c r="E350" s="91">
        <v>45147</v>
      </c>
      <c r="F350" s="30">
        <v>32.92</v>
      </c>
      <c r="G350" s="91">
        <v>45712</v>
      </c>
      <c r="H350" s="91">
        <v>46019</v>
      </c>
      <c r="I350" s="90">
        <v>0</v>
      </c>
      <c r="J350" s="92">
        <v>-565</v>
      </c>
      <c r="K350" s="90" t="s">
        <v>204</v>
      </c>
      <c r="L350" s="90"/>
    </row>
    <row r="351" spans="1:12" ht="15" customHeight="1" outlineLevel="1" x14ac:dyDescent="0.3">
      <c r="A351" s="101" t="s">
        <v>660</v>
      </c>
      <c r="B351" s="90" t="s">
        <v>733</v>
      </c>
      <c r="C351" s="90"/>
      <c r="D351" s="90" t="s">
        <v>130</v>
      </c>
      <c r="E351" s="91">
        <v>45171</v>
      </c>
      <c r="F351" s="30">
        <v>31.17</v>
      </c>
      <c r="G351" s="91">
        <v>45712</v>
      </c>
      <c r="H351" s="91">
        <v>46019</v>
      </c>
      <c r="I351" s="90">
        <v>0</v>
      </c>
      <c r="J351" s="92">
        <v>-541</v>
      </c>
      <c r="K351" s="90" t="s">
        <v>205</v>
      </c>
      <c r="L351" s="90"/>
    </row>
    <row r="352" spans="1:12" ht="15" customHeight="1" outlineLevel="1" x14ac:dyDescent="0.3">
      <c r="A352" s="101" t="s">
        <v>660</v>
      </c>
      <c r="B352" s="90" t="s">
        <v>733</v>
      </c>
      <c r="C352" s="90"/>
      <c r="D352" s="90" t="s">
        <v>130</v>
      </c>
      <c r="E352" s="91">
        <v>45224</v>
      </c>
      <c r="F352" s="30">
        <v>29.83</v>
      </c>
      <c r="G352" s="91">
        <v>45712</v>
      </c>
      <c r="H352" s="91">
        <v>46019</v>
      </c>
      <c r="I352" s="90">
        <v>0</v>
      </c>
      <c r="J352" s="92">
        <v>-488</v>
      </c>
      <c r="K352" s="90" t="s">
        <v>206</v>
      </c>
      <c r="L352" s="90"/>
    </row>
    <row r="353" spans="1:12" ht="15" customHeight="1" outlineLevel="1" x14ac:dyDescent="0.3">
      <c r="A353" s="101" t="s">
        <v>660</v>
      </c>
      <c r="B353" s="90" t="s">
        <v>733</v>
      </c>
      <c r="C353" s="90"/>
      <c r="D353" s="90" t="s">
        <v>130</v>
      </c>
      <c r="E353" s="91">
        <v>45257</v>
      </c>
      <c r="F353" s="30">
        <v>26.03</v>
      </c>
      <c r="G353" s="91">
        <v>45712</v>
      </c>
      <c r="H353" s="91">
        <v>46019</v>
      </c>
      <c r="I353" s="90">
        <v>0</v>
      </c>
      <c r="J353" s="92">
        <v>-455</v>
      </c>
      <c r="K353" s="90" t="s">
        <v>207</v>
      </c>
      <c r="L353" s="90"/>
    </row>
    <row r="354" spans="1:12" ht="15" customHeight="1" outlineLevel="1" x14ac:dyDescent="0.3">
      <c r="A354" s="101" t="s">
        <v>660</v>
      </c>
      <c r="B354" s="90" t="s">
        <v>733</v>
      </c>
      <c r="C354" s="90"/>
      <c r="D354" s="90" t="s">
        <v>130</v>
      </c>
      <c r="E354" s="91">
        <v>45271</v>
      </c>
      <c r="F354" s="30">
        <v>21.8</v>
      </c>
      <c r="G354" s="91">
        <v>45712</v>
      </c>
      <c r="H354" s="91">
        <v>46019</v>
      </c>
      <c r="I354" s="90">
        <v>0</v>
      </c>
      <c r="J354" s="92">
        <v>-441</v>
      </c>
      <c r="K354" s="90" t="s">
        <v>208</v>
      </c>
      <c r="L354" s="90"/>
    </row>
    <row r="355" spans="1:12" ht="15" customHeight="1" outlineLevel="1" x14ac:dyDescent="0.3">
      <c r="A355" s="101" t="s">
        <v>660</v>
      </c>
      <c r="B355" s="90" t="s">
        <v>733</v>
      </c>
      <c r="C355" s="90"/>
      <c r="D355" s="90" t="s">
        <v>130</v>
      </c>
      <c r="E355" s="91">
        <v>45310</v>
      </c>
      <c r="F355" s="30">
        <v>25.52</v>
      </c>
      <c r="G355" s="91">
        <v>45712</v>
      </c>
      <c r="H355" s="91">
        <v>46019</v>
      </c>
      <c r="I355" s="90">
        <v>0</v>
      </c>
      <c r="J355" s="92">
        <v>-402</v>
      </c>
      <c r="K355" s="90" t="s">
        <v>209</v>
      </c>
      <c r="L355" s="90"/>
    </row>
    <row r="356" spans="1:12" ht="15" customHeight="1" outlineLevel="1" x14ac:dyDescent="0.3">
      <c r="A356" s="101" t="s">
        <v>660</v>
      </c>
      <c r="B356" s="90" t="s">
        <v>733</v>
      </c>
      <c r="C356" s="90"/>
      <c r="D356" s="90" t="s">
        <v>130</v>
      </c>
      <c r="E356" s="91">
        <v>45360</v>
      </c>
      <c r="F356" s="30">
        <v>23.66</v>
      </c>
      <c r="G356" s="91">
        <v>45712</v>
      </c>
      <c r="H356" s="91">
        <v>46019</v>
      </c>
      <c r="I356" s="90">
        <v>0</v>
      </c>
      <c r="J356" s="92">
        <v>-352</v>
      </c>
      <c r="K356" s="90" t="s">
        <v>211</v>
      </c>
      <c r="L356" s="90"/>
    </row>
    <row r="357" spans="1:12" ht="15" customHeight="1" outlineLevel="1" x14ac:dyDescent="0.3">
      <c r="A357" s="101" t="s">
        <v>660</v>
      </c>
      <c r="B357" s="90" t="s">
        <v>733</v>
      </c>
      <c r="C357" s="90"/>
      <c r="D357" s="90" t="s">
        <v>130</v>
      </c>
      <c r="E357" s="91">
        <v>45402</v>
      </c>
      <c r="F357" s="30">
        <v>22.94</v>
      </c>
      <c r="G357" s="91">
        <v>45712</v>
      </c>
      <c r="H357" s="91">
        <v>46019</v>
      </c>
      <c r="I357" s="90">
        <v>0</v>
      </c>
      <c r="J357" s="92">
        <v>-310</v>
      </c>
      <c r="K357" s="90" t="s">
        <v>212</v>
      </c>
      <c r="L357" s="90"/>
    </row>
    <row r="358" spans="1:12" ht="15" customHeight="1" outlineLevel="1" x14ac:dyDescent="0.3">
      <c r="A358" s="101" t="s">
        <v>660</v>
      </c>
      <c r="B358" s="90" t="s">
        <v>733</v>
      </c>
      <c r="C358" s="90"/>
      <c r="D358" s="90" t="s">
        <v>130</v>
      </c>
      <c r="E358" s="91">
        <v>45467</v>
      </c>
      <c r="F358" s="30">
        <v>18</v>
      </c>
      <c r="G358" s="91">
        <v>45712</v>
      </c>
      <c r="H358" s="91">
        <v>46019</v>
      </c>
      <c r="I358" s="90">
        <v>0</v>
      </c>
      <c r="J358" s="92">
        <v>-245</v>
      </c>
      <c r="K358" s="90" t="s">
        <v>214</v>
      </c>
      <c r="L358" s="90"/>
    </row>
    <row r="359" spans="1:12" ht="15" customHeight="1" outlineLevel="1" x14ac:dyDescent="0.3">
      <c r="A359" s="101" t="s">
        <v>660</v>
      </c>
      <c r="B359" s="90" t="s">
        <v>733</v>
      </c>
      <c r="C359" s="90"/>
      <c r="D359" s="90" t="s">
        <v>130</v>
      </c>
      <c r="E359" s="91">
        <v>45646</v>
      </c>
      <c r="F359" s="30">
        <v>12.1</v>
      </c>
      <c r="G359" s="91">
        <v>45712</v>
      </c>
      <c r="H359" s="91">
        <v>46019</v>
      </c>
      <c r="I359" s="90">
        <v>0</v>
      </c>
      <c r="J359" s="92">
        <v>-66</v>
      </c>
      <c r="K359" s="90" t="s">
        <v>220</v>
      </c>
      <c r="L359" s="90"/>
    </row>
    <row r="360" spans="1:12" ht="15" customHeight="1" outlineLevel="1" x14ac:dyDescent="0.3">
      <c r="A360" s="101" t="s">
        <v>660</v>
      </c>
      <c r="B360" s="90" t="s">
        <v>733</v>
      </c>
      <c r="C360" s="90"/>
      <c r="D360" s="90" t="s">
        <v>130</v>
      </c>
      <c r="E360" s="91">
        <v>45652</v>
      </c>
      <c r="F360" s="30">
        <v>10.5</v>
      </c>
      <c r="G360" s="91">
        <v>45712</v>
      </c>
      <c r="H360" s="91">
        <v>46019</v>
      </c>
      <c r="I360" s="90">
        <v>0</v>
      </c>
      <c r="J360" s="92">
        <v>-60</v>
      </c>
      <c r="K360" s="90" t="s">
        <v>220</v>
      </c>
      <c r="L360" s="90"/>
    </row>
    <row r="361" spans="1:12" ht="15" customHeight="1" outlineLevel="1" x14ac:dyDescent="0.3">
      <c r="A361" s="101" t="s">
        <v>660</v>
      </c>
      <c r="B361" s="90" t="s">
        <v>733</v>
      </c>
      <c r="C361" s="90"/>
      <c r="D361" s="90" t="s">
        <v>130</v>
      </c>
      <c r="E361" s="91">
        <v>45675</v>
      </c>
      <c r="F361" s="30">
        <v>12</v>
      </c>
      <c r="G361" s="91">
        <v>45712</v>
      </c>
      <c r="H361" s="91">
        <v>46019</v>
      </c>
      <c r="I361" s="90">
        <v>0</v>
      </c>
      <c r="J361" s="92">
        <v>-37</v>
      </c>
      <c r="K361" s="90" t="s">
        <v>221</v>
      </c>
      <c r="L361" s="90"/>
    </row>
    <row r="362" spans="1:12" ht="15" customHeight="1" outlineLevel="1" x14ac:dyDescent="0.3">
      <c r="A362" s="101" t="s">
        <v>660</v>
      </c>
      <c r="B362" s="90" t="s">
        <v>733</v>
      </c>
      <c r="C362" s="90"/>
      <c r="D362" s="90" t="s">
        <v>130</v>
      </c>
      <c r="E362" s="91">
        <v>45724</v>
      </c>
      <c r="F362" s="30">
        <v>14</v>
      </c>
      <c r="G362" s="91">
        <v>45712</v>
      </c>
      <c r="H362" s="91">
        <v>46019</v>
      </c>
      <c r="I362" s="90">
        <v>0</v>
      </c>
      <c r="J362" s="92">
        <v>12</v>
      </c>
      <c r="K362" s="90" t="s">
        <v>223</v>
      </c>
      <c r="L362" s="90"/>
    </row>
    <row r="363" spans="1:12" ht="15" customHeight="1" outlineLevel="1" x14ac:dyDescent="0.3">
      <c r="A363" s="101" t="s">
        <v>660</v>
      </c>
      <c r="B363" s="90" t="s">
        <v>733</v>
      </c>
      <c r="C363" s="90"/>
      <c r="D363" s="90" t="s">
        <v>130</v>
      </c>
      <c r="E363" s="91">
        <v>45731</v>
      </c>
      <c r="F363" s="30">
        <v>17</v>
      </c>
      <c r="G363" s="91">
        <v>45712</v>
      </c>
      <c r="H363" s="91">
        <v>46019</v>
      </c>
      <c r="I363" s="90">
        <v>0</v>
      </c>
      <c r="J363" s="92">
        <v>19</v>
      </c>
      <c r="K363" s="90" t="s">
        <v>223</v>
      </c>
      <c r="L363" s="90"/>
    </row>
    <row r="364" spans="1:12" ht="15" customHeight="1" outlineLevel="1" x14ac:dyDescent="0.3">
      <c r="A364" s="101" t="s">
        <v>660</v>
      </c>
      <c r="B364" s="90" t="s">
        <v>733</v>
      </c>
      <c r="C364" s="90"/>
      <c r="D364" s="90" t="s">
        <v>130</v>
      </c>
      <c r="E364" s="91">
        <v>45766</v>
      </c>
      <c r="F364" s="30">
        <v>27</v>
      </c>
      <c r="G364" s="91">
        <v>45712</v>
      </c>
      <c r="H364" s="91">
        <v>46019</v>
      </c>
      <c r="I364" s="90">
        <v>0</v>
      </c>
      <c r="J364" s="92">
        <v>54</v>
      </c>
      <c r="K364" s="90" t="s">
        <v>224</v>
      </c>
      <c r="L364" s="90"/>
    </row>
    <row r="365" spans="1:12" ht="15" customHeight="1" outlineLevel="1" x14ac:dyDescent="0.3">
      <c r="A365" s="101" t="s">
        <v>660</v>
      </c>
      <c r="B365" s="90" t="s">
        <v>733</v>
      </c>
      <c r="C365" s="90"/>
      <c r="D365" s="90" t="s">
        <v>130</v>
      </c>
      <c r="E365" s="91">
        <v>45858</v>
      </c>
      <c r="F365" s="30">
        <v>23</v>
      </c>
      <c r="G365" s="91">
        <v>45712</v>
      </c>
      <c r="H365" s="91">
        <v>46019</v>
      </c>
      <c r="I365" s="90">
        <v>0</v>
      </c>
      <c r="J365" s="92">
        <v>146</v>
      </c>
      <c r="K365" s="90" t="s">
        <v>226</v>
      </c>
      <c r="L365" s="90"/>
    </row>
    <row r="366" spans="1:12" ht="15" customHeight="1" outlineLevel="1" x14ac:dyDescent="0.3">
      <c r="A366" s="101" t="s">
        <v>660</v>
      </c>
      <c r="B366" s="90" t="s">
        <v>733</v>
      </c>
      <c r="C366" s="90"/>
      <c r="D366" s="90" t="s">
        <v>130</v>
      </c>
      <c r="E366" s="91">
        <v>45882</v>
      </c>
      <c r="F366" s="30">
        <v>8</v>
      </c>
      <c r="G366" s="91">
        <v>45712</v>
      </c>
      <c r="H366" s="91">
        <v>46019</v>
      </c>
      <c r="I366" s="90">
        <v>0</v>
      </c>
      <c r="J366" s="92">
        <v>170</v>
      </c>
      <c r="K366" s="90" t="s">
        <v>227</v>
      </c>
      <c r="L366" s="90"/>
    </row>
    <row r="367" spans="1:12" ht="15" customHeight="1" x14ac:dyDescent="0.3">
      <c r="A367" s="101" t="s">
        <v>661</v>
      </c>
      <c r="B367" s="90">
        <v>409</v>
      </c>
      <c r="C367" s="90"/>
      <c r="D367" s="90" t="s">
        <v>130</v>
      </c>
      <c r="E367" s="91">
        <v>45310</v>
      </c>
      <c r="F367" s="30">
        <v>5.14</v>
      </c>
      <c r="G367" s="91">
        <v>45277</v>
      </c>
      <c r="H367" s="91">
        <v>45995</v>
      </c>
      <c r="I367" s="90">
        <v>0</v>
      </c>
      <c r="J367" s="92">
        <v>33</v>
      </c>
      <c r="K367" s="90" t="s">
        <v>209</v>
      </c>
      <c r="L367" s="90"/>
    </row>
    <row r="368" spans="1:12" ht="15" customHeight="1" outlineLevel="1" x14ac:dyDescent="0.3">
      <c r="A368" s="101" t="s">
        <v>661</v>
      </c>
      <c r="B368" s="90">
        <v>409</v>
      </c>
      <c r="C368" s="90"/>
      <c r="D368" s="90" t="s">
        <v>130</v>
      </c>
      <c r="E368" s="91">
        <v>45360</v>
      </c>
      <c r="F368" s="30">
        <v>8.5299999999999994</v>
      </c>
      <c r="G368" s="91">
        <v>45277</v>
      </c>
      <c r="H368" s="91">
        <v>45995</v>
      </c>
      <c r="I368" s="90">
        <v>0</v>
      </c>
      <c r="J368" s="92">
        <v>83</v>
      </c>
      <c r="K368" s="90" t="s">
        <v>211</v>
      </c>
      <c r="L368" s="90"/>
    </row>
    <row r="369" spans="1:12" ht="15" customHeight="1" outlineLevel="1" x14ac:dyDescent="0.3">
      <c r="A369" s="101" t="s">
        <v>661</v>
      </c>
      <c r="B369" s="90">
        <v>409</v>
      </c>
      <c r="C369" s="90"/>
      <c r="D369" s="90" t="s">
        <v>130</v>
      </c>
      <c r="E369" s="91">
        <v>45402</v>
      </c>
      <c r="F369" s="30">
        <v>4.0999999999999996</v>
      </c>
      <c r="G369" s="91">
        <v>45277</v>
      </c>
      <c r="H369" s="91">
        <v>45995</v>
      </c>
      <c r="I369" s="90">
        <v>0</v>
      </c>
      <c r="J369" s="92">
        <v>125</v>
      </c>
      <c r="K369" s="90" t="s">
        <v>212</v>
      </c>
      <c r="L369" s="90"/>
    </row>
    <row r="370" spans="1:12" ht="15" customHeight="1" x14ac:dyDescent="0.3">
      <c r="A370" s="101" t="s">
        <v>662</v>
      </c>
      <c r="B370" s="90">
        <v>410</v>
      </c>
      <c r="C370" s="90"/>
      <c r="D370" s="90" t="s">
        <v>130</v>
      </c>
      <c r="E370" s="91">
        <v>45171</v>
      </c>
      <c r="F370" s="30">
        <v>14.19</v>
      </c>
      <c r="G370" s="91">
        <v>45619</v>
      </c>
      <c r="H370" s="91">
        <v>46019</v>
      </c>
      <c r="I370" s="90">
        <v>0</v>
      </c>
      <c r="J370" s="92">
        <v>-448</v>
      </c>
      <c r="K370" s="90" t="s">
        <v>205</v>
      </c>
      <c r="L370" s="90"/>
    </row>
    <row r="371" spans="1:12" ht="15" customHeight="1" outlineLevel="1" x14ac:dyDescent="0.3">
      <c r="A371" s="101" t="s">
        <v>662</v>
      </c>
      <c r="B371" s="90">
        <v>410</v>
      </c>
      <c r="C371" s="90"/>
      <c r="D371" s="90" t="s">
        <v>130</v>
      </c>
      <c r="E371" s="91">
        <v>45224</v>
      </c>
      <c r="F371" s="30">
        <v>15.42</v>
      </c>
      <c r="G371" s="91">
        <v>45619</v>
      </c>
      <c r="H371" s="91">
        <v>46019</v>
      </c>
      <c r="I371" s="90">
        <v>0</v>
      </c>
      <c r="J371" s="92">
        <v>-395</v>
      </c>
      <c r="K371" s="90" t="s">
        <v>206</v>
      </c>
      <c r="L371" s="90"/>
    </row>
    <row r="372" spans="1:12" ht="15" customHeight="1" outlineLevel="1" x14ac:dyDescent="0.3">
      <c r="A372" s="101" t="s">
        <v>662</v>
      </c>
      <c r="B372" s="90">
        <v>410</v>
      </c>
      <c r="C372" s="90"/>
      <c r="D372" s="90" t="s">
        <v>130</v>
      </c>
      <c r="E372" s="91">
        <v>45257</v>
      </c>
      <c r="F372" s="30">
        <v>17.690000000000001</v>
      </c>
      <c r="G372" s="91">
        <v>45619</v>
      </c>
      <c r="H372" s="91">
        <v>46019</v>
      </c>
      <c r="I372" s="90">
        <v>0</v>
      </c>
      <c r="J372" s="92">
        <v>-362</v>
      </c>
      <c r="K372" s="90" t="s">
        <v>207</v>
      </c>
      <c r="L372" s="90"/>
    </row>
    <row r="373" spans="1:12" ht="15" customHeight="1" outlineLevel="1" x14ac:dyDescent="0.3">
      <c r="A373" s="101" t="s">
        <v>662</v>
      </c>
      <c r="B373" s="90">
        <v>410</v>
      </c>
      <c r="C373" s="90"/>
      <c r="D373" s="90" t="s">
        <v>130</v>
      </c>
      <c r="E373" s="91">
        <v>45271</v>
      </c>
      <c r="F373" s="30">
        <v>19.03</v>
      </c>
      <c r="G373" s="91">
        <v>45619</v>
      </c>
      <c r="H373" s="91">
        <v>46019</v>
      </c>
      <c r="I373" s="90">
        <v>0</v>
      </c>
      <c r="J373" s="92">
        <v>-348</v>
      </c>
      <c r="K373" s="90" t="s">
        <v>208</v>
      </c>
      <c r="L373" s="90"/>
    </row>
    <row r="374" spans="1:12" ht="15" customHeight="1" outlineLevel="1" x14ac:dyDescent="0.3">
      <c r="A374" s="101" t="s">
        <v>662</v>
      </c>
      <c r="B374" s="90">
        <v>410</v>
      </c>
      <c r="C374" s="90"/>
      <c r="D374" s="90" t="s">
        <v>130</v>
      </c>
      <c r="E374" s="91">
        <v>45310</v>
      </c>
      <c r="F374" s="30">
        <v>19.55</v>
      </c>
      <c r="G374" s="91">
        <v>45619</v>
      </c>
      <c r="H374" s="91">
        <v>46019</v>
      </c>
      <c r="I374" s="90">
        <v>0</v>
      </c>
      <c r="J374" s="92">
        <v>-309</v>
      </c>
      <c r="K374" s="90" t="s">
        <v>209</v>
      </c>
      <c r="L374" s="90"/>
    </row>
    <row r="375" spans="1:12" ht="15" customHeight="1" outlineLevel="1" x14ac:dyDescent="0.3">
      <c r="A375" s="101" t="s">
        <v>662</v>
      </c>
      <c r="B375" s="90">
        <v>410</v>
      </c>
      <c r="C375" s="90"/>
      <c r="D375" s="90" t="s">
        <v>130</v>
      </c>
      <c r="E375" s="91">
        <v>45360</v>
      </c>
      <c r="F375" s="30">
        <v>20.88</v>
      </c>
      <c r="G375" s="91">
        <v>45619</v>
      </c>
      <c r="H375" s="91">
        <v>46019</v>
      </c>
      <c r="I375" s="90">
        <v>0</v>
      </c>
      <c r="J375" s="92">
        <v>-259</v>
      </c>
      <c r="K375" s="90" t="s">
        <v>211</v>
      </c>
      <c r="L375" s="90"/>
    </row>
    <row r="376" spans="1:12" ht="15" customHeight="1" outlineLevel="1" x14ac:dyDescent="0.3">
      <c r="A376" s="101" t="s">
        <v>662</v>
      </c>
      <c r="B376" s="90">
        <v>410</v>
      </c>
      <c r="C376" s="90"/>
      <c r="D376" s="90" t="s">
        <v>130</v>
      </c>
      <c r="E376" s="91">
        <v>45402</v>
      </c>
      <c r="F376" s="30">
        <v>18.93</v>
      </c>
      <c r="G376" s="91">
        <v>45619</v>
      </c>
      <c r="H376" s="91">
        <v>46019</v>
      </c>
      <c r="I376" s="90">
        <v>0</v>
      </c>
      <c r="J376" s="92">
        <v>-217</v>
      </c>
      <c r="K376" s="90" t="s">
        <v>212</v>
      </c>
      <c r="L376" s="90"/>
    </row>
    <row r="377" spans="1:12" ht="15" customHeight="1" outlineLevel="1" x14ac:dyDescent="0.3">
      <c r="A377" s="101" t="s">
        <v>662</v>
      </c>
      <c r="B377" s="90">
        <v>410</v>
      </c>
      <c r="C377" s="90"/>
      <c r="D377" s="90" t="s">
        <v>130</v>
      </c>
      <c r="E377" s="91">
        <v>45467</v>
      </c>
      <c r="F377" s="30">
        <v>20.399999999999999</v>
      </c>
      <c r="G377" s="91">
        <v>45619</v>
      </c>
      <c r="H377" s="91">
        <v>46019</v>
      </c>
      <c r="I377" s="90">
        <v>0</v>
      </c>
      <c r="J377" s="92">
        <v>-152</v>
      </c>
      <c r="K377" s="90" t="s">
        <v>214</v>
      </c>
      <c r="L377" s="90"/>
    </row>
    <row r="378" spans="1:12" ht="15" customHeight="1" outlineLevel="1" x14ac:dyDescent="0.3">
      <c r="A378" s="101" t="s">
        <v>662</v>
      </c>
      <c r="B378" s="90">
        <v>410</v>
      </c>
      <c r="C378" s="90"/>
      <c r="D378" s="90" t="s">
        <v>130</v>
      </c>
      <c r="E378" s="91">
        <v>45646</v>
      </c>
      <c r="F378" s="30">
        <v>34.200000000000003</v>
      </c>
      <c r="G378" s="91">
        <v>45619</v>
      </c>
      <c r="H378" s="91">
        <v>46019</v>
      </c>
      <c r="I378" s="90">
        <v>0</v>
      </c>
      <c r="J378" s="92">
        <v>27</v>
      </c>
      <c r="K378" s="90" t="s">
        <v>220</v>
      </c>
      <c r="L378" s="90"/>
    </row>
    <row r="379" spans="1:12" ht="15" customHeight="1" outlineLevel="1" x14ac:dyDescent="0.3">
      <c r="A379" s="101" t="s">
        <v>662</v>
      </c>
      <c r="B379" s="90">
        <v>410</v>
      </c>
      <c r="C379" s="90"/>
      <c r="D379" s="90" t="s">
        <v>130</v>
      </c>
      <c r="E379" s="91">
        <v>45652</v>
      </c>
      <c r="F379" s="30">
        <v>28.2</v>
      </c>
      <c r="G379" s="91">
        <v>45619</v>
      </c>
      <c r="H379" s="91">
        <v>46019</v>
      </c>
      <c r="I379" s="90">
        <v>0</v>
      </c>
      <c r="J379" s="92">
        <v>33</v>
      </c>
      <c r="K379" s="90" t="s">
        <v>220</v>
      </c>
      <c r="L379" s="90"/>
    </row>
    <row r="380" spans="1:12" ht="15" customHeight="1" outlineLevel="1" x14ac:dyDescent="0.3">
      <c r="A380" s="101" t="s">
        <v>662</v>
      </c>
      <c r="B380" s="90">
        <v>410</v>
      </c>
      <c r="C380" s="90"/>
      <c r="D380" s="90" t="s">
        <v>130</v>
      </c>
      <c r="E380" s="91">
        <v>45675</v>
      </c>
      <c r="F380" s="30">
        <v>32</v>
      </c>
      <c r="G380" s="91">
        <v>45619</v>
      </c>
      <c r="H380" s="91">
        <v>46019</v>
      </c>
      <c r="I380" s="90">
        <v>0</v>
      </c>
      <c r="J380" s="92">
        <v>56</v>
      </c>
      <c r="K380" s="90" t="s">
        <v>221</v>
      </c>
      <c r="L380" s="90"/>
    </row>
    <row r="381" spans="1:12" ht="15" customHeight="1" outlineLevel="1" x14ac:dyDescent="0.3">
      <c r="A381" s="101" t="s">
        <v>662</v>
      </c>
      <c r="B381" s="90">
        <v>410</v>
      </c>
      <c r="C381" s="90"/>
      <c r="D381" s="90" t="s">
        <v>130</v>
      </c>
      <c r="E381" s="91">
        <v>45692</v>
      </c>
      <c r="F381" s="30">
        <v>39</v>
      </c>
      <c r="G381" s="91">
        <v>45619</v>
      </c>
      <c r="H381" s="91">
        <v>46019</v>
      </c>
      <c r="I381" s="90">
        <v>0</v>
      </c>
      <c r="J381" s="92">
        <v>73</v>
      </c>
      <c r="K381" s="90" t="s">
        <v>222</v>
      </c>
      <c r="L381" s="90"/>
    </row>
    <row r="382" spans="1:12" ht="15" customHeight="1" outlineLevel="1" x14ac:dyDescent="0.3">
      <c r="A382" s="101" t="s">
        <v>662</v>
      </c>
      <c r="B382" s="90">
        <v>410</v>
      </c>
      <c r="C382" s="90"/>
      <c r="D382" s="90" t="s">
        <v>130</v>
      </c>
      <c r="E382" s="91">
        <v>45724</v>
      </c>
      <c r="F382" s="30">
        <v>39</v>
      </c>
      <c r="G382" s="91">
        <v>45619</v>
      </c>
      <c r="H382" s="91">
        <v>46019</v>
      </c>
      <c r="I382" s="90">
        <v>0</v>
      </c>
      <c r="J382" s="92">
        <v>105</v>
      </c>
      <c r="K382" s="90" t="s">
        <v>223</v>
      </c>
      <c r="L382" s="90"/>
    </row>
    <row r="383" spans="1:12" ht="15" customHeight="1" outlineLevel="1" x14ac:dyDescent="0.3">
      <c r="A383" s="101" t="s">
        <v>662</v>
      </c>
      <c r="B383" s="90">
        <v>410</v>
      </c>
      <c r="C383" s="90"/>
      <c r="D383" s="90" t="s">
        <v>130</v>
      </c>
      <c r="E383" s="91">
        <v>45731</v>
      </c>
      <c r="F383" s="30">
        <v>33</v>
      </c>
      <c r="G383" s="91">
        <v>45619</v>
      </c>
      <c r="H383" s="91">
        <v>46019</v>
      </c>
      <c r="I383" s="90">
        <v>0</v>
      </c>
      <c r="J383" s="92">
        <v>112</v>
      </c>
      <c r="K383" s="90" t="s">
        <v>223</v>
      </c>
      <c r="L383" s="90"/>
    </row>
    <row r="384" spans="1:12" ht="15" customHeight="1" outlineLevel="1" x14ac:dyDescent="0.3">
      <c r="A384" s="101" t="s">
        <v>662</v>
      </c>
      <c r="B384" s="90">
        <v>410</v>
      </c>
      <c r="C384" s="90"/>
      <c r="D384" s="90" t="s">
        <v>130</v>
      </c>
      <c r="E384" s="91">
        <v>45766</v>
      </c>
      <c r="F384" s="30">
        <v>30</v>
      </c>
      <c r="G384" s="91">
        <v>45619</v>
      </c>
      <c r="H384" s="91">
        <v>46019</v>
      </c>
      <c r="I384" s="90">
        <v>0</v>
      </c>
      <c r="J384" s="92">
        <v>147</v>
      </c>
      <c r="K384" s="90" t="s">
        <v>224</v>
      </c>
      <c r="L384" s="90"/>
    </row>
    <row r="385" spans="1:12" ht="15" customHeight="1" outlineLevel="1" x14ac:dyDescent="0.3">
      <c r="A385" s="101" t="s">
        <v>662</v>
      </c>
      <c r="B385" s="90">
        <v>410</v>
      </c>
      <c r="C385" s="90"/>
      <c r="D385" s="90" t="s">
        <v>130</v>
      </c>
      <c r="E385" s="91">
        <v>45858</v>
      </c>
      <c r="F385" s="30">
        <v>28</v>
      </c>
      <c r="G385" s="91">
        <v>45619</v>
      </c>
      <c r="H385" s="91">
        <v>46019</v>
      </c>
      <c r="I385" s="90">
        <v>0</v>
      </c>
      <c r="J385" s="92">
        <v>239</v>
      </c>
      <c r="K385" s="90" t="s">
        <v>226</v>
      </c>
      <c r="L385" s="90"/>
    </row>
    <row r="386" spans="1:12" ht="15" customHeight="1" outlineLevel="1" x14ac:dyDescent="0.3">
      <c r="A386" s="101" t="s">
        <v>662</v>
      </c>
      <c r="B386" s="90">
        <v>410</v>
      </c>
      <c r="C386" s="90"/>
      <c r="D386" s="90" t="s">
        <v>130</v>
      </c>
      <c r="E386" s="91">
        <v>45882</v>
      </c>
      <c r="F386" s="30">
        <v>21</v>
      </c>
      <c r="G386" s="91">
        <v>45619</v>
      </c>
      <c r="H386" s="91">
        <v>46019</v>
      </c>
      <c r="I386" s="90">
        <v>0</v>
      </c>
      <c r="J386" s="92">
        <v>263</v>
      </c>
      <c r="K386" s="90" t="s">
        <v>227</v>
      </c>
      <c r="L386" s="90"/>
    </row>
    <row r="387" spans="1:12" ht="15" customHeight="1" outlineLevel="1" x14ac:dyDescent="0.3">
      <c r="A387" s="101" t="s">
        <v>662</v>
      </c>
      <c r="B387" s="90">
        <v>410</v>
      </c>
      <c r="C387" s="90"/>
      <c r="D387" s="90" t="s">
        <v>130</v>
      </c>
      <c r="E387" s="91">
        <v>45893</v>
      </c>
      <c r="F387" s="30">
        <v>21</v>
      </c>
      <c r="G387" s="91">
        <v>45619</v>
      </c>
      <c r="H387" s="91">
        <v>46019</v>
      </c>
      <c r="I387" s="90">
        <v>0</v>
      </c>
      <c r="J387" s="92">
        <v>274</v>
      </c>
      <c r="K387" s="90" t="s">
        <v>227</v>
      </c>
      <c r="L387" s="90"/>
    </row>
    <row r="388" spans="1:12" ht="15" customHeight="1" outlineLevel="1" x14ac:dyDescent="0.3">
      <c r="A388" s="101" t="s">
        <v>662</v>
      </c>
      <c r="B388" s="90">
        <v>410</v>
      </c>
      <c r="C388" s="90"/>
      <c r="D388" s="90" t="s">
        <v>130</v>
      </c>
      <c r="E388" s="91">
        <v>45922</v>
      </c>
      <c r="F388" s="30">
        <v>22</v>
      </c>
      <c r="G388" s="91">
        <v>45619</v>
      </c>
      <c r="H388" s="91">
        <v>46019</v>
      </c>
      <c r="I388" s="90">
        <v>0</v>
      </c>
      <c r="J388" s="92">
        <v>303</v>
      </c>
      <c r="K388" s="90" t="s">
        <v>228</v>
      </c>
      <c r="L388" s="90"/>
    </row>
    <row r="389" spans="1:12" ht="15" customHeight="1" outlineLevel="1" x14ac:dyDescent="0.3">
      <c r="A389" s="101" t="s">
        <v>662</v>
      </c>
      <c r="B389" s="90">
        <v>410</v>
      </c>
      <c r="C389" s="90"/>
      <c r="D389" s="90" t="s">
        <v>130</v>
      </c>
      <c r="E389" s="91">
        <v>45932</v>
      </c>
      <c r="F389" s="30">
        <v>20</v>
      </c>
      <c r="G389" s="91">
        <v>45619</v>
      </c>
      <c r="H389" s="91">
        <v>46019</v>
      </c>
      <c r="I389" s="90">
        <v>0</v>
      </c>
      <c r="J389" s="92">
        <v>313</v>
      </c>
      <c r="K389" s="90" t="s">
        <v>229</v>
      </c>
      <c r="L389" s="90"/>
    </row>
    <row r="390" spans="1:12" ht="15" customHeight="1" outlineLevel="1" x14ac:dyDescent="0.3">
      <c r="A390" s="101" t="s">
        <v>662</v>
      </c>
      <c r="B390" s="90">
        <v>410</v>
      </c>
      <c r="C390" s="90"/>
      <c r="D390" s="90" t="s">
        <v>130</v>
      </c>
      <c r="E390" s="91">
        <v>45947</v>
      </c>
      <c r="F390" s="30">
        <v>16</v>
      </c>
      <c r="G390" s="91">
        <v>45619</v>
      </c>
      <c r="H390" s="91">
        <v>46019</v>
      </c>
      <c r="I390" s="90">
        <v>0</v>
      </c>
      <c r="J390" s="92">
        <v>328</v>
      </c>
      <c r="K390" s="90" t="s">
        <v>229</v>
      </c>
      <c r="L390" s="90"/>
    </row>
    <row r="391" spans="1:12" ht="15" customHeight="1" outlineLevel="1" x14ac:dyDescent="0.3">
      <c r="A391" s="101" t="s">
        <v>662</v>
      </c>
      <c r="B391" s="90">
        <v>410</v>
      </c>
      <c r="C391" s="90"/>
      <c r="D391" s="90" t="s">
        <v>130</v>
      </c>
      <c r="E391" s="91">
        <v>45979</v>
      </c>
      <c r="F391" s="30">
        <v>17</v>
      </c>
      <c r="G391" s="91">
        <v>45619</v>
      </c>
      <c r="H391" s="91">
        <v>46019</v>
      </c>
      <c r="I391" s="90">
        <v>0</v>
      </c>
      <c r="J391" s="92">
        <v>360</v>
      </c>
      <c r="K391" s="90" t="s">
        <v>230</v>
      </c>
      <c r="L391" s="90"/>
    </row>
    <row r="392" spans="1:12" ht="15" customHeight="1" outlineLevel="1" x14ac:dyDescent="0.3">
      <c r="A392" s="101" t="s">
        <v>662</v>
      </c>
      <c r="B392" s="90">
        <v>410</v>
      </c>
      <c r="C392" s="90"/>
      <c r="D392" s="90" t="s">
        <v>130</v>
      </c>
      <c r="E392" s="91">
        <v>45985</v>
      </c>
      <c r="F392" s="30">
        <v>17</v>
      </c>
      <c r="G392" s="91">
        <v>45619</v>
      </c>
      <c r="H392" s="91">
        <v>46019</v>
      </c>
      <c r="I392" s="90">
        <v>0</v>
      </c>
      <c r="J392" s="92">
        <v>366</v>
      </c>
      <c r="K392" s="90" t="s">
        <v>230</v>
      </c>
      <c r="L392" s="90"/>
    </row>
    <row r="393" spans="1:12" ht="15" customHeight="1" outlineLevel="1" x14ac:dyDescent="0.3">
      <c r="A393" s="101" t="s">
        <v>662</v>
      </c>
      <c r="B393" s="90">
        <v>410</v>
      </c>
      <c r="C393" s="90"/>
      <c r="D393" s="90" t="s">
        <v>130</v>
      </c>
      <c r="E393" s="91">
        <v>45990</v>
      </c>
      <c r="F393" s="30">
        <v>16</v>
      </c>
      <c r="G393" s="91">
        <v>45619</v>
      </c>
      <c r="H393" s="91">
        <v>46019</v>
      </c>
      <c r="I393" s="90">
        <v>0</v>
      </c>
      <c r="J393" s="92">
        <v>371</v>
      </c>
      <c r="K393" s="90" t="s">
        <v>230</v>
      </c>
      <c r="L393" s="90"/>
    </row>
    <row r="394" spans="1:12" ht="15" customHeight="1" outlineLevel="1" x14ac:dyDescent="0.3">
      <c r="A394" s="101" t="s">
        <v>662</v>
      </c>
      <c r="B394" s="90">
        <v>410</v>
      </c>
      <c r="C394" s="90"/>
      <c r="D394" s="90" t="s">
        <v>130</v>
      </c>
      <c r="E394" s="91">
        <v>46004</v>
      </c>
      <c r="F394" s="30">
        <v>19</v>
      </c>
      <c r="G394" s="91">
        <v>45619</v>
      </c>
      <c r="H394" s="91">
        <v>46019</v>
      </c>
      <c r="I394" s="90">
        <v>0</v>
      </c>
      <c r="J394" s="92">
        <v>385</v>
      </c>
      <c r="K394" s="90" t="s">
        <v>231</v>
      </c>
      <c r="L394" s="90"/>
    </row>
    <row r="395" spans="1:12" ht="15" customHeight="1" outlineLevel="1" x14ac:dyDescent="0.3">
      <c r="A395" s="101" t="s">
        <v>662</v>
      </c>
      <c r="B395" s="90">
        <v>410</v>
      </c>
      <c r="C395" s="90"/>
      <c r="D395" s="90" t="s">
        <v>130</v>
      </c>
      <c r="E395" s="91">
        <v>46012</v>
      </c>
      <c r="F395" s="30">
        <v>17</v>
      </c>
      <c r="G395" s="91">
        <v>45619</v>
      </c>
      <c r="H395" s="91">
        <v>46019</v>
      </c>
      <c r="I395" s="90">
        <v>0</v>
      </c>
      <c r="J395" s="92">
        <v>393</v>
      </c>
      <c r="K395" s="90" t="s">
        <v>231</v>
      </c>
      <c r="L395" s="90"/>
    </row>
    <row r="396" spans="1:12" ht="15" customHeight="1" x14ac:dyDescent="0.3">
      <c r="A396" s="101" t="s">
        <v>663</v>
      </c>
      <c r="B396" s="90">
        <v>411</v>
      </c>
      <c r="C396" s="90"/>
      <c r="D396" s="90" t="s">
        <v>130</v>
      </c>
      <c r="E396" s="91">
        <v>45310</v>
      </c>
      <c r="F396" s="30">
        <v>15.43</v>
      </c>
      <c r="G396" s="91">
        <v>45766</v>
      </c>
      <c r="H396" s="91">
        <v>46034</v>
      </c>
      <c r="I396" s="90">
        <v>0</v>
      </c>
      <c r="J396" s="92">
        <v>-456</v>
      </c>
      <c r="K396" s="90" t="s">
        <v>209</v>
      </c>
      <c r="L396" s="90"/>
    </row>
    <row r="397" spans="1:12" ht="15" customHeight="1" outlineLevel="1" x14ac:dyDescent="0.3">
      <c r="A397" s="101" t="s">
        <v>663</v>
      </c>
      <c r="B397" s="90">
        <v>411</v>
      </c>
      <c r="C397" s="90"/>
      <c r="D397" s="90" t="s">
        <v>130</v>
      </c>
      <c r="E397" s="91">
        <v>45360</v>
      </c>
      <c r="F397" s="30">
        <v>21.6</v>
      </c>
      <c r="G397" s="91">
        <v>45766</v>
      </c>
      <c r="H397" s="91">
        <v>46034</v>
      </c>
      <c r="I397" s="90">
        <v>0</v>
      </c>
      <c r="J397" s="92">
        <v>-406</v>
      </c>
      <c r="K397" s="90" t="s">
        <v>211</v>
      </c>
      <c r="L397" s="90"/>
    </row>
    <row r="398" spans="1:12" ht="15" customHeight="1" outlineLevel="1" x14ac:dyDescent="0.3">
      <c r="A398" s="101" t="s">
        <v>663</v>
      </c>
      <c r="B398" s="90">
        <v>411</v>
      </c>
      <c r="C398" s="90"/>
      <c r="D398" s="90" t="s">
        <v>130</v>
      </c>
      <c r="E398" s="91">
        <v>45402</v>
      </c>
      <c r="F398" s="30">
        <v>18.52</v>
      </c>
      <c r="G398" s="91">
        <v>45766</v>
      </c>
      <c r="H398" s="91">
        <v>46034</v>
      </c>
      <c r="I398" s="90">
        <v>0</v>
      </c>
      <c r="J398" s="92">
        <v>-364</v>
      </c>
      <c r="K398" s="90" t="s">
        <v>212</v>
      </c>
      <c r="L398" s="90"/>
    </row>
    <row r="399" spans="1:12" ht="15" customHeight="1" outlineLevel="1" x14ac:dyDescent="0.3">
      <c r="A399" s="101" t="s">
        <v>663</v>
      </c>
      <c r="B399" s="90">
        <v>411</v>
      </c>
      <c r="C399" s="90"/>
      <c r="D399" s="90" t="s">
        <v>130</v>
      </c>
      <c r="E399" s="91">
        <v>45467</v>
      </c>
      <c r="F399" s="30">
        <v>16.2</v>
      </c>
      <c r="G399" s="91">
        <v>45766</v>
      </c>
      <c r="H399" s="91">
        <v>46034</v>
      </c>
      <c r="I399" s="90">
        <v>0</v>
      </c>
      <c r="J399" s="92">
        <v>-299</v>
      </c>
      <c r="K399" s="90" t="s">
        <v>214</v>
      </c>
      <c r="L399" s="90"/>
    </row>
    <row r="400" spans="1:12" ht="15" customHeight="1" outlineLevel="1" x14ac:dyDescent="0.3">
      <c r="A400" s="101" t="s">
        <v>663</v>
      </c>
      <c r="B400" s="90">
        <v>411</v>
      </c>
      <c r="C400" s="90"/>
      <c r="D400" s="90" t="s">
        <v>130</v>
      </c>
      <c r="E400" s="91">
        <v>45646</v>
      </c>
      <c r="F400" s="30">
        <v>20.2</v>
      </c>
      <c r="G400" s="91">
        <v>45766</v>
      </c>
      <c r="H400" s="91">
        <v>46034</v>
      </c>
      <c r="I400" s="90">
        <v>0</v>
      </c>
      <c r="J400" s="92">
        <v>-120</v>
      </c>
      <c r="K400" s="90" t="s">
        <v>220</v>
      </c>
      <c r="L400" s="90"/>
    </row>
    <row r="401" spans="1:12" ht="15" customHeight="1" outlineLevel="1" x14ac:dyDescent="0.3">
      <c r="A401" s="101" t="s">
        <v>663</v>
      </c>
      <c r="B401" s="90">
        <v>411</v>
      </c>
      <c r="C401" s="90"/>
      <c r="D401" s="90" t="s">
        <v>130</v>
      </c>
      <c r="E401" s="91">
        <v>45652</v>
      </c>
      <c r="F401" s="30">
        <v>24</v>
      </c>
      <c r="G401" s="91">
        <v>45766</v>
      </c>
      <c r="H401" s="91">
        <v>46034</v>
      </c>
      <c r="I401" s="90">
        <v>0</v>
      </c>
      <c r="J401" s="92">
        <v>-114</v>
      </c>
      <c r="K401" s="90" t="s">
        <v>220</v>
      </c>
      <c r="L401" s="90"/>
    </row>
    <row r="402" spans="1:12" ht="15" customHeight="1" outlineLevel="1" x14ac:dyDescent="0.3">
      <c r="A402" s="101" t="s">
        <v>663</v>
      </c>
      <c r="B402" s="90">
        <v>411</v>
      </c>
      <c r="C402" s="90"/>
      <c r="D402" s="90" t="s">
        <v>130</v>
      </c>
      <c r="E402" s="91">
        <v>45675</v>
      </c>
      <c r="F402" s="30">
        <v>15.2</v>
      </c>
      <c r="G402" s="91">
        <v>45766</v>
      </c>
      <c r="H402" s="91">
        <v>46034</v>
      </c>
      <c r="I402" s="90">
        <v>0</v>
      </c>
      <c r="J402" s="92">
        <v>-91</v>
      </c>
      <c r="K402" s="90" t="s">
        <v>221</v>
      </c>
      <c r="L402" s="90"/>
    </row>
    <row r="403" spans="1:12" ht="15" customHeight="1" outlineLevel="1" x14ac:dyDescent="0.3">
      <c r="A403" s="101" t="s">
        <v>663</v>
      </c>
      <c r="B403" s="90">
        <v>411</v>
      </c>
      <c r="C403" s="90"/>
      <c r="D403" s="90" t="s">
        <v>130</v>
      </c>
      <c r="E403" s="91">
        <v>45692</v>
      </c>
      <c r="F403" s="30">
        <v>16</v>
      </c>
      <c r="G403" s="91">
        <v>45766</v>
      </c>
      <c r="H403" s="91">
        <v>46034</v>
      </c>
      <c r="I403" s="90">
        <v>0</v>
      </c>
      <c r="J403" s="92">
        <v>-74</v>
      </c>
      <c r="K403" s="90" t="s">
        <v>222</v>
      </c>
      <c r="L403" s="90"/>
    </row>
    <row r="404" spans="1:12" ht="15" customHeight="1" outlineLevel="1" x14ac:dyDescent="0.3">
      <c r="A404" s="101" t="s">
        <v>663</v>
      </c>
      <c r="B404" s="90">
        <v>411</v>
      </c>
      <c r="C404" s="90"/>
      <c r="D404" s="90" t="s">
        <v>130</v>
      </c>
      <c r="E404" s="91">
        <v>45724</v>
      </c>
      <c r="F404" s="30">
        <v>8.1999999999999993</v>
      </c>
      <c r="G404" s="91">
        <v>45766</v>
      </c>
      <c r="H404" s="91">
        <v>46034</v>
      </c>
      <c r="I404" s="90">
        <v>0</v>
      </c>
      <c r="J404" s="92">
        <v>-42</v>
      </c>
      <c r="K404" s="90" t="s">
        <v>223</v>
      </c>
      <c r="L404" s="90"/>
    </row>
    <row r="405" spans="1:12" ht="15" customHeight="1" outlineLevel="1" x14ac:dyDescent="0.3">
      <c r="A405" s="101" t="s">
        <v>663</v>
      </c>
      <c r="B405" s="90">
        <v>411</v>
      </c>
      <c r="C405" s="90"/>
      <c r="D405" s="90" t="s">
        <v>130</v>
      </c>
      <c r="E405" s="91">
        <v>45858</v>
      </c>
      <c r="F405" s="30">
        <v>30</v>
      </c>
      <c r="G405" s="91">
        <v>45766</v>
      </c>
      <c r="H405" s="91">
        <v>46034</v>
      </c>
      <c r="I405" s="90">
        <v>0</v>
      </c>
      <c r="J405" s="92">
        <v>92</v>
      </c>
      <c r="K405" s="90" t="s">
        <v>226</v>
      </c>
      <c r="L405" s="90"/>
    </row>
    <row r="406" spans="1:12" ht="15" customHeight="1" outlineLevel="1" x14ac:dyDescent="0.3">
      <c r="A406" s="101" t="s">
        <v>663</v>
      </c>
      <c r="B406" s="90">
        <v>411</v>
      </c>
      <c r="C406" s="90"/>
      <c r="D406" s="90" t="s">
        <v>130</v>
      </c>
      <c r="E406" s="91">
        <v>45882</v>
      </c>
      <c r="F406" s="30">
        <v>28</v>
      </c>
      <c r="G406" s="91">
        <v>45766</v>
      </c>
      <c r="H406" s="91">
        <v>46034</v>
      </c>
      <c r="I406" s="90">
        <v>0</v>
      </c>
      <c r="J406" s="92">
        <v>116</v>
      </c>
      <c r="K406" s="90" t="s">
        <v>227</v>
      </c>
      <c r="L406" s="90"/>
    </row>
    <row r="407" spans="1:12" ht="15" customHeight="1" outlineLevel="1" x14ac:dyDescent="0.3">
      <c r="A407" s="101" t="s">
        <v>663</v>
      </c>
      <c r="B407" s="90">
        <v>411</v>
      </c>
      <c r="C407" s="90"/>
      <c r="D407" s="90" t="s">
        <v>130</v>
      </c>
      <c r="E407" s="91">
        <v>45893</v>
      </c>
      <c r="F407" s="30">
        <v>28</v>
      </c>
      <c r="G407" s="91">
        <v>45766</v>
      </c>
      <c r="H407" s="91">
        <v>46034</v>
      </c>
      <c r="I407" s="90">
        <v>0</v>
      </c>
      <c r="J407" s="92">
        <v>127</v>
      </c>
      <c r="K407" s="90" t="s">
        <v>227</v>
      </c>
      <c r="L407" s="90"/>
    </row>
    <row r="408" spans="1:12" ht="15" customHeight="1" outlineLevel="1" x14ac:dyDescent="0.3">
      <c r="A408" s="101" t="s">
        <v>663</v>
      </c>
      <c r="B408" s="90">
        <v>411</v>
      </c>
      <c r="C408" s="90"/>
      <c r="D408" s="90" t="s">
        <v>130</v>
      </c>
      <c r="E408" s="91">
        <v>45922</v>
      </c>
      <c r="F408" s="30">
        <v>25</v>
      </c>
      <c r="G408" s="91">
        <v>45766</v>
      </c>
      <c r="H408" s="91">
        <v>46034</v>
      </c>
      <c r="I408" s="90">
        <v>0</v>
      </c>
      <c r="J408" s="92">
        <v>156</v>
      </c>
      <c r="K408" s="90" t="s">
        <v>228</v>
      </c>
      <c r="L408" s="90"/>
    </row>
    <row r="409" spans="1:12" ht="15" customHeight="1" outlineLevel="1" x14ac:dyDescent="0.3">
      <c r="A409" s="101" t="s">
        <v>663</v>
      </c>
      <c r="B409" s="90">
        <v>411</v>
      </c>
      <c r="C409" s="90"/>
      <c r="D409" s="90" t="s">
        <v>130</v>
      </c>
      <c r="E409" s="91">
        <v>45932</v>
      </c>
      <c r="F409" s="30">
        <v>25</v>
      </c>
      <c r="G409" s="91">
        <v>45766</v>
      </c>
      <c r="H409" s="91">
        <v>46034</v>
      </c>
      <c r="I409" s="90">
        <v>0</v>
      </c>
      <c r="J409" s="92">
        <v>166</v>
      </c>
      <c r="K409" s="90" t="s">
        <v>229</v>
      </c>
      <c r="L409" s="90"/>
    </row>
    <row r="410" spans="1:12" ht="15" customHeight="1" outlineLevel="1" x14ac:dyDescent="0.3">
      <c r="A410" s="101" t="s">
        <v>663</v>
      </c>
      <c r="B410" s="90">
        <v>411</v>
      </c>
      <c r="C410" s="90"/>
      <c r="D410" s="90" t="s">
        <v>130</v>
      </c>
      <c r="E410" s="91">
        <v>45947</v>
      </c>
      <c r="F410" s="30">
        <v>19</v>
      </c>
      <c r="G410" s="91">
        <v>45766</v>
      </c>
      <c r="H410" s="91">
        <v>46034</v>
      </c>
      <c r="I410" s="90">
        <v>0</v>
      </c>
      <c r="J410" s="92">
        <v>181</v>
      </c>
      <c r="K410" s="90" t="s">
        <v>229</v>
      </c>
      <c r="L410" s="90"/>
    </row>
    <row r="411" spans="1:12" ht="15" customHeight="1" outlineLevel="1" x14ac:dyDescent="0.3">
      <c r="A411" s="101" t="s">
        <v>663</v>
      </c>
      <c r="B411" s="90">
        <v>411</v>
      </c>
      <c r="C411" s="90"/>
      <c r="D411" s="90" t="s">
        <v>130</v>
      </c>
      <c r="E411" s="91">
        <v>45979</v>
      </c>
      <c r="F411" s="30">
        <v>15</v>
      </c>
      <c r="G411" s="91">
        <v>45766</v>
      </c>
      <c r="H411" s="91">
        <v>46034</v>
      </c>
      <c r="I411" s="90">
        <v>0</v>
      </c>
      <c r="J411" s="92">
        <v>213</v>
      </c>
      <c r="K411" s="90" t="s">
        <v>230</v>
      </c>
      <c r="L411" s="90"/>
    </row>
    <row r="412" spans="1:12" ht="15" customHeight="1" outlineLevel="1" x14ac:dyDescent="0.3">
      <c r="A412" s="101" t="s">
        <v>663</v>
      </c>
      <c r="B412" s="90">
        <v>411</v>
      </c>
      <c r="C412" s="90"/>
      <c r="D412" s="90" t="s">
        <v>130</v>
      </c>
      <c r="E412" s="91">
        <v>45985</v>
      </c>
      <c r="F412" s="30">
        <v>17</v>
      </c>
      <c r="G412" s="91">
        <v>45766</v>
      </c>
      <c r="H412" s="91">
        <v>46034</v>
      </c>
      <c r="I412" s="90">
        <v>0</v>
      </c>
      <c r="J412" s="92">
        <v>219</v>
      </c>
      <c r="K412" s="90" t="s">
        <v>230</v>
      </c>
      <c r="L412" s="90"/>
    </row>
    <row r="413" spans="1:12" ht="15" customHeight="1" outlineLevel="1" x14ac:dyDescent="0.3">
      <c r="A413" s="101" t="s">
        <v>663</v>
      </c>
      <c r="B413" s="90">
        <v>411</v>
      </c>
      <c r="C413" s="90"/>
      <c r="D413" s="90" t="s">
        <v>130</v>
      </c>
      <c r="E413" s="91">
        <v>45990</v>
      </c>
      <c r="F413" s="30">
        <v>18</v>
      </c>
      <c r="G413" s="91">
        <v>45766</v>
      </c>
      <c r="H413" s="91">
        <v>46034</v>
      </c>
      <c r="I413" s="90">
        <v>0</v>
      </c>
      <c r="J413" s="92">
        <v>224</v>
      </c>
      <c r="K413" s="90" t="s">
        <v>230</v>
      </c>
      <c r="L413" s="90"/>
    </row>
    <row r="414" spans="1:12" ht="15" customHeight="1" outlineLevel="1" x14ac:dyDescent="0.3">
      <c r="A414" s="101" t="s">
        <v>663</v>
      </c>
      <c r="B414" s="90">
        <v>411</v>
      </c>
      <c r="C414" s="90"/>
      <c r="D414" s="90" t="s">
        <v>130</v>
      </c>
      <c r="E414" s="91">
        <v>46004</v>
      </c>
      <c r="F414" s="30">
        <v>20</v>
      </c>
      <c r="G414" s="91">
        <v>45766</v>
      </c>
      <c r="H414" s="91">
        <v>46034</v>
      </c>
      <c r="I414" s="90">
        <v>0</v>
      </c>
      <c r="J414" s="92">
        <v>238</v>
      </c>
      <c r="K414" s="90" t="s">
        <v>231</v>
      </c>
      <c r="L414" s="90"/>
    </row>
    <row r="415" spans="1:12" ht="15" customHeight="1" outlineLevel="1" x14ac:dyDescent="0.3">
      <c r="A415" s="101" t="s">
        <v>663</v>
      </c>
      <c r="B415" s="90">
        <v>411</v>
      </c>
      <c r="C415" s="90"/>
      <c r="D415" s="90" t="s">
        <v>130</v>
      </c>
      <c r="E415" s="91">
        <v>46012</v>
      </c>
      <c r="F415" s="30">
        <v>19</v>
      </c>
      <c r="G415" s="91">
        <v>45766</v>
      </c>
      <c r="H415" s="91">
        <v>46034</v>
      </c>
      <c r="I415" s="90">
        <v>0</v>
      </c>
      <c r="J415" s="92">
        <v>246</v>
      </c>
      <c r="K415" s="90" t="s">
        <v>231</v>
      </c>
      <c r="L415" s="90"/>
    </row>
    <row r="416" spans="1:12" ht="15" customHeight="1" outlineLevel="1" x14ac:dyDescent="0.3">
      <c r="A416" s="101" t="s">
        <v>663</v>
      </c>
      <c r="B416" s="90">
        <v>411</v>
      </c>
      <c r="C416" s="90"/>
      <c r="D416" s="90" t="s">
        <v>130</v>
      </c>
      <c r="E416" s="91">
        <v>46020</v>
      </c>
      <c r="F416" s="30">
        <v>23</v>
      </c>
      <c r="G416" s="91">
        <v>45766</v>
      </c>
      <c r="H416" s="91">
        <v>46034</v>
      </c>
      <c r="I416" s="90">
        <v>0</v>
      </c>
      <c r="J416" s="92">
        <v>254</v>
      </c>
      <c r="K416" s="90" t="s">
        <v>231</v>
      </c>
      <c r="L416" s="90"/>
    </row>
    <row r="417" spans="1:12" ht="15" customHeight="1" outlineLevel="1" x14ac:dyDescent="0.3">
      <c r="A417" s="101" t="s">
        <v>663</v>
      </c>
      <c r="B417" s="90">
        <v>411</v>
      </c>
      <c r="C417" s="90"/>
      <c r="D417" s="90" t="s">
        <v>130</v>
      </c>
      <c r="E417" s="91">
        <v>46026</v>
      </c>
      <c r="F417" s="30">
        <v>16</v>
      </c>
      <c r="G417" s="91">
        <v>45766</v>
      </c>
      <c r="H417" s="91">
        <v>46034</v>
      </c>
      <c r="I417" s="90">
        <v>0</v>
      </c>
      <c r="J417" s="92">
        <v>260</v>
      </c>
      <c r="K417" s="90" t="s">
        <v>232</v>
      </c>
      <c r="L417" s="90"/>
    </row>
    <row r="418" spans="1:12" ht="15" customHeight="1" x14ac:dyDescent="0.3">
      <c r="A418" s="101" t="s">
        <v>665</v>
      </c>
      <c r="B418" s="90">
        <v>413</v>
      </c>
      <c r="C418" s="90"/>
      <c r="D418" s="90" t="s">
        <v>130</v>
      </c>
      <c r="E418" s="91">
        <v>45224</v>
      </c>
      <c r="F418" s="30">
        <v>15.63</v>
      </c>
      <c r="G418" s="91">
        <v>45662</v>
      </c>
      <c r="H418" s="91">
        <v>46034</v>
      </c>
      <c r="I418" s="90">
        <v>0</v>
      </c>
      <c r="J418" s="92">
        <v>-438</v>
      </c>
      <c r="K418" s="90" t="s">
        <v>206</v>
      </c>
      <c r="L418" s="90"/>
    </row>
    <row r="419" spans="1:12" ht="15" customHeight="1" outlineLevel="1" x14ac:dyDescent="0.3">
      <c r="A419" s="101" t="s">
        <v>665</v>
      </c>
      <c r="B419" s="90">
        <v>413</v>
      </c>
      <c r="C419" s="90"/>
      <c r="D419" s="90" t="s">
        <v>130</v>
      </c>
      <c r="E419" s="91">
        <v>45257</v>
      </c>
      <c r="F419" s="30">
        <v>18.52</v>
      </c>
      <c r="G419" s="91">
        <v>45662</v>
      </c>
      <c r="H419" s="91">
        <v>46034</v>
      </c>
      <c r="I419" s="90">
        <v>0</v>
      </c>
      <c r="J419" s="92">
        <v>-405</v>
      </c>
      <c r="K419" s="90" t="s">
        <v>207</v>
      </c>
      <c r="L419" s="90"/>
    </row>
    <row r="420" spans="1:12" ht="15" customHeight="1" outlineLevel="1" x14ac:dyDescent="0.3">
      <c r="A420" s="101" t="s">
        <v>665</v>
      </c>
      <c r="B420" s="90">
        <v>413</v>
      </c>
      <c r="C420" s="90"/>
      <c r="D420" s="90" t="s">
        <v>130</v>
      </c>
      <c r="E420" s="91">
        <v>45271</v>
      </c>
      <c r="F420" s="30">
        <v>16.04</v>
      </c>
      <c r="G420" s="91">
        <v>45662</v>
      </c>
      <c r="H420" s="91">
        <v>46034</v>
      </c>
      <c r="I420" s="90">
        <v>0</v>
      </c>
      <c r="J420" s="92">
        <v>-391</v>
      </c>
      <c r="K420" s="90" t="s">
        <v>208</v>
      </c>
      <c r="L420" s="90"/>
    </row>
    <row r="421" spans="1:12" ht="15" customHeight="1" outlineLevel="1" x14ac:dyDescent="0.3">
      <c r="A421" s="101" t="s">
        <v>665</v>
      </c>
      <c r="B421" s="90">
        <v>413</v>
      </c>
      <c r="C421" s="90"/>
      <c r="D421" s="90" t="s">
        <v>130</v>
      </c>
      <c r="E421" s="91">
        <v>45310</v>
      </c>
      <c r="F421" s="30">
        <v>16.77</v>
      </c>
      <c r="G421" s="91">
        <v>45662</v>
      </c>
      <c r="H421" s="91">
        <v>46034</v>
      </c>
      <c r="I421" s="90">
        <v>0</v>
      </c>
      <c r="J421" s="92">
        <v>-352</v>
      </c>
      <c r="K421" s="90" t="s">
        <v>209</v>
      </c>
      <c r="L421" s="90"/>
    </row>
    <row r="422" spans="1:12" ht="15" customHeight="1" outlineLevel="1" x14ac:dyDescent="0.3">
      <c r="A422" s="101" t="s">
        <v>665</v>
      </c>
      <c r="B422" s="90">
        <v>413</v>
      </c>
      <c r="C422" s="90"/>
      <c r="D422" s="90" t="s">
        <v>130</v>
      </c>
      <c r="E422" s="91">
        <v>45360</v>
      </c>
      <c r="F422" s="30">
        <v>20.58</v>
      </c>
      <c r="G422" s="91">
        <v>45662</v>
      </c>
      <c r="H422" s="91">
        <v>46034</v>
      </c>
      <c r="I422" s="90">
        <v>0</v>
      </c>
      <c r="J422" s="92">
        <v>-302</v>
      </c>
      <c r="K422" s="90" t="s">
        <v>211</v>
      </c>
      <c r="L422" s="90"/>
    </row>
    <row r="423" spans="1:12" ht="15" customHeight="1" outlineLevel="1" x14ac:dyDescent="0.3">
      <c r="A423" s="101" t="s">
        <v>665</v>
      </c>
      <c r="B423" s="90">
        <v>413</v>
      </c>
      <c r="C423" s="90"/>
      <c r="D423" s="90" t="s">
        <v>130</v>
      </c>
      <c r="E423" s="91">
        <v>45402</v>
      </c>
      <c r="F423" s="30">
        <v>15.63</v>
      </c>
      <c r="G423" s="91">
        <v>45662</v>
      </c>
      <c r="H423" s="91">
        <v>46034</v>
      </c>
      <c r="I423" s="90">
        <v>0</v>
      </c>
      <c r="J423" s="92">
        <v>-260</v>
      </c>
      <c r="K423" s="90" t="s">
        <v>212</v>
      </c>
      <c r="L423" s="90"/>
    </row>
    <row r="424" spans="1:12" ht="15" customHeight="1" outlineLevel="1" x14ac:dyDescent="0.3">
      <c r="A424" s="101" t="s">
        <v>665</v>
      </c>
      <c r="B424" s="90">
        <v>413</v>
      </c>
      <c r="C424" s="90"/>
      <c r="D424" s="90" t="s">
        <v>130</v>
      </c>
      <c r="E424" s="91">
        <v>45467</v>
      </c>
      <c r="F424" s="30">
        <v>20.3</v>
      </c>
      <c r="G424" s="91">
        <v>45662</v>
      </c>
      <c r="H424" s="91">
        <v>46034</v>
      </c>
      <c r="I424" s="90">
        <v>0</v>
      </c>
      <c r="J424" s="92">
        <v>-195</v>
      </c>
      <c r="K424" s="90" t="s">
        <v>214</v>
      </c>
      <c r="L424" s="90"/>
    </row>
    <row r="425" spans="1:12" ht="15" customHeight="1" outlineLevel="1" x14ac:dyDescent="0.3">
      <c r="A425" s="101" t="s">
        <v>665</v>
      </c>
      <c r="B425" s="90">
        <v>413</v>
      </c>
      <c r="C425" s="90"/>
      <c r="D425" s="90" t="s">
        <v>130</v>
      </c>
      <c r="E425" s="91">
        <v>45675</v>
      </c>
      <c r="F425" s="30">
        <v>18</v>
      </c>
      <c r="G425" s="91">
        <v>45662</v>
      </c>
      <c r="H425" s="91">
        <v>46034</v>
      </c>
      <c r="I425" s="90">
        <v>0</v>
      </c>
      <c r="J425" s="92">
        <v>13</v>
      </c>
      <c r="K425" s="90" t="s">
        <v>221</v>
      </c>
      <c r="L425" s="90"/>
    </row>
    <row r="426" spans="1:12" ht="15" customHeight="1" outlineLevel="1" x14ac:dyDescent="0.3">
      <c r="A426" s="101" t="s">
        <v>665</v>
      </c>
      <c r="B426" s="90">
        <v>413</v>
      </c>
      <c r="C426" s="90"/>
      <c r="D426" s="90" t="s">
        <v>130</v>
      </c>
      <c r="E426" s="91">
        <v>45692</v>
      </c>
      <c r="F426" s="30">
        <v>20</v>
      </c>
      <c r="G426" s="91">
        <v>45662</v>
      </c>
      <c r="H426" s="91">
        <v>46034</v>
      </c>
      <c r="I426" s="90">
        <v>0</v>
      </c>
      <c r="J426" s="92">
        <v>30</v>
      </c>
      <c r="K426" s="90" t="s">
        <v>222</v>
      </c>
      <c r="L426" s="90"/>
    </row>
    <row r="427" spans="1:12" ht="15" customHeight="1" outlineLevel="1" x14ac:dyDescent="0.3">
      <c r="A427" s="101" t="s">
        <v>665</v>
      </c>
      <c r="B427" s="90">
        <v>413</v>
      </c>
      <c r="C427" s="90"/>
      <c r="D427" s="90" t="s">
        <v>130</v>
      </c>
      <c r="E427" s="91">
        <v>45724</v>
      </c>
      <c r="F427" s="30">
        <v>22</v>
      </c>
      <c r="G427" s="91">
        <v>45662</v>
      </c>
      <c r="H427" s="91">
        <v>46034</v>
      </c>
      <c r="I427" s="90">
        <v>0</v>
      </c>
      <c r="J427" s="92">
        <v>62</v>
      </c>
      <c r="K427" s="90" t="s">
        <v>223</v>
      </c>
      <c r="L427" s="90"/>
    </row>
    <row r="428" spans="1:12" ht="15" customHeight="1" outlineLevel="1" x14ac:dyDescent="0.3">
      <c r="A428" s="101" t="s">
        <v>665</v>
      </c>
      <c r="B428" s="90">
        <v>413</v>
      </c>
      <c r="C428" s="90"/>
      <c r="D428" s="90" t="s">
        <v>130</v>
      </c>
      <c r="E428" s="91">
        <v>45731</v>
      </c>
      <c r="F428" s="30">
        <v>19</v>
      </c>
      <c r="G428" s="91">
        <v>45662</v>
      </c>
      <c r="H428" s="91">
        <v>46034</v>
      </c>
      <c r="I428" s="90">
        <v>0</v>
      </c>
      <c r="J428" s="92">
        <v>69</v>
      </c>
      <c r="K428" s="90" t="s">
        <v>223</v>
      </c>
      <c r="L428" s="90"/>
    </row>
    <row r="429" spans="1:12" ht="15" customHeight="1" outlineLevel="1" x14ac:dyDescent="0.3">
      <c r="A429" s="101" t="s">
        <v>665</v>
      </c>
      <c r="B429" s="90">
        <v>413</v>
      </c>
      <c r="C429" s="90"/>
      <c r="D429" s="90" t="s">
        <v>130</v>
      </c>
      <c r="E429" s="91">
        <v>45766</v>
      </c>
      <c r="F429" s="30">
        <v>25</v>
      </c>
      <c r="G429" s="91">
        <v>45662</v>
      </c>
      <c r="H429" s="91">
        <v>46034</v>
      </c>
      <c r="I429" s="90">
        <v>0</v>
      </c>
      <c r="J429" s="92">
        <v>104</v>
      </c>
      <c r="K429" s="90" t="s">
        <v>224</v>
      </c>
      <c r="L429" s="90"/>
    </row>
    <row r="430" spans="1:12" ht="15" customHeight="1" outlineLevel="1" x14ac:dyDescent="0.3">
      <c r="A430" s="101" t="s">
        <v>665</v>
      </c>
      <c r="B430" s="90">
        <v>413</v>
      </c>
      <c r="C430" s="90"/>
      <c r="D430" s="90" t="s">
        <v>130</v>
      </c>
      <c r="E430" s="91">
        <v>45858</v>
      </c>
      <c r="F430" s="30">
        <v>19</v>
      </c>
      <c r="G430" s="91">
        <v>45662</v>
      </c>
      <c r="H430" s="91">
        <v>46034</v>
      </c>
      <c r="I430" s="90">
        <v>0</v>
      </c>
      <c r="J430" s="92">
        <v>196</v>
      </c>
      <c r="K430" s="90" t="s">
        <v>226</v>
      </c>
      <c r="L430" s="90"/>
    </row>
    <row r="431" spans="1:12" ht="15" customHeight="1" outlineLevel="1" x14ac:dyDescent="0.3">
      <c r="A431" s="101" t="s">
        <v>665</v>
      </c>
      <c r="B431" s="90">
        <v>413</v>
      </c>
      <c r="C431" s="90"/>
      <c r="D431" s="90" t="s">
        <v>130</v>
      </c>
      <c r="E431" s="91">
        <v>45882</v>
      </c>
      <c r="F431" s="30">
        <v>16</v>
      </c>
      <c r="G431" s="91">
        <v>45662</v>
      </c>
      <c r="H431" s="91">
        <v>46034</v>
      </c>
      <c r="I431" s="90">
        <v>0</v>
      </c>
      <c r="J431" s="92">
        <v>220</v>
      </c>
      <c r="K431" s="90" t="s">
        <v>227</v>
      </c>
      <c r="L431" s="90"/>
    </row>
    <row r="432" spans="1:12" ht="15" customHeight="1" outlineLevel="1" x14ac:dyDescent="0.3">
      <c r="A432" s="101" t="s">
        <v>665</v>
      </c>
      <c r="B432" s="90">
        <v>413</v>
      </c>
      <c r="C432" s="90"/>
      <c r="D432" s="90" t="s">
        <v>130</v>
      </c>
      <c r="E432" s="91">
        <v>45893</v>
      </c>
      <c r="F432" s="30">
        <v>20</v>
      </c>
      <c r="G432" s="91">
        <v>45662</v>
      </c>
      <c r="H432" s="91">
        <v>46034</v>
      </c>
      <c r="I432" s="90">
        <v>0</v>
      </c>
      <c r="J432" s="92">
        <v>231</v>
      </c>
      <c r="K432" s="90" t="s">
        <v>227</v>
      </c>
      <c r="L432" s="90"/>
    </row>
    <row r="433" spans="1:12" ht="15" customHeight="1" outlineLevel="1" x14ac:dyDescent="0.3">
      <c r="A433" s="101" t="s">
        <v>665</v>
      </c>
      <c r="B433" s="90">
        <v>413</v>
      </c>
      <c r="C433" s="90"/>
      <c r="D433" s="90" t="s">
        <v>130</v>
      </c>
      <c r="E433" s="91">
        <v>45922</v>
      </c>
      <c r="F433" s="30">
        <v>21</v>
      </c>
      <c r="G433" s="91">
        <v>45662</v>
      </c>
      <c r="H433" s="91">
        <v>46034</v>
      </c>
      <c r="I433" s="90">
        <v>0</v>
      </c>
      <c r="J433" s="92">
        <v>260</v>
      </c>
      <c r="K433" s="90" t="s">
        <v>228</v>
      </c>
      <c r="L433" s="90"/>
    </row>
    <row r="434" spans="1:12" ht="15" customHeight="1" outlineLevel="1" x14ac:dyDescent="0.3">
      <c r="A434" s="101" t="s">
        <v>665</v>
      </c>
      <c r="B434" s="90">
        <v>413</v>
      </c>
      <c r="C434" s="90"/>
      <c r="D434" s="90" t="s">
        <v>130</v>
      </c>
      <c r="E434" s="91">
        <v>45932</v>
      </c>
      <c r="F434" s="30">
        <v>19</v>
      </c>
      <c r="G434" s="91">
        <v>45662</v>
      </c>
      <c r="H434" s="91">
        <v>46034</v>
      </c>
      <c r="I434" s="90">
        <v>0</v>
      </c>
      <c r="J434" s="92">
        <v>270</v>
      </c>
      <c r="K434" s="90" t="s">
        <v>229</v>
      </c>
      <c r="L434" s="90"/>
    </row>
    <row r="435" spans="1:12" ht="15" customHeight="1" outlineLevel="1" x14ac:dyDescent="0.3">
      <c r="A435" s="101" t="s">
        <v>665</v>
      </c>
      <c r="B435" s="90">
        <v>413</v>
      </c>
      <c r="C435" s="90"/>
      <c r="D435" s="90" t="s">
        <v>130</v>
      </c>
      <c r="E435" s="91">
        <v>45947</v>
      </c>
      <c r="F435" s="30">
        <v>21</v>
      </c>
      <c r="G435" s="91">
        <v>45662</v>
      </c>
      <c r="H435" s="91">
        <v>46034</v>
      </c>
      <c r="I435" s="90">
        <v>0</v>
      </c>
      <c r="J435" s="92">
        <v>285</v>
      </c>
      <c r="K435" s="90" t="s">
        <v>229</v>
      </c>
      <c r="L435" s="90"/>
    </row>
    <row r="436" spans="1:12" ht="15" customHeight="1" outlineLevel="1" x14ac:dyDescent="0.3">
      <c r="A436" s="101" t="s">
        <v>665</v>
      </c>
      <c r="B436" s="90">
        <v>413</v>
      </c>
      <c r="C436" s="90"/>
      <c r="D436" s="90" t="s">
        <v>130</v>
      </c>
      <c r="E436" s="91">
        <v>45979</v>
      </c>
      <c r="F436" s="30">
        <v>15</v>
      </c>
      <c r="G436" s="91">
        <v>45662</v>
      </c>
      <c r="H436" s="91">
        <v>46034</v>
      </c>
      <c r="I436" s="90">
        <v>0</v>
      </c>
      <c r="J436" s="92">
        <v>317</v>
      </c>
      <c r="K436" s="90" t="s">
        <v>230</v>
      </c>
      <c r="L436" s="90"/>
    </row>
    <row r="437" spans="1:12" ht="15" customHeight="1" outlineLevel="1" x14ac:dyDescent="0.3">
      <c r="A437" s="101" t="s">
        <v>665</v>
      </c>
      <c r="B437" s="90">
        <v>413</v>
      </c>
      <c r="C437" s="90"/>
      <c r="D437" s="90" t="s">
        <v>130</v>
      </c>
      <c r="E437" s="91">
        <v>45985</v>
      </c>
      <c r="F437" s="30">
        <v>17</v>
      </c>
      <c r="G437" s="91">
        <v>45662</v>
      </c>
      <c r="H437" s="91">
        <v>46034</v>
      </c>
      <c r="I437" s="90">
        <v>0</v>
      </c>
      <c r="J437" s="92">
        <v>323</v>
      </c>
      <c r="K437" s="90" t="s">
        <v>230</v>
      </c>
      <c r="L437" s="90"/>
    </row>
    <row r="438" spans="1:12" ht="15" customHeight="1" outlineLevel="1" x14ac:dyDescent="0.3">
      <c r="A438" s="101" t="s">
        <v>665</v>
      </c>
      <c r="B438" s="90">
        <v>413</v>
      </c>
      <c r="C438" s="90"/>
      <c r="D438" s="90" t="s">
        <v>130</v>
      </c>
      <c r="E438" s="91">
        <v>45990</v>
      </c>
      <c r="F438" s="30">
        <v>15</v>
      </c>
      <c r="G438" s="91">
        <v>45662</v>
      </c>
      <c r="H438" s="91">
        <v>46034</v>
      </c>
      <c r="I438" s="90">
        <v>0</v>
      </c>
      <c r="J438" s="92">
        <v>328</v>
      </c>
      <c r="K438" s="90" t="s">
        <v>230</v>
      </c>
      <c r="L438" s="90"/>
    </row>
    <row r="439" spans="1:12" ht="15" customHeight="1" outlineLevel="1" x14ac:dyDescent="0.3">
      <c r="A439" s="101" t="s">
        <v>665</v>
      </c>
      <c r="B439" s="90">
        <v>413</v>
      </c>
      <c r="C439" s="90"/>
      <c r="D439" s="90" t="s">
        <v>130</v>
      </c>
      <c r="E439" s="91">
        <v>46004</v>
      </c>
      <c r="F439" s="30">
        <v>16</v>
      </c>
      <c r="G439" s="91">
        <v>45662</v>
      </c>
      <c r="H439" s="91">
        <v>46034</v>
      </c>
      <c r="I439" s="90">
        <v>0</v>
      </c>
      <c r="J439" s="92">
        <v>342</v>
      </c>
      <c r="K439" s="90" t="s">
        <v>231</v>
      </c>
      <c r="L439" s="90"/>
    </row>
    <row r="440" spans="1:12" ht="15" customHeight="1" outlineLevel="1" x14ac:dyDescent="0.3">
      <c r="A440" s="101" t="s">
        <v>665</v>
      </c>
      <c r="B440" s="90">
        <v>413</v>
      </c>
      <c r="C440" s="90"/>
      <c r="D440" s="90" t="s">
        <v>130</v>
      </c>
      <c r="E440" s="91">
        <v>46012</v>
      </c>
      <c r="F440" s="30">
        <v>17</v>
      </c>
      <c r="G440" s="91">
        <v>45662</v>
      </c>
      <c r="H440" s="91">
        <v>46034</v>
      </c>
      <c r="I440" s="90">
        <v>0</v>
      </c>
      <c r="J440" s="92">
        <v>350</v>
      </c>
      <c r="K440" s="90" t="s">
        <v>231</v>
      </c>
      <c r="L440" s="90"/>
    </row>
    <row r="441" spans="1:12" ht="15" customHeight="1" outlineLevel="1" x14ac:dyDescent="0.3">
      <c r="A441" s="101" t="s">
        <v>665</v>
      </c>
      <c r="B441" s="90">
        <v>413</v>
      </c>
      <c r="C441" s="90"/>
      <c r="D441" s="90" t="s">
        <v>130</v>
      </c>
      <c r="E441" s="91">
        <v>46020</v>
      </c>
      <c r="F441" s="30">
        <v>10</v>
      </c>
      <c r="G441" s="91">
        <v>45662</v>
      </c>
      <c r="H441" s="91">
        <v>46034</v>
      </c>
      <c r="I441" s="90">
        <v>0</v>
      </c>
      <c r="J441" s="92">
        <v>358</v>
      </c>
      <c r="K441" s="90" t="s">
        <v>231</v>
      </c>
      <c r="L441" s="90"/>
    </row>
    <row r="442" spans="1:12" ht="15" customHeight="1" outlineLevel="1" x14ac:dyDescent="0.3">
      <c r="A442" s="101" t="s">
        <v>665</v>
      </c>
      <c r="B442" s="90">
        <v>413</v>
      </c>
      <c r="C442" s="90"/>
      <c r="D442" s="90" t="s">
        <v>130</v>
      </c>
      <c r="E442" s="91">
        <v>46026</v>
      </c>
      <c r="F442" s="30">
        <v>13</v>
      </c>
      <c r="G442" s="91">
        <v>45662</v>
      </c>
      <c r="H442" s="91">
        <v>46034</v>
      </c>
      <c r="I442" s="90">
        <v>0</v>
      </c>
      <c r="J442" s="92">
        <v>364</v>
      </c>
      <c r="K442" s="90" t="s">
        <v>232</v>
      </c>
      <c r="L442" s="90"/>
    </row>
    <row r="443" spans="1:12" ht="15" customHeight="1" x14ac:dyDescent="0.3">
      <c r="A443" s="101" t="s">
        <v>666</v>
      </c>
      <c r="B443" s="90">
        <v>414</v>
      </c>
      <c r="C443" s="90"/>
      <c r="D443" s="90" t="s">
        <v>130</v>
      </c>
      <c r="E443" s="91">
        <v>45131</v>
      </c>
      <c r="F443" s="30">
        <v>12.55</v>
      </c>
      <c r="G443" s="91">
        <v>45931</v>
      </c>
      <c r="H443" s="91"/>
      <c r="I443" s="90">
        <v>1</v>
      </c>
      <c r="J443" s="92">
        <v>-800</v>
      </c>
      <c r="K443" s="90" t="s">
        <v>203</v>
      </c>
      <c r="L443" s="90"/>
    </row>
    <row r="444" spans="1:12" ht="15" customHeight="1" outlineLevel="1" x14ac:dyDescent="0.3">
      <c r="A444" s="101" t="s">
        <v>666</v>
      </c>
      <c r="B444" s="90">
        <v>414</v>
      </c>
      <c r="C444" s="90"/>
      <c r="D444" s="90" t="s">
        <v>130</v>
      </c>
      <c r="E444" s="91">
        <v>45147</v>
      </c>
      <c r="F444" s="30">
        <v>21.6</v>
      </c>
      <c r="G444" s="91">
        <v>45931</v>
      </c>
      <c r="H444" s="91"/>
      <c r="I444" s="90">
        <v>1</v>
      </c>
      <c r="J444" s="92">
        <v>-784</v>
      </c>
      <c r="K444" s="90" t="s">
        <v>204</v>
      </c>
      <c r="L444" s="90"/>
    </row>
    <row r="445" spans="1:12" ht="15" customHeight="1" outlineLevel="1" x14ac:dyDescent="0.3">
      <c r="A445" s="101" t="s">
        <v>666</v>
      </c>
      <c r="B445" s="90">
        <v>414</v>
      </c>
      <c r="C445" s="90"/>
      <c r="D445" s="90" t="s">
        <v>130</v>
      </c>
      <c r="E445" s="91">
        <v>45171</v>
      </c>
      <c r="F445" s="30">
        <v>13.78</v>
      </c>
      <c r="G445" s="91">
        <v>45931</v>
      </c>
      <c r="H445" s="91"/>
      <c r="I445" s="90">
        <v>1</v>
      </c>
      <c r="J445" s="92">
        <v>-760</v>
      </c>
      <c r="K445" s="90" t="s">
        <v>205</v>
      </c>
      <c r="L445" s="90"/>
    </row>
    <row r="446" spans="1:12" ht="15" customHeight="1" outlineLevel="1" x14ac:dyDescent="0.3">
      <c r="A446" s="101" t="s">
        <v>666</v>
      </c>
      <c r="B446" s="90">
        <v>414</v>
      </c>
      <c r="C446" s="90"/>
      <c r="D446" s="90" t="s">
        <v>130</v>
      </c>
      <c r="E446" s="91">
        <v>45224</v>
      </c>
      <c r="F446" s="30">
        <v>15.43</v>
      </c>
      <c r="G446" s="91">
        <v>45931</v>
      </c>
      <c r="H446" s="91"/>
      <c r="I446" s="90">
        <v>1</v>
      </c>
      <c r="J446" s="92">
        <v>-707</v>
      </c>
      <c r="K446" s="90" t="s">
        <v>206</v>
      </c>
      <c r="L446" s="90"/>
    </row>
    <row r="447" spans="1:12" ht="15" customHeight="1" outlineLevel="1" x14ac:dyDescent="0.3">
      <c r="A447" s="101" t="s">
        <v>666</v>
      </c>
      <c r="B447" s="90">
        <v>414</v>
      </c>
      <c r="C447" s="90"/>
      <c r="D447" s="90" t="s">
        <v>130</v>
      </c>
      <c r="E447" s="91">
        <v>45257</v>
      </c>
      <c r="F447" s="30">
        <v>13.58</v>
      </c>
      <c r="G447" s="91">
        <v>45931</v>
      </c>
      <c r="H447" s="91"/>
      <c r="I447" s="90">
        <v>1</v>
      </c>
      <c r="J447" s="92">
        <v>-674</v>
      </c>
      <c r="K447" s="90" t="s">
        <v>207</v>
      </c>
      <c r="L447" s="90"/>
    </row>
    <row r="448" spans="1:12" ht="15" customHeight="1" outlineLevel="1" x14ac:dyDescent="0.3">
      <c r="A448" s="101" t="s">
        <v>666</v>
      </c>
      <c r="B448" s="90">
        <v>414</v>
      </c>
      <c r="C448" s="90"/>
      <c r="D448" s="90" t="s">
        <v>130</v>
      </c>
      <c r="E448" s="91">
        <v>45271</v>
      </c>
      <c r="F448" s="30">
        <v>12.55</v>
      </c>
      <c r="G448" s="91">
        <v>45931</v>
      </c>
      <c r="H448" s="91"/>
      <c r="I448" s="90">
        <v>1</v>
      </c>
      <c r="J448" s="92">
        <v>-660</v>
      </c>
      <c r="K448" s="90" t="s">
        <v>208</v>
      </c>
      <c r="L448" s="90"/>
    </row>
    <row r="449" spans="1:12" ht="15" customHeight="1" outlineLevel="1" x14ac:dyDescent="0.3">
      <c r="A449" s="101" t="s">
        <v>666</v>
      </c>
      <c r="B449" s="90">
        <v>414</v>
      </c>
      <c r="C449" s="90"/>
      <c r="D449" s="90" t="s">
        <v>130</v>
      </c>
      <c r="E449" s="91">
        <v>45310</v>
      </c>
      <c r="F449" s="30">
        <v>15.84</v>
      </c>
      <c r="G449" s="91">
        <v>45931</v>
      </c>
      <c r="H449" s="91"/>
      <c r="I449" s="90">
        <v>1</v>
      </c>
      <c r="J449" s="92">
        <v>-621</v>
      </c>
      <c r="K449" s="90" t="s">
        <v>209</v>
      </c>
      <c r="L449" s="90"/>
    </row>
    <row r="450" spans="1:12" ht="15" customHeight="1" outlineLevel="1" x14ac:dyDescent="0.3">
      <c r="A450" s="101" t="s">
        <v>666</v>
      </c>
      <c r="B450" s="90">
        <v>414</v>
      </c>
      <c r="C450" s="90"/>
      <c r="D450" s="90" t="s">
        <v>130</v>
      </c>
      <c r="E450" s="91">
        <v>45360</v>
      </c>
      <c r="F450" s="30">
        <v>15.43</v>
      </c>
      <c r="G450" s="91">
        <v>45931</v>
      </c>
      <c r="H450" s="91"/>
      <c r="I450" s="90">
        <v>1</v>
      </c>
      <c r="J450" s="92">
        <v>-571</v>
      </c>
      <c r="K450" s="90" t="s">
        <v>211</v>
      </c>
      <c r="L450" s="90"/>
    </row>
    <row r="451" spans="1:12" ht="15" customHeight="1" outlineLevel="1" x14ac:dyDescent="0.3">
      <c r="A451" s="101" t="s">
        <v>666</v>
      </c>
      <c r="B451" s="90">
        <v>414</v>
      </c>
      <c r="C451" s="90"/>
      <c r="D451" s="90" t="s">
        <v>130</v>
      </c>
      <c r="E451" s="91">
        <v>45402</v>
      </c>
      <c r="F451" s="30">
        <v>13.06</v>
      </c>
      <c r="G451" s="91">
        <v>45931</v>
      </c>
      <c r="H451" s="91"/>
      <c r="I451" s="90">
        <v>1</v>
      </c>
      <c r="J451" s="92">
        <v>-529</v>
      </c>
      <c r="K451" s="90" t="s">
        <v>212</v>
      </c>
      <c r="L451" s="90"/>
    </row>
    <row r="452" spans="1:12" ht="15" customHeight="1" outlineLevel="1" x14ac:dyDescent="0.3">
      <c r="A452" s="101" t="s">
        <v>666</v>
      </c>
      <c r="B452" s="90">
        <v>414</v>
      </c>
      <c r="C452" s="90"/>
      <c r="D452" s="90" t="s">
        <v>130</v>
      </c>
      <c r="E452" s="91">
        <v>45467</v>
      </c>
      <c r="F452" s="30">
        <v>10.3</v>
      </c>
      <c r="G452" s="91">
        <v>45931</v>
      </c>
      <c r="H452" s="91"/>
      <c r="I452" s="90">
        <v>1</v>
      </c>
      <c r="J452" s="92">
        <v>-464</v>
      </c>
      <c r="K452" s="90" t="s">
        <v>214</v>
      </c>
      <c r="L452" s="90"/>
    </row>
    <row r="453" spans="1:12" ht="15" customHeight="1" outlineLevel="1" x14ac:dyDescent="0.3">
      <c r="A453" s="101" t="s">
        <v>666</v>
      </c>
      <c r="B453" s="90">
        <v>414</v>
      </c>
      <c r="C453" s="90"/>
      <c r="D453" s="90" t="s">
        <v>130</v>
      </c>
      <c r="E453" s="91">
        <v>45646</v>
      </c>
      <c r="F453" s="30">
        <v>30</v>
      </c>
      <c r="G453" s="91">
        <v>45931</v>
      </c>
      <c r="H453" s="91"/>
      <c r="I453" s="90">
        <v>1</v>
      </c>
      <c r="J453" s="92">
        <v>-285</v>
      </c>
      <c r="K453" s="90" t="s">
        <v>220</v>
      </c>
      <c r="L453" s="90"/>
    </row>
    <row r="454" spans="1:12" ht="15" customHeight="1" outlineLevel="1" x14ac:dyDescent="0.3">
      <c r="A454" s="101" t="s">
        <v>666</v>
      </c>
      <c r="B454" s="90">
        <v>414</v>
      </c>
      <c r="C454" s="90"/>
      <c r="D454" s="90" t="s">
        <v>130</v>
      </c>
      <c r="E454" s="91">
        <v>45652</v>
      </c>
      <c r="F454" s="30">
        <v>29</v>
      </c>
      <c r="G454" s="91">
        <v>45931</v>
      </c>
      <c r="H454" s="91"/>
      <c r="I454" s="90">
        <v>1</v>
      </c>
      <c r="J454" s="92">
        <v>-279</v>
      </c>
      <c r="K454" s="90" t="s">
        <v>220</v>
      </c>
      <c r="L454" s="90"/>
    </row>
    <row r="455" spans="1:12" ht="15" customHeight="1" outlineLevel="1" x14ac:dyDescent="0.3">
      <c r="A455" s="101" t="s">
        <v>666</v>
      </c>
      <c r="B455" s="90">
        <v>414</v>
      </c>
      <c r="C455" s="90"/>
      <c r="D455" s="90" t="s">
        <v>130</v>
      </c>
      <c r="E455" s="91">
        <v>45675</v>
      </c>
      <c r="F455" s="30">
        <v>24.1</v>
      </c>
      <c r="G455" s="91">
        <v>45931</v>
      </c>
      <c r="H455" s="91"/>
      <c r="I455" s="90">
        <v>1</v>
      </c>
      <c r="J455" s="92">
        <v>-256</v>
      </c>
      <c r="K455" s="90" t="s">
        <v>221</v>
      </c>
      <c r="L455" s="90"/>
    </row>
    <row r="456" spans="1:12" ht="15" customHeight="1" outlineLevel="1" x14ac:dyDescent="0.3">
      <c r="A456" s="101" t="s">
        <v>666</v>
      </c>
      <c r="B456" s="90">
        <v>414</v>
      </c>
      <c r="C456" s="90"/>
      <c r="D456" s="90" t="s">
        <v>130</v>
      </c>
      <c r="E456" s="91">
        <v>45692</v>
      </c>
      <c r="F456" s="30">
        <v>29</v>
      </c>
      <c r="G456" s="91">
        <v>45931</v>
      </c>
      <c r="H456" s="91"/>
      <c r="I456" s="90">
        <v>1</v>
      </c>
      <c r="J456" s="92">
        <v>-239</v>
      </c>
      <c r="K456" s="90" t="s">
        <v>222</v>
      </c>
      <c r="L456" s="90"/>
    </row>
    <row r="457" spans="1:12" ht="15" customHeight="1" outlineLevel="1" x14ac:dyDescent="0.3">
      <c r="A457" s="101" t="s">
        <v>666</v>
      </c>
      <c r="B457" s="90">
        <v>414</v>
      </c>
      <c r="C457" s="90"/>
      <c r="D457" s="90" t="s">
        <v>130</v>
      </c>
      <c r="E457" s="91">
        <v>45724</v>
      </c>
      <c r="F457" s="30">
        <v>23</v>
      </c>
      <c r="G457" s="91">
        <v>45931</v>
      </c>
      <c r="H457" s="91"/>
      <c r="I457" s="90">
        <v>1</v>
      </c>
      <c r="J457" s="92">
        <v>-207</v>
      </c>
      <c r="K457" s="90" t="s">
        <v>223</v>
      </c>
      <c r="L457" s="90"/>
    </row>
    <row r="458" spans="1:12" ht="15" customHeight="1" outlineLevel="1" x14ac:dyDescent="0.3">
      <c r="A458" s="101" t="s">
        <v>666</v>
      </c>
      <c r="B458" s="90">
        <v>414</v>
      </c>
      <c r="C458" s="90"/>
      <c r="D458" s="90" t="s">
        <v>130</v>
      </c>
      <c r="E458" s="91">
        <v>45731</v>
      </c>
      <c r="F458" s="30">
        <v>30.3</v>
      </c>
      <c r="G458" s="91">
        <v>45931</v>
      </c>
      <c r="H458" s="91"/>
      <c r="I458" s="90">
        <v>1</v>
      </c>
      <c r="J458" s="92">
        <v>-200</v>
      </c>
      <c r="K458" s="90" t="s">
        <v>223</v>
      </c>
      <c r="L458" s="90"/>
    </row>
    <row r="459" spans="1:12" ht="15" customHeight="1" outlineLevel="1" x14ac:dyDescent="0.3">
      <c r="A459" s="101" t="s">
        <v>666</v>
      </c>
      <c r="B459" s="90">
        <v>414</v>
      </c>
      <c r="C459" s="90"/>
      <c r="D459" s="90" t="s">
        <v>130</v>
      </c>
      <c r="E459" s="91">
        <v>45766</v>
      </c>
      <c r="F459" s="30">
        <v>17</v>
      </c>
      <c r="G459" s="91">
        <v>45931</v>
      </c>
      <c r="H459" s="91"/>
      <c r="I459" s="90">
        <v>1</v>
      </c>
      <c r="J459" s="92">
        <v>-165</v>
      </c>
      <c r="K459" s="90" t="s">
        <v>224</v>
      </c>
      <c r="L459" s="90"/>
    </row>
    <row r="460" spans="1:12" ht="15" customHeight="1" outlineLevel="1" x14ac:dyDescent="0.3">
      <c r="A460" s="101" t="s">
        <v>666</v>
      </c>
      <c r="B460" s="90">
        <v>414</v>
      </c>
      <c r="C460" s="90"/>
      <c r="D460" s="90" t="s">
        <v>130</v>
      </c>
      <c r="E460" s="91">
        <v>45858</v>
      </c>
      <c r="F460" s="30">
        <v>7</v>
      </c>
      <c r="G460" s="91">
        <v>45931</v>
      </c>
      <c r="H460" s="91"/>
      <c r="I460" s="90">
        <v>1</v>
      </c>
      <c r="J460" s="92">
        <v>-73</v>
      </c>
      <c r="K460" s="90" t="s">
        <v>226</v>
      </c>
      <c r="L460" s="90"/>
    </row>
    <row r="461" spans="1:12" ht="15" customHeight="1" outlineLevel="1" x14ac:dyDescent="0.3">
      <c r="A461" s="101" t="s">
        <v>666</v>
      </c>
      <c r="B461" s="90">
        <v>414</v>
      </c>
      <c r="C461" s="90"/>
      <c r="D461" s="90" t="s">
        <v>130</v>
      </c>
      <c r="E461" s="91">
        <v>45947</v>
      </c>
      <c r="F461" s="30">
        <v>14</v>
      </c>
      <c r="G461" s="91">
        <v>45931</v>
      </c>
      <c r="H461" s="91"/>
      <c r="I461" s="90">
        <v>1</v>
      </c>
      <c r="J461" s="92">
        <v>16</v>
      </c>
      <c r="K461" s="90" t="s">
        <v>229</v>
      </c>
      <c r="L461" s="90"/>
    </row>
    <row r="462" spans="1:12" ht="15" customHeight="1" outlineLevel="1" x14ac:dyDescent="0.3">
      <c r="A462" s="101" t="s">
        <v>666</v>
      </c>
      <c r="B462" s="90">
        <v>414</v>
      </c>
      <c r="C462" s="90"/>
      <c r="D462" s="90" t="s">
        <v>130</v>
      </c>
      <c r="E462" s="91">
        <v>45979</v>
      </c>
      <c r="F462" s="30">
        <v>21</v>
      </c>
      <c r="G462" s="91">
        <v>45931</v>
      </c>
      <c r="H462" s="91"/>
      <c r="I462" s="90">
        <v>1</v>
      </c>
      <c r="J462" s="92">
        <v>48</v>
      </c>
      <c r="K462" s="90" t="s">
        <v>230</v>
      </c>
      <c r="L462" s="90"/>
    </row>
    <row r="463" spans="1:12" ht="15" customHeight="1" outlineLevel="1" x14ac:dyDescent="0.3">
      <c r="A463" s="101" t="s">
        <v>666</v>
      </c>
      <c r="B463" s="90">
        <v>414</v>
      </c>
      <c r="C463" s="90"/>
      <c r="D463" s="90" t="s">
        <v>130</v>
      </c>
      <c r="E463" s="91">
        <v>45985</v>
      </c>
      <c r="F463" s="30">
        <v>19</v>
      </c>
      <c r="G463" s="91">
        <v>45931</v>
      </c>
      <c r="H463" s="91"/>
      <c r="I463" s="90">
        <v>1</v>
      </c>
      <c r="J463" s="92">
        <v>54</v>
      </c>
      <c r="K463" s="90" t="s">
        <v>230</v>
      </c>
      <c r="L463" s="90"/>
    </row>
    <row r="464" spans="1:12" ht="15" customHeight="1" outlineLevel="1" x14ac:dyDescent="0.3">
      <c r="A464" s="101" t="s">
        <v>666</v>
      </c>
      <c r="B464" s="90">
        <v>414</v>
      </c>
      <c r="C464" s="90"/>
      <c r="D464" s="90" t="s">
        <v>130</v>
      </c>
      <c r="E464" s="91">
        <v>45990</v>
      </c>
      <c r="F464" s="30">
        <v>20.100000000000001</v>
      </c>
      <c r="G464" s="91">
        <v>45931</v>
      </c>
      <c r="H464" s="91"/>
      <c r="I464" s="90">
        <v>1</v>
      </c>
      <c r="J464" s="92">
        <v>59</v>
      </c>
      <c r="K464" s="90" t="s">
        <v>230</v>
      </c>
      <c r="L464" s="90"/>
    </row>
    <row r="465" spans="1:12" ht="15" customHeight="1" outlineLevel="1" x14ac:dyDescent="0.3">
      <c r="A465" s="101" t="s">
        <v>666</v>
      </c>
      <c r="B465" s="90">
        <v>414</v>
      </c>
      <c r="C465" s="90"/>
      <c r="D465" s="90" t="s">
        <v>130</v>
      </c>
      <c r="E465" s="91">
        <v>46004</v>
      </c>
      <c r="F465" s="30">
        <v>20</v>
      </c>
      <c r="G465" s="91">
        <v>45931</v>
      </c>
      <c r="H465" s="91"/>
      <c r="I465" s="90">
        <v>1</v>
      </c>
      <c r="J465" s="92">
        <v>73</v>
      </c>
      <c r="K465" s="90" t="s">
        <v>231</v>
      </c>
      <c r="L465" s="90"/>
    </row>
    <row r="466" spans="1:12" ht="15" customHeight="1" outlineLevel="1" x14ac:dyDescent="0.3">
      <c r="A466" s="101" t="s">
        <v>666</v>
      </c>
      <c r="B466" s="90">
        <v>414</v>
      </c>
      <c r="C466" s="90"/>
      <c r="D466" s="90" t="s">
        <v>130</v>
      </c>
      <c r="E466" s="91">
        <v>46012</v>
      </c>
      <c r="F466" s="30">
        <v>15</v>
      </c>
      <c r="G466" s="91">
        <v>45931</v>
      </c>
      <c r="H466" s="91"/>
      <c r="I466" s="90">
        <v>1</v>
      </c>
      <c r="J466" s="92">
        <v>81</v>
      </c>
      <c r="K466" s="90" t="s">
        <v>231</v>
      </c>
      <c r="L466" s="90"/>
    </row>
    <row r="467" spans="1:12" ht="15" customHeight="1" outlineLevel="1" x14ac:dyDescent="0.3">
      <c r="A467" s="101" t="s">
        <v>666</v>
      </c>
      <c r="B467" s="90">
        <v>414</v>
      </c>
      <c r="C467" s="90"/>
      <c r="D467" s="90" t="s">
        <v>130</v>
      </c>
      <c r="E467" s="91">
        <v>46020</v>
      </c>
      <c r="F467" s="30">
        <v>17</v>
      </c>
      <c r="G467" s="91">
        <v>45931</v>
      </c>
      <c r="H467" s="91"/>
      <c r="I467" s="90">
        <v>1</v>
      </c>
      <c r="J467" s="92">
        <v>89</v>
      </c>
      <c r="K467" s="90" t="s">
        <v>231</v>
      </c>
      <c r="L467" s="90"/>
    </row>
    <row r="468" spans="1:12" ht="15" customHeight="1" outlineLevel="1" x14ac:dyDescent="0.3">
      <c r="A468" s="101" t="s">
        <v>666</v>
      </c>
      <c r="B468" s="90">
        <v>414</v>
      </c>
      <c r="C468" s="90"/>
      <c r="D468" s="90" t="s">
        <v>130</v>
      </c>
      <c r="E468" s="91">
        <v>46026</v>
      </c>
      <c r="F468" s="30">
        <v>13</v>
      </c>
      <c r="G468" s="91">
        <v>45931</v>
      </c>
      <c r="H468" s="91"/>
      <c r="I468" s="90">
        <v>1</v>
      </c>
      <c r="J468" s="92">
        <v>95</v>
      </c>
      <c r="K468" s="90" t="s">
        <v>232</v>
      </c>
      <c r="L468" s="90"/>
    </row>
    <row r="469" spans="1:12" ht="15" customHeight="1" outlineLevel="1" x14ac:dyDescent="0.3">
      <c r="A469" s="101" t="s">
        <v>666</v>
      </c>
      <c r="B469" s="90">
        <v>414</v>
      </c>
      <c r="C469" s="90"/>
      <c r="D469" s="90" t="s">
        <v>130</v>
      </c>
      <c r="E469" s="91">
        <v>46032</v>
      </c>
      <c r="F469" s="30">
        <v>17</v>
      </c>
      <c r="G469" s="91">
        <v>45931</v>
      </c>
      <c r="H469" s="91"/>
      <c r="I469" s="90">
        <v>1</v>
      </c>
      <c r="J469" s="92">
        <v>101</v>
      </c>
      <c r="K469" s="90" t="s">
        <v>232</v>
      </c>
      <c r="L469" s="90"/>
    </row>
    <row r="470" spans="1:12" ht="15" customHeight="1" outlineLevel="1" x14ac:dyDescent="0.3">
      <c r="A470" s="101" t="s">
        <v>666</v>
      </c>
      <c r="B470" s="90">
        <v>414</v>
      </c>
      <c r="C470" s="90"/>
      <c r="D470" s="90" t="s">
        <v>130</v>
      </c>
      <c r="E470" s="91">
        <v>46038</v>
      </c>
      <c r="F470" s="30">
        <v>11</v>
      </c>
      <c r="G470" s="91">
        <v>45931</v>
      </c>
      <c r="H470" s="91"/>
      <c r="I470" s="90">
        <v>1</v>
      </c>
      <c r="J470" s="92">
        <v>107</v>
      </c>
      <c r="K470" s="90" t="s">
        <v>232</v>
      </c>
      <c r="L470" s="90"/>
    </row>
    <row r="471" spans="1:12" ht="15" customHeight="1" outlineLevel="1" x14ac:dyDescent="0.3">
      <c r="A471" s="101" t="s">
        <v>666</v>
      </c>
      <c r="B471" s="90">
        <v>414</v>
      </c>
      <c r="C471" s="90"/>
      <c r="D471" s="90" t="s">
        <v>130</v>
      </c>
      <c r="E471" s="91">
        <v>46045</v>
      </c>
      <c r="F471" s="30">
        <v>13</v>
      </c>
      <c r="G471" s="91">
        <v>45931</v>
      </c>
      <c r="H471" s="91"/>
      <c r="I471" s="90">
        <v>1</v>
      </c>
      <c r="J471" s="92">
        <v>114</v>
      </c>
      <c r="K471" s="90" t="s">
        <v>232</v>
      </c>
      <c r="L471" s="90"/>
    </row>
    <row r="472" spans="1:12" ht="15" customHeight="1" outlineLevel="1" x14ac:dyDescent="0.3">
      <c r="A472" s="101" t="s">
        <v>666</v>
      </c>
      <c r="B472" s="90">
        <v>414</v>
      </c>
      <c r="C472" s="90"/>
      <c r="D472" s="90" t="s">
        <v>130</v>
      </c>
      <c r="E472" s="91">
        <v>46052</v>
      </c>
      <c r="F472" s="30">
        <v>16</v>
      </c>
      <c r="G472" s="91">
        <v>45931</v>
      </c>
      <c r="H472" s="91"/>
      <c r="I472" s="90">
        <v>1</v>
      </c>
      <c r="J472" s="92">
        <v>121</v>
      </c>
      <c r="K472" s="90" t="s">
        <v>232</v>
      </c>
      <c r="L472" s="90"/>
    </row>
    <row r="473" spans="1:12" ht="15" customHeight="1" outlineLevel="1" x14ac:dyDescent="0.3">
      <c r="A473" s="101" t="s">
        <v>666</v>
      </c>
      <c r="B473" s="90">
        <v>414</v>
      </c>
      <c r="C473" s="90"/>
      <c r="D473" s="90" t="s">
        <v>130</v>
      </c>
      <c r="E473" s="91">
        <v>46071</v>
      </c>
      <c r="F473" s="30">
        <v>17</v>
      </c>
      <c r="G473" s="91">
        <v>45931</v>
      </c>
      <c r="H473" s="91"/>
      <c r="I473" s="90">
        <v>1</v>
      </c>
      <c r="J473" s="92">
        <v>140</v>
      </c>
      <c r="K473" s="90" t="s">
        <v>233</v>
      </c>
      <c r="L473" s="90"/>
    </row>
    <row r="474" spans="1:12" ht="15" customHeight="1" outlineLevel="1" x14ac:dyDescent="0.3">
      <c r="A474" s="101" t="s">
        <v>666</v>
      </c>
      <c r="B474" s="90">
        <v>414</v>
      </c>
      <c r="C474" s="90"/>
      <c r="D474" s="90" t="s">
        <v>130</v>
      </c>
      <c r="E474" s="91">
        <v>46102</v>
      </c>
      <c r="F474" s="30">
        <v>15</v>
      </c>
      <c r="G474" s="91">
        <v>45931</v>
      </c>
      <c r="H474" s="91"/>
      <c r="I474" s="90">
        <v>1</v>
      </c>
      <c r="J474" s="92">
        <v>171</v>
      </c>
      <c r="K474" s="90" t="s">
        <v>234</v>
      </c>
      <c r="L474" s="90"/>
    </row>
    <row r="475" spans="1:12" ht="15" customHeight="1" outlineLevel="1" x14ac:dyDescent="0.3">
      <c r="A475" s="101" t="s">
        <v>666</v>
      </c>
      <c r="B475" s="90">
        <v>414</v>
      </c>
      <c r="C475" s="90"/>
      <c r="D475" s="90" t="s">
        <v>130</v>
      </c>
      <c r="E475" s="91">
        <v>46116</v>
      </c>
      <c r="F475" s="30">
        <v>14</v>
      </c>
      <c r="G475" s="91">
        <v>45931</v>
      </c>
      <c r="H475" s="91"/>
      <c r="I475" s="90">
        <v>1</v>
      </c>
      <c r="J475" s="92">
        <v>185</v>
      </c>
      <c r="K475" s="90" t="s">
        <v>235</v>
      </c>
      <c r="L475" s="90"/>
    </row>
    <row r="476" spans="1:12" ht="15" customHeight="1" outlineLevel="1" x14ac:dyDescent="0.3">
      <c r="A476" s="101" t="s">
        <v>666</v>
      </c>
      <c r="B476" s="90">
        <v>414</v>
      </c>
      <c r="C476" s="90"/>
      <c r="D476" s="90" t="s">
        <v>130</v>
      </c>
      <c r="E476" s="91">
        <v>46129</v>
      </c>
      <c r="F476" s="30">
        <v>15</v>
      </c>
      <c r="G476" s="91">
        <v>45931</v>
      </c>
      <c r="H476" s="91"/>
      <c r="I476" s="90">
        <v>1</v>
      </c>
      <c r="J476" s="92">
        <v>198</v>
      </c>
      <c r="K476" s="90" t="s">
        <v>235</v>
      </c>
      <c r="L476" s="90"/>
    </row>
    <row r="477" spans="1:12" ht="15" customHeight="1" outlineLevel="1" x14ac:dyDescent="0.3">
      <c r="A477" s="101" t="s">
        <v>666</v>
      </c>
      <c r="B477" s="90">
        <v>414</v>
      </c>
      <c r="C477" s="90"/>
      <c r="D477" s="90" t="s">
        <v>130</v>
      </c>
      <c r="E477" s="91">
        <v>46143</v>
      </c>
      <c r="F477" s="30">
        <v>12</v>
      </c>
      <c r="G477" s="91">
        <v>45931</v>
      </c>
      <c r="H477" s="91"/>
      <c r="I477" s="90">
        <v>1</v>
      </c>
      <c r="J477" s="92">
        <v>212</v>
      </c>
      <c r="K477" s="90" t="s">
        <v>236</v>
      </c>
      <c r="L477" s="90"/>
    </row>
    <row r="478" spans="1:12" ht="15" customHeight="1" outlineLevel="1" x14ac:dyDescent="0.3">
      <c r="A478" s="101" t="s">
        <v>666</v>
      </c>
      <c r="B478" s="90">
        <v>414</v>
      </c>
      <c r="C478" s="90"/>
      <c r="D478" s="90" t="s">
        <v>130</v>
      </c>
      <c r="E478" s="91">
        <v>46151</v>
      </c>
      <c r="F478" s="30">
        <v>20</v>
      </c>
      <c r="G478" s="91">
        <v>45931</v>
      </c>
      <c r="H478" s="91"/>
      <c r="I478" s="90">
        <v>1</v>
      </c>
      <c r="J478" s="92">
        <v>220</v>
      </c>
      <c r="K478" s="90" t="s">
        <v>236</v>
      </c>
      <c r="L478" s="90"/>
    </row>
    <row r="479" spans="1:12" ht="15" customHeight="1" outlineLevel="1" x14ac:dyDescent="0.3">
      <c r="A479" s="101" t="s">
        <v>666</v>
      </c>
      <c r="B479" s="90">
        <v>414</v>
      </c>
      <c r="C479" s="90"/>
      <c r="D479" s="90" t="s">
        <v>130</v>
      </c>
      <c r="E479" s="91">
        <v>46160</v>
      </c>
      <c r="F479" s="30">
        <v>14</v>
      </c>
      <c r="G479" s="91">
        <v>45931</v>
      </c>
      <c r="H479" s="91"/>
      <c r="I479" s="90">
        <v>1</v>
      </c>
      <c r="J479" s="92">
        <v>229</v>
      </c>
      <c r="K479" s="90" t="s">
        <v>236</v>
      </c>
      <c r="L479" s="90"/>
    </row>
    <row r="480" spans="1:12" ht="15" customHeight="1" outlineLevel="1" x14ac:dyDescent="0.3">
      <c r="A480" s="101" t="s">
        <v>666</v>
      </c>
      <c r="B480" s="90">
        <v>414</v>
      </c>
      <c r="C480" s="90"/>
      <c r="D480" s="90" t="s">
        <v>130</v>
      </c>
      <c r="E480" s="91">
        <v>46186</v>
      </c>
      <c r="F480" s="30">
        <v>15</v>
      </c>
      <c r="G480" s="91">
        <v>45931</v>
      </c>
      <c r="H480" s="91"/>
      <c r="I480" s="90">
        <v>1</v>
      </c>
      <c r="J480" s="92">
        <v>255</v>
      </c>
      <c r="K480" s="90" t="s">
        <v>237</v>
      </c>
      <c r="L480" s="90"/>
    </row>
    <row r="481" spans="1:12" ht="15" customHeight="1" x14ac:dyDescent="0.3">
      <c r="A481" s="101" t="s">
        <v>667</v>
      </c>
      <c r="B481" s="90" t="s">
        <v>734</v>
      </c>
      <c r="C481" s="90"/>
      <c r="D481" s="90" t="s">
        <v>130</v>
      </c>
      <c r="E481" s="91">
        <v>45094</v>
      </c>
      <c r="F481" s="30">
        <v>13.17</v>
      </c>
      <c r="G481" s="91">
        <v>45755</v>
      </c>
      <c r="H481" s="91">
        <v>45995</v>
      </c>
      <c r="I481" s="90">
        <v>0</v>
      </c>
      <c r="J481" s="92">
        <v>-661</v>
      </c>
      <c r="K481" s="90" t="s">
        <v>202</v>
      </c>
      <c r="L481" s="90"/>
    </row>
    <row r="482" spans="1:12" ht="15" customHeight="1" outlineLevel="1" x14ac:dyDescent="0.3">
      <c r="A482" s="101" t="s">
        <v>667</v>
      </c>
      <c r="B482" s="90" t="s">
        <v>734</v>
      </c>
      <c r="C482" s="90"/>
      <c r="D482" s="90" t="s">
        <v>130</v>
      </c>
      <c r="E482" s="91">
        <v>45099</v>
      </c>
      <c r="F482" s="30">
        <v>14.39</v>
      </c>
      <c r="G482" s="91">
        <v>45755</v>
      </c>
      <c r="H482" s="91">
        <v>45995</v>
      </c>
      <c r="I482" s="90">
        <v>0</v>
      </c>
      <c r="J482" s="92">
        <v>-656</v>
      </c>
      <c r="K482" s="90" t="s">
        <v>202</v>
      </c>
      <c r="L482" s="90"/>
    </row>
    <row r="483" spans="1:12" ht="15" customHeight="1" outlineLevel="1" x14ac:dyDescent="0.3">
      <c r="A483" s="101" t="s">
        <v>667</v>
      </c>
      <c r="B483" s="90" t="s">
        <v>734</v>
      </c>
      <c r="C483" s="90"/>
      <c r="D483" s="90" t="s">
        <v>130</v>
      </c>
      <c r="E483" s="91">
        <v>45115</v>
      </c>
      <c r="F483" s="30">
        <v>15.84</v>
      </c>
      <c r="G483" s="91">
        <v>45755</v>
      </c>
      <c r="H483" s="91">
        <v>45995</v>
      </c>
      <c r="I483" s="90">
        <v>0</v>
      </c>
      <c r="J483" s="92">
        <v>-640</v>
      </c>
      <c r="K483" s="90" t="s">
        <v>203</v>
      </c>
      <c r="L483" s="90"/>
    </row>
    <row r="484" spans="1:12" ht="15" customHeight="1" outlineLevel="1" x14ac:dyDescent="0.3">
      <c r="A484" s="101" t="s">
        <v>667</v>
      </c>
      <c r="B484" s="90" t="s">
        <v>734</v>
      </c>
      <c r="C484" s="90"/>
      <c r="D484" s="90" t="s">
        <v>130</v>
      </c>
      <c r="E484" s="91">
        <v>45131</v>
      </c>
      <c r="F484" s="30">
        <v>18</v>
      </c>
      <c r="G484" s="91">
        <v>45755</v>
      </c>
      <c r="H484" s="91">
        <v>45995</v>
      </c>
      <c r="I484" s="90">
        <v>0</v>
      </c>
      <c r="J484" s="92">
        <v>-624</v>
      </c>
      <c r="K484" s="90" t="s">
        <v>203</v>
      </c>
      <c r="L484" s="90"/>
    </row>
    <row r="485" spans="1:12" ht="15" customHeight="1" outlineLevel="1" x14ac:dyDescent="0.3">
      <c r="A485" s="101" t="s">
        <v>667</v>
      </c>
      <c r="B485" s="90" t="s">
        <v>734</v>
      </c>
      <c r="C485" s="90"/>
      <c r="D485" s="90" t="s">
        <v>130</v>
      </c>
      <c r="E485" s="91">
        <v>45147</v>
      </c>
      <c r="F485" s="30">
        <v>17.899999999999999</v>
      </c>
      <c r="G485" s="91">
        <v>45755</v>
      </c>
      <c r="H485" s="91">
        <v>45995</v>
      </c>
      <c r="I485" s="90">
        <v>0</v>
      </c>
      <c r="J485" s="92">
        <v>-608</v>
      </c>
      <c r="K485" s="90" t="s">
        <v>204</v>
      </c>
      <c r="L485" s="90"/>
    </row>
    <row r="486" spans="1:12" ht="15" customHeight="1" outlineLevel="1" x14ac:dyDescent="0.3">
      <c r="A486" s="101" t="s">
        <v>667</v>
      </c>
      <c r="B486" s="90" t="s">
        <v>734</v>
      </c>
      <c r="C486" s="90"/>
      <c r="D486" s="90" t="s">
        <v>130</v>
      </c>
      <c r="E486" s="91">
        <v>45171</v>
      </c>
      <c r="F486" s="30">
        <v>15.63</v>
      </c>
      <c r="G486" s="91">
        <v>45755</v>
      </c>
      <c r="H486" s="91">
        <v>45995</v>
      </c>
      <c r="I486" s="90">
        <v>0</v>
      </c>
      <c r="J486" s="92">
        <v>-584</v>
      </c>
      <c r="K486" s="90" t="s">
        <v>205</v>
      </c>
      <c r="L486" s="90"/>
    </row>
    <row r="487" spans="1:12" ht="15" customHeight="1" outlineLevel="1" x14ac:dyDescent="0.3">
      <c r="A487" s="101" t="s">
        <v>667</v>
      </c>
      <c r="B487" s="90" t="s">
        <v>734</v>
      </c>
      <c r="C487" s="90"/>
      <c r="D487" s="90" t="s">
        <v>130</v>
      </c>
      <c r="E487" s="91">
        <v>45224</v>
      </c>
      <c r="F487" s="30">
        <v>15.43</v>
      </c>
      <c r="G487" s="91">
        <v>45755</v>
      </c>
      <c r="H487" s="91">
        <v>45995</v>
      </c>
      <c r="I487" s="90">
        <v>0</v>
      </c>
      <c r="J487" s="92">
        <v>-531</v>
      </c>
      <c r="K487" s="90" t="s">
        <v>206</v>
      </c>
      <c r="L487" s="90"/>
    </row>
    <row r="488" spans="1:12" ht="15" customHeight="1" outlineLevel="1" x14ac:dyDescent="0.3">
      <c r="A488" s="101" t="s">
        <v>667</v>
      </c>
      <c r="B488" s="90" t="s">
        <v>734</v>
      </c>
      <c r="C488" s="90"/>
      <c r="D488" s="90" t="s">
        <v>130</v>
      </c>
      <c r="E488" s="91">
        <v>45257</v>
      </c>
      <c r="F488" s="30">
        <v>13.57</v>
      </c>
      <c r="G488" s="91">
        <v>45755</v>
      </c>
      <c r="H488" s="91">
        <v>45995</v>
      </c>
      <c r="I488" s="90">
        <v>0</v>
      </c>
      <c r="J488" s="92">
        <v>-498</v>
      </c>
      <c r="K488" s="90" t="s">
        <v>207</v>
      </c>
      <c r="L488" s="90"/>
    </row>
    <row r="489" spans="1:12" ht="15" customHeight="1" outlineLevel="1" x14ac:dyDescent="0.3">
      <c r="A489" s="101" t="s">
        <v>667</v>
      </c>
      <c r="B489" s="90" t="s">
        <v>734</v>
      </c>
      <c r="C489" s="90"/>
      <c r="D489" s="90" t="s">
        <v>130</v>
      </c>
      <c r="E489" s="91">
        <v>45271</v>
      </c>
      <c r="F489" s="30">
        <v>14.4</v>
      </c>
      <c r="G489" s="91">
        <v>45755</v>
      </c>
      <c r="H489" s="91">
        <v>45995</v>
      </c>
      <c r="I489" s="90">
        <v>0</v>
      </c>
      <c r="J489" s="92">
        <v>-484</v>
      </c>
      <c r="K489" s="90" t="s">
        <v>208</v>
      </c>
      <c r="L489" s="90"/>
    </row>
    <row r="490" spans="1:12" ht="15" customHeight="1" outlineLevel="1" x14ac:dyDescent="0.3">
      <c r="A490" s="101" t="s">
        <v>667</v>
      </c>
      <c r="B490" s="90" t="s">
        <v>734</v>
      </c>
      <c r="C490" s="90"/>
      <c r="D490" s="90" t="s">
        <v>130</v>
      </c>
      <c r="E490" s="91">
        <v>45310</v>
      </c>
      <c r="F490" s="30">
        <v>17.489999999999998</v>
      </c>
      <c r="G490" s="91">
        <v>45755</v>
      </c>
      <c r="H490" s="91">
        <v>45995</v>
      </c>
      <c r="I490" s="90">
        <v>0</v>
      </c>
      <c r="J490" s="92">
        <v>-445</v>
      </c>
      <c r="K490" s="90" t="s">
        <v>209</v>
      </c>
      <c r="L490" s="90"/>
    </row>
    <row r="491" spans="1:12" ht="15" customHeight="1" outlineLevel="1" x14ac:dyDescent="0.3">
      <c r="A491" s="101" t="s">
        <v>667</v>
      </c>
      <c r="B491" s="90" t="s">
        <v>734</v>
      </c>
      <c r="C491" s="90"/>
      <c r="D491" s="90" t="s">
        <v>130</v>
      </c>
      <c r="E491" s="91">
        <v>45467</v>
      </c>
      <c r="F491" s="30">
        <v>18.2</v>
      </c>
      <c r="G491" s="91">
        <v>45755</v>
      </c>
      <c r="H491" s="91">
        <v>45995</v>
      </c>
      <c r="I491" s="90">
        <v>0</v>
      </c>
      <c r="J491" s="92">
        <v>-288</v>
      </c>
      <c r="K491" s="90" t="s">
        <v>214</v>
      </c>
      <c r="L491" s="90"/>
    </row>
    <row r="492" spans="1:12" ht="15" customHeight="1" outlineLevel="1" x14ac:dyDescent="0.3">
      <c r="A492" s="101" t="s">
        <v>667</v>
      </c>
      <c r="B492" s="90" t="s">
        <v>734</v>
      </c>
      <c r="C492" s="90"/>
      <c r="D492" s="90" t="s">
        <v>130</v>
      </c>
      <c r="E492" s="91">
        <v>45646</v>
      </c>
      <c r="F492" s="30">
        <v>6</v>
      </c>
      <c r="G492" s="91">
        <v>45755</v>
      </c>
      <c r="H492" s="91">
        <v>45995</v>
      </c>
      <c r="I492" s="90">
        <v>0</v>
      </c>
      <c r="J492" s="92">
        <v>-109</v>
      </c>
      <c r="K492" s="90" t="s">
        <v>220</v>
      </c>
      <c r="L492" s="90"/>
    </row>
    <row r="493" spans="1:12" ht="15" customHeight="1" outlineLevel="1" x14ac:dyDescent="0.3">
      <c r="A493" s="101" t="s">
        <v>667</v>
      </c>
      <c r="B493" s="90" t="s">
        <v>734</v>
      </c>
      <c r="C493" s="90"/>
      <c r="D493" s="90" t="s">
        <v>130</v>
      </c>
      <c r="E493" s="91">
        <v>45652</v>
      </c>
      <c r="F493" s="30">
        <v>10.199999999999999</v>
      </c>
      <c r="G493" s="91">
        <v>45755</v>
      </c>
      <c r="H493" s="91">
        <v>45995</v>
      </c>
      <c r="I493" s="90">
        <v>0</v>
      </c>
      <c r="J493" s="92">
        <v>-103</v>
      </c>
      <c r="K493" s="90" t="s">
        <v>220</v>
      </c>
      <c r="L493" s="90"/>
    </row>
    <row r="494" spans="1:12" ht="15" customHeight="1" outlineLevel="1" x14ac:dyDescent="0.3">
      <c r="A494" s="101" t="s">
        <v>667</v>
      </c>
      <c r="B494" s="90" t="s">
        <v>734</v>
      </c>
      <c r="C494" s="90"/>
      <c r="D494" s="90" t="s">
        <v>130</v>
      </c>
      <c r="E494" s="91">
        <v>45675</v>
      </c>
      <c r="F494" s="30">
        <v>8.1999999999999993</v>
      </c>
      <c r="G494" s="91">
        <v>45755</v>
      </c>
      <c r="H494" s="91">
        <v>45995</v>
      </c>
      <c r="I494" s="90">
        <v>0</v>
      </c>
      <c r="J494" s="92">
        <v>-80</v>
      </c>
      <c r="K494" s="90" t="s">
        <v>221</v>
      </c>
      <c r="L494" s="90"/>
    </row>
    <row r="495" spans="1:12" ht="15" customHeight="1" outlineLevel="1" x14ac:dyDescent="0.3">
      <c r="A495" s="101" t="s">
        <v>667</v>
      </c>
      <c r="B495" s="90" t="s">
        <v>734</v>
      </c>
      <c r="C495" s="90"/>
      <c r="D495" s="90" t="s">
        <v>130</v>
      </c>
      <c r="E495" s="91">
        <v>45692</v>
      </c>
      <c r="F495" s="30">
        <v>8</v>
      </c>
      <c r="G495" s="91">
        <v>45755</v>
      </c>
      <c r="H495" s="91">
        <v>45995</v>
      </c>
      <c r="I495" s="90">
        <v>0</v>
      </c>
      <c r="J495" s="92">
        <v>-63</v>
      </c>
      <c r="K495" s="90" t="s">
        <v>222</v>
      </c>
      <c r="L495" s="90"/>
    </row>
    <row r="496" spans="1:12" ht="15" customHeight="1" outlineLevel="1" x14ac:dyDescent="0.3">
      <c r="A496" s="101" t="s">
        <v>667</v>
      </c>
      <c r="B496" s="90" t="s">
        <v>734</v>
      </c>
      <c r="C496" s="90"/>
      <c r="D496" s="90" t="s">
        <v>130</v>
      </c>
      <c r="E496" s="91">
        <v>45766</v>
      </c>
      <c r="F496" s="30">
        <v>18.2</v>
      </c>
      <c r="G496" s="91">
        <v>45755</v>
      </c>
      <c r="H496" s="91">
        <v>45995</v>
      </c>
      <c r="I496" s="90">
        <v>0</v>
      </c>
      <c r="J496" s="92">
        <v>11</v>
      </c>
      <c r="K496" s="90" t="s">
        <v>224</v>
      </c>
      <c r="L496" s="90"/>
    </row>
    <row r="497" spans="1:12" ht="15" customHeight="1" outlineLevel="1" x14ac:dyDescent="0.3">
      <c r="A497" s="101" t="s">
        <v>667</v>
      </c>
      <c r="B497" s="90" t="s">
        <v>734</v>
      </c>
      <c r="C497" s="90"/>
      <c r="D497" s="90" t="s">
        <v>130</v>
      </c>
      <c r="E497" s="91">
        <v>45882</v>
      </c>
      <c r="F497" s="30">
        <v>8</v>
      </c>
      <c r="G497" s="91">
        <v>45755</v>
      </c>
      <c r="H497" s="91">
        <v>45995</v>
      </c>
      <c r="I497" s="90">
        <v>0</v>
      </c>
      <c r="J497" s="92">
        <v>127</v>
      </c>
      <c r="K497" s="90" t="s">
        <v>227</v>
      </c>
      <c r="L497" s="90"/>
    </row>
    <row r="498" spans="1:12" ht="15" customHeight="1" outlineLevel="1" x14ac:dyDescent="0.3">
      <c r="A498" s="101" t="s">
        <v>667</v>
      </c>
      <c r="B498" s="90" t="s">
        <v>734</v>
      </c>
      <c r="C498" s="90"/>
      <c r="D498" s="90" t="s">
        <v>130</v>
      </c>
      <c r="E498" s="91">
        <v>45893</v>
      </c>
      <c r="F498" s="30">
        <v>6</v>
      </c>
      <c r="G498" s="91">
        <v>45755</v>
      </c>
      <c r="H498" s="91">
        <v>45995</v>
      </c>
      <c r="I498" s="90">
        <v>0</v>
      </c>
      <c r="J498" s="92">
        <v>138</v>
      </c>
      <c r="K498" s="90" t="s">
        <v>227</v>
      </c>
      <c r="L498" s="90"/>
    </row>
    <row r="499" spans="1:12" ht="15" customHeight="1" x14ac:dyDescent="0.3">
      <c r="A499" s="101" t="s">
        <v>668</v>
      </c>
      <c r="B499" s="90">
        <v>416</v>
      </c>
      <c r="C499" s="90"/>
      <c r="D499" s="90" t="s">
        <v>130</v>
      </c>
      <c r="E499" s="91">
        <v>45171</v>
      </c>
      <c r="F499" s="30">
        <v>4.83</v>
      </c>
      <c r="G499" s="91">
        <v>45142</v>
      </c>
      <c r="H499" s="91">
        <v>45995</v>
      </c>
      <c r="I499" s="90">
        <v>0</v>
      </c>
      <c r="J499" s="92">
        <v>29</v>
      </c>
      <c r="K499" s="90" t="s">
        <v>205</v>
      </c>
      <c r="L499" s="90"/>
    </row>
    <row r="500" spans="1:12" ht="15" customHeight="1" outlineLevel="1" x14ac:dyDescent="0.3">
      <c r="A500" s="101" t="s">
        <v>668</v>
      </c>
      <c r="B500" s="90">
        <v>416</v>
      </c>
      <c r="C500" s="90"/>
      <c r="D500" s="90" t="s">
        <v>130</v>
      </c>
      <c r="E500" s="91">
        <v>45224</v>
      </c>
      <c r="F500" s="30">
        <v>16.04</v>
      </c>
      <c r="G500" s="91">
        <v>45142</v>
      </c>
      <c r="H500" s="91">
        <v>45995</v>
      </c>
      <c r="I500" s="90">
        <v>0</v>
      </c>
      <c r="J500" s="92">
        <v>82</v>
      </c>
      <c r="K500" s="90" t="s">
        <v>206</v>
      </c>
      <c r="L500" s="90"/>
    </row>
    <row r="501" spans="1:12" ht="15" customHeight="1" outlineLevel="1" x14ac:dyDescent="0.3">
      <c r="A501" s="101" t="s">
        <v>668</v>
      </c>
      <c r="B501" s="90">
        <v>416</v>
      </c>
      <c r="C501" s="90"/>
      <c r="D501" s="90" t="s">
        <v>130</v>
      </c>
      <c r="E501" s="91">
        <v>45257</v>
      </c>
      <c r="F501" s="30">
        <v>9.4600000000000009</v>
      </c>
      <c r="G501" s="91">
        <v>45142</v>
      </c>
      <c r="H501" s="91">
        <v>45995</v>
      </c>
      <c r="I501" s="90">
        <v>0</v>
      </c>
      <c r="J501" s="92">
        <v>115</v>
      </c>
      <c r="K501" s="90" t="s">
        <v>207</v>
      </c>
      <c r="L501" s="90"/>
    </row>
    <row r="502" spans="1:12" ht="15" customHeight="1" outlineLevel="1" x14ac:dyDescent="0.3">
      <c r="A502" s="101" t="s">
        <v>668</v>
      </c>
      <c r="B502" s="90">
        <v>416</v>
      </c>
      <c r="C502" s="90"/>
      <c r="D502" s="90" t="s">
        <v>130</v>
      </c>
      <c r="E502" s="91">
        <v>45271</v>
      </c>
      <c r="F502" s="30">
        <v>9.4600000000000009</v>
      </c>
      <c r="G502" s="91">
        <v>45142</v>
      </c>
      <c r="H502" s="91">
        <v>45995</v>
      </c>
      <c r="I502" s="90">
        <v>0</v>
      </c>
      <c r="J502" s="92">
        <v>129</v>
      </c>
      <c r="K502" s="90" t="s">
        <v>208</v>
      </c>
      <c r="L502" s="90"/>
    </row>
    <row r="503" spans="1:12" ht="15" customHeight="1" x14ac:dyDescent="0.3">
      <c r="A503" s="101" t="s">
        <v>669</v>
      </c>
      <c r="B503" s="90">
        <v>417</v>
      </c>
      <c r="C503" s="90"/>
      <c r="D503" s="90" t="s">
        <v>130</v>
      </c>
      <c r="E503" s="91">
        <v>45257</v>
      </c>
      <c r="F503" s="30">
        <v>22.93</v>
      </c>
      <c r="G503" s="91">
        <v>45765</v>
      </c>
      <c r="H503" s="91">
        <v>46019</v>
      </c>
      <c r="I503" s="90">
        <v>0</v>
      </c>
      <c r="J503" s="92">
        <v>-508</v>
      </c>
      <c r="K503" s="90" t="s">
        <v>207</v>
      </c>
      <c r="L503" s="90"/>
    </row>
    <row r="504" spans="1:12" ht="15" customHeight="1" outlineLevel="1" x14ac:dyDescent="0.3">
      <c r="A504" s="101" t="s">
        <v>669</v>
      </c>
      <c r="B504" s="90">
        <v>417</v>
      </c>
      <c r="C504" s="90"/>
      <c r="D504" s="90" t="s">
        <v>130</v>
      </c>
      <c r="E504" s="91">
        <v>45271</v>
      </c>
      <c r="F504" s="30">
        <v>37.659999999999997</v>
      </c>
      <c r="G504" s="91">
        <v>45765</v>
      </c>
      <c r="H504" s="91">
        <v>46019</v>
      </c>
      <c r="I504" s="90">
        <v>0</v>
      </c>
      <c r="J504" s="92">
        <v>-494</v>
      </c>
      <c r="K504" s="90" t="s">
        <v>208</v>
      </c>
      <c r="L504" s="90"/>
    </row>
    <row r="505" spans="1:12" ht="15" customHeight="1" outlineLevel="1" x14ac:dyDescent="0.3">
      <c r="A505" s="101" t="s">
        <v>669</v>
      </c>
      <c r="B505" s="90">
        <v>417</v>
      </c>
      <c r="C505" s="90"/>
      <c r="D505" s="90" t="s">
        <v>130</v>
      </c>
      <c r="E505" s="91">
        <v>45310</v>
      </c>
      <c r="F505" s="30">
        <v>31.89</v>
      </c>
      <c r="G505" s="91">
        <v>45765</v>
      </c>
      <c r="H505" s="91">
        <v>46019</v>
      </c>
      <c r="I505" s="90">
        <v>0</v>
      </c>
      <c r="J505" s="92">
        <v>-455</v>
      </c>
      <c r="K505" s="90" t="s">
        <v>209</v>
      </c>
      <c r="L505" s="90"/>
    </row>
    <row r="506" spans="1:12" ht="15" customHeight="1" outlineLevel="1" x14ac:dyDescent="0.3">
      <c r="A506" s="101" t="s">
        <v>669</v>
      </c>
      <c r="B506" s="90">
        <v>417</v>
      </c>
      <c r="C506" s="90"/>
      <c r="D506" s="90" t="s">
        <v>130</v>
      </c>
      <c r="E506" s="91">
        <v>45360</v>
      </c>
      <c r="F506" s="30">
        <v>31.89</v>
      </c>
      <c r="G506" s="91">
        <v>45765</v>
      </c>
      <c r="H506" s="91">
        <v>46019</v>
      </c>
      <c r="I506" s="90">
        <v>0</v>
      </c>
      <c r="J506" s="92">
        <v>-405</v>
      </c>
      <c r="K506" s="90" t="s">
        <v>211</v>
      </c>
      <c r="L506" s="90"/>
    </row>
    <row r="507" spans="1:12" ht="15" customHeight="1" outlineLevel="1" x14ac:dyDescent="0.3">
      <c r="A507" s="101" t="s">
        <v>669</v>
      </c>
      <c r="B507" s="90">
        <v>417</v>
      </c>
      <c r="C507" s="90"/>
      <c r="D507" s="90" t="s">
        <v>130</v>
      </c>
      <c r="E507" s="91">
        <v>45402</v>
      </c>
      <c r="F507" s="30">
        <v>31.89</v>
      </c>
      <c r="G507" s="91">
        <v>45765</v>
      </c>
      <c r="H507" s="91">
        <v>46019</v>
      </c>
      <c r="I507" s="90">
        <v>0</v>
      </c>
      <c r="J507" s="92">
        <v>-363</v>
      </c>
      <c r="K507" s="90" t="s">
        <v>212</v>
      </c>
      <c r="L507" s="90"/>
    </row>
    <row r="508" spans="1:12" ht="15" customHeight="1" outlineLevel="1" x14ac:dyDescent="0.3">
      <c r="A508" s="101" t="s">
        <v>669</v>
      </c>
      <c r="B508" s="90">
        <v>417</v>
      </c>
      <c r="C508" s="90"/>
      <c r="D508" s="90" t="s">
        <v>130</v>
      </c>
      <c r="E508" s="91">
        <v>45467</v>
      </c>
      <c r="F508" s="30">
        <v>21.5</v>
      </c>
      <c r="G508" s="91">
        <v>45765</v>
      </c>
      <c r="H508" s="91">
        <v>46019</v>
      </c>
      <c r="I508" s="90">
        <v>0</v>
      </c>
      <c r="J508" s="92">
        <v>-298</v>
      </c>
      <c r="K508" s="90" t="s">
        <v>214</v>
      </c>
      <c r="L508" s="90"/>
    </row>
    <row r="509" spans="1:12" ht="15" customHeight="1" outlineLevel="1" x14ac:dyDescent="0.3">
      <c r="A509" s="101" t="s">
        <v>669</v>
      </c>
      <c r="B509" s="90">
        <v>417</v>
      </c>
      <c r="C509" s="90"/>
      <c r="D509" s="90" t="s">
        <v>130</v>
      </c>
      <c r="E509" s="91">
        <v>45646</v>
      </c>
      <c r="F509" s="30">
        <v>24.1</v>
      </c>
      <c r="G509" s="91">
        <v>45765</v>
      </c>
      <c r="H509" s="91">
        <v>46019</v>
      </c>
      <c r="I509" s="90">
        <v>0</v>
      </c>
      <c r="J509" s="92">
        <v>-119</v>
      </c>
      <c r="K509" s="90" t="s">
        <v>220</v>
      </c>
      <c r="L509" s="90"/>
    </row>
    <row r="510" spans="1:12" ht="15" customHeight="1" outlineLevel="1" x14ac:dyDescent="0.3">
      <c r="A510" s="101" t="s">
        <v>669</v>
      </c>
      <c r="B510" s="90">
        <v>417</v>
      </c>
      <c r="C510" s="90"/>
      <c r="D510" s="90" t="s">
        <v>130</v>
      </c>
      <c r="E510" s="91">
        <v>45652</v>
      </c>
      <c r="F510" s="30">
        <v>31.2</v>
      </c>
      <c r="G510" s="91">
        <v>45765</v>
      </c>
      <c r="H510" s="91">
        <v>46019</v>
      </c>
      <c r="I510" s="90">
        <v>0</v>
      </c>
      <c r="J510" s="92">
        <v>-113</v>
      </c>
      <c r="K510" s="90" t="s">
        <v>220</v>
      </c>
      <c r="L510" s="90"/>
    </row>
    <row r="511" spans="1:12" ht="15" customHeight="1" outlineLevel="1" x14ac:dyDescent="0.3">
      <c r="A511" s="101" t="s">
        <v>669</v>
      </c>
      <c r="B511" s="90">
        <v>417</v>
      </c>
      <c r="C511" s="90"/>
      <c r="D511" s="90" t="s">
        <v>130</v>
      </c>
      <c r="E511" s="91">
        <v>45675</v>
      </c>
      <c r="F511" s="30">
        <v>26.2</v>
      </c>
      <c r="G511" s="91">
        <v>45765</v>
      </c>
      <c r="H511" s="91">
        <v>46019</v>
      </c>
      <c r="I511" s="90">
        <v>0</v>
      </c>
      <c r="J511" s="92">
        <v>-90</v>
      </c>
      <c r="K511" s="90" t="s">
        <v>221</v>
      </c>
      <c r="L511" s="90"/>
    </row>
    <row r="512" spans="1:12" ht="15" customHeight="1" outlineLevel="1" x14ac:dyDescent="0.3">
      <c r="A512" s="101" t="s">
        <v>669</v>
      </c>
      <c r="B512" s="90">
        <v>417</v>
      </c>
      <c r="C512" s="90"/>
      <c r="D512" s="90" t="s">
        <v>130</v>
      </c>
      <c r="E512" s="91">
        <v>45692</v>
      </c>
      <c r="F512" s="30">
        <v>23</v>
      </c>
      <c r="G512" s="91">
        <v>45765</v>
      </c>
      <c r="H512" s="91">
        <v>46019</v>
      </c>
      <c r="I512" s="90">
        <v>0</v>
      </c>
      <c r="J512" s="92">
        <v>-73</v>
      </c>
      <c r="K512" s="90" t="s">
        <v>222</v>
      </c>
      <c r="L512" s="90"/>
    </row>
    <row r="513" spans="1:12" ht="15" customHeight="1" outlineLevel="1" x14ac:dyDescent="0.3">
      <c r="A513" s="101" t="s">
        <v>669</v>
      </c>
      <c r="B513" s="90">
        <v>417</v>
      </c>
      <c r="C513" s="90"/>
      <c r="D513" s="90" t="s">
        <v>130</v>
      </c>
      <c r="E513" s="91">
        <v>45724</v>
      </c>
      <c r="F513" s="30">
        <v>20</v>
      </c>
      <c r="G513" s="91">
        <v>45765</v>
      </c>
      <c r="H513" s="91">
        <v>46019</v>
      </c>
      <c r="I513" s="90">
        <v>0</v>
      </c>
      <c r="J513" s="92">
        <v>-41</v>
      </c>
      <c r="K513" s="90" t="s">
        <v>223</v>
      </c>
      <c r="L513" s="90"/>
    </row>
    <row r="514" spans="1:12" ht="15" customHeight="1" outlineLevel="1" x14ac:dyDescent="0.3">
      <c r="A514" s="101" t="s">
        <v>669</v>
      </c>
      <c r="B514" s="90">
        <v>417</v>
      </c>
      <c r="C514" s="90"/>
      <c r="D514" s="90" t="s">
        <v>130</v>
      </c>
      <c r="E514" s="91">
        <v>45731</v>
      </c>
      <c r="F514" s="30">
        <v>15</v>
      </c>
      <c r="G514" s="91">
        <v>45765</v>
      </c>
      <c r="H514" s="91">
        <v>46019</v>
      </c>
      <c r="I514" s="90">
        <v>0</v>
      </c>
      <c r="J514" s="92">
        <v>-34</v>
      </c>
      <c r="K514" s="90" t="s">
        <v>223</v>
      </c>
      <c r="L514" s="90"/>
    </row>
    <row r="515" spans="1:12" ht="15" customHeight="1" x14ac:dyDescent="0.3">
      <c r="A515" s="101" t="s">
        <v>670</v>
      </c>
      <c r="B515" s="90">
        <v>418</v>
      </c>
      <c r="C515" s="90"/>
      <c r="D515" s="90" t="s">
        <v>130</v>
      </c>
      <c r="E515" s="91">
        <v>45257</v>
      </c>
      <c r="F515" s="30">
        <v>18.829999999999998</v>
      </c>
      <c r="G515" s="91">
        <v>45991</v>
      </c>
      <c r="H515" s="91">
        <v>46019</v>
      </c>
      <c r="I515" s="90">
        <v>0</v>
      </c>
      <c r="J515" s="92">
        <v>-734</v>
      </c>
      <c r="K515" s="90" t="s">
        <v>207</v>
      </c>
      <c r="L515" s="90"/>
    </row>
    <row r="516" spans="1:12" ht="15" customHeight="1" outlineLevel="1" x14ac:dyDescent="0.3">
      <c r="A516" s="101" t="s">
        <v>670</v>
      </c>
      <c r="B516" s="90">
        <v>418</v>
      </c>
      <c r="C516" s="90"/>
      <c r="D516" s="90" t="s">
        <v>130</v>
      </c>
      <c r="E516" s="91">
        <v>45271</v>
      </c>
      <c r="F516" s="30">
        <v>26.13</v>
      </c>
      <c r="G516" s="91">
        <v>45991</v>
      </c>
      <c r="H516" s="91">
        <v>46019</v>
      </c>
      <c r="I516" s="90">
        <v>0</v>
      </c>
      <c r="J516" s="92">
        <v>-720</v>
      </c>
      <c r="K516" s="90" t="s">
        <v>208</v>
      </c>
      <c r="L516" s="90"/>
    </row>
    <row r="517" spans="1:12" ht="15" customHeight="1" outlineLevel="1" x14ac:dyDescent="0.3">
      <c r="A517" s="101" t="s">
        <v>670</v>
      </c>
      <c r="B517" s="90">
        <v>418</v>
      </c>
      <c r="C517" s="90"/>
      <c r="D517" s="90" t="s">
        <v>130</v>
      </c>
      <c r="E517" s="91">
        <v>45310</v>
      </c>
      <c r="F517" s="30">
        <v>24.68</v>
      </c>
      <c r="G517" s="91">
        <v>45991</v>
      </c>
      <c r="H517" s="91">
        <v>46019</v>
      </c>
      <c r="I517" s="90">
        <v>0</v>
      </c>
      <c r="J517" s="92">
        <v>-681</v>
      </c>
      <c r="K517" s="90" t="s">
        <v>209</v>
      </c>
      <c r="L517" s="90"/>
    </row>
    <row r="518" spans="1:12" ht="15" customHeight="1" outlineLevel="1" x14ac:dyDescent="0.3">
      <c r="A518" s="101" t="s">
        <v>670</v>
      </c>
      <c r="B518" s="90">
        <v>418</v>
      </c>
      <c r="C518" s="90"/>
      <c r="D518" s="90" t="s">
        <v>130</v>
      </c>
      <c r="E518" s="91">
        <v>45360</v>
      </c>
      <c r="F518" s="30">
        <v>19.649999999999999</v>
      </c>
      <c r="G518" s="91">
        <v>45991</v>
      </c>
      <c r="H518" s="91">
        <v>46019</v>
      </c>
      <c r="I518" s="90">
        <v>0</v>
      </c>
      <c r="J518" s="92">
        <v>-631</v>
      </c>
      <c r="K518" s="90" t="s">
        <v>211</v>
      </c>
      <c r="L518" s="90"/>
    </row>
    <row r="519" spans="1:12" ht="15" customHeight="1" outlineLevel="1" x14ac:dyDescent="0.3">
      <c r="A519" s="101" t="s">
        <v>670</v>
      </c>
      <c r="B519" s="90">
        <v>418</v>
      </c>
      <c r="C519" s="90"/>
      <c r="D519" s="90" t="s">
        <v>130</v>
      </c>
      <c r="E519" s="91">
        <v>45402</v>
      </c>
      <c r="F519" s="30">
        <v>23.86</v>
      </c>
      <c r="G519" s="91">
        <v>45991</v>
      </c>
      <c r="H519" s="91">
        <v>46019</v>
      </c>
      <c r="I519" s="90">
        <v>0</v>
      </c>
      <c r="J519" s="92">
        <v>-589</v>
      </c>
      <c r="K519" s="90" t="s">
        <v>212</v>
      </c>
      <c r="L519" s="90"/>
    </row>
    <row r="520" spans="1:12" ht="15" customHeight="1" outlineLevel="1" x14ac:dyDescent="0.3">
      <c r="A520" s="101" t="s">
        <v>670</v>
      </c>
      <c r="B520" s="90">
        <v>418</v>
      </c>
      <c r="C520" s="90"/>
      <c r="D520" s="90" t="s">
        <v>130</v>
      </c>
      <c r="E520" s="91">
        <v>45467</v>
      </c>
      <c r="F520" s="30">
        <v>15.5</v>
      </c>
      <c r="G520" s="91">
        <v>45991</v>
      </c>
      <c r="H520" s="91">
        <v>46019</v>
      </c>
      <c r="I520" s="90">
        <v>0</v>
      </c>
      <c r="J520" s="92">
        <v>-524</v>
      </c>
      <c r="K520" s="90" t="s">
        <v>214</v>
      </c>
      <c r="L520" s="90"/>
    </row>
    <row r="521" spans="1:12" ht="15" customHeight="1" outlineLevel="1" x14ac:dyDescent="0.3">
      <c r="A521" s="101" t="s">
        <v>670</v>
      </c>
      <c r="B521" s="90">
        <v>418</v>
      </c>
      <c r="C521" s="90"/>
      <c r="D521" s="90" t="s">
        <v>130</v>
      </c>
      <c r="E521" s="91">
        <v>45646</v>
      </c>
      <c r="F521" s="30">
        <v>33.6</v>
      </c>
      <c r="G521" s="91">
        <v>45991</v>
      </c>
      <c r="H521" s="91">
        <v>46019</v>
      </c>
      <c r="I521" s="90">
        <v>0</v>
      </c>
      <c r="J521" s="92">
        <v>-345</v>
      </c>
      <c r="K521" s="90" t="s">
        <v>220</v>
      </c>
      <c r="L521" s="90"/>
    </row>
    <row r="522" spans="1:12" ht="15" customHeight="1" outlineLevel="1" x14ac:dyDescent="0.3">
      <c r="A522" s="101" t="s">
        <v>670</v>
      </c>
      <c r="B522" s="90">
        <v>418</v>
      </c>
      <c r="C522" s="90"/>
      <c r="D522" s="90" t="s">
        <v>130</v>
      </c>
      <c r="E522" s="91">
        <v>45652</v>
      </c>
      <c r="F522" s="30">
        <v>30</v>
      </c>
      <c r="G522" s="91">
        <v>45991</v>
      </c>
      <c r="H522" s="91">
        <v>46019</v>
      </c>
      <c r="I522" s="90">
        <v>0</v>
      </c>
      <c r="J522" s="92">
        <v>-339</v>
      </c>
      <c r="K522" s="90" t="s">
        <v>220</v>
      </c>
      <c r="L522" s="90"/>
    </row>
    <row r="523" spans="1:12" ht="15" customHeight="1" outlineLevel="1" x14ac:dyDescent="0.3">
      <c r="A523" s="101" t="s">
        <v>670</v>
      </c>
      <c r="B523" s="90">
        <v>418</v>
      </c>
      <c r="C523" s="90"/>
      <c r="D523" s="90" t="s">
        <v>130</v>
      </c>
      <c r="E523" s="91">
        <v>45675</v>
      </c>
      <c r="F523" s="30">
        <v>32.200000000000003</v>
      </c>
      <c r="G523" s="91">
        <v>45991</v>
      </c>
      <c r="H523" s="91">
        <v>46019</v>
      </c>
      <c r="I523" s="90">
        <v>0</v>
      </c>
      <c r="J523" s="92">
        <v>-316</v>
      </c>
      <c r="K523" s="90" t="s">
        <v>221</v>
      </c>
      <c r="L523" s="90"/>
    </row>
    <row r="524" spans="1:12" ht="15" customHeight="1" outlineLevel="1" x14ac:dyDescent="0.3">
      <c r="A524" s="101" t="s">
        <v>670</v>
      </c>
      <c r="B524" s="90">
        <v>418</v>
      </c>
      <c r="C524" s="90"/>
      <c r="D524" s="90" t="s">
        <v>130</v>
      </c>
      <c r="E524" s="91">
        <v>45692</v>
      </c>
      <c r="F524" s="30">
        <v>27.4</v>
      </c>
      <c r="G524" s="91">
        <v>45991</v>
      </c>
      <c r="H524" s="91">
        <v>46019</v>
      </c>
      <c r="I524" s="90">
        <v>0</v>
      </c>
      <c r="J524" s="92">
        <v>-299</v>
      </c>
      <c r="K524" s="90" t="s">
        <v>222</v>
      </c>
      <c r="L524" s="90"/>
    </row>
    <row r="525" spans="1:12" ht="15" customHeight="1" outlineLevel="1" x14ac:dyDescent="0.3">
      <c r="A525" s="101" t="s">
        <v>670</v>
      </c>
      <c r="B525" s="90">
        <v>418</v>
      </c>
      <c r="C525" s="90"/>
      <c r="D525" s="90" t="s">
        <v>130</v>
      </c>
      <c r="E525" s="91">
        <v>45724</v>
      </c>
      <c r="F525" s="30">
        <v>16</v>
      </c>
      <c r="G525" s="91">
        <v>45991</v>
      </c>
      <c r="H525" s="91">
        <v>46019</v>
      </c>
      <c r="I525" s="90">
        <v>0</v>
      </c>
      <c r="J525" s="92">
        <v>-267</v>
      </c>
      <c r="K525" s="90" t="s">
        <v>223</v>
      </c>
      <c r="L525" s="90"/>
    </row>
    <row r="526" spans="1:12" ht="15" customHeight="1" outlineLevel="1" x14ac:dyDescent="0.3">
      <c r="A526" s="101" t="s">
        <v>670</v>
      </c>
      <c r="B526" s="90">
        <v>418</v>
      </c>
      <c r="C526" s="90"/>
      <c r="D526" s="90" t="s">
        <v>130</v>
      </c>
      <c r="E526" s="91">
        <v>45731</v>
      </c>
      <c r="F526" s="30">
        <v>11</v>
      </c>
      <c r="G526" s="91">
        <v>45991</v>
      </c>
      <c r="H526" s="91">
        <v>46019</v>
      </c>
      <c r="I526" s="90">
        <v>0</v>
      </c>
      <c r="J526" s="92">
        <v>-260</v>
      </c>
      <c r="K526" s="90" t="s">
        <v>223</v>
      </c>
      <c r="L526" s="90"/>
    </row>
    <row r="527" spans="1:12" ht="15" customHeight="1" outlineLevel="1" x14ac:dyDescent="0.3">
      <c r="A527" s="101" t="s">
        <v>670</v>
      </c>
      <c r="B527" s="90">
        <v>418</v>
      </c>
      <c r="C527" s="90"/>
      <c r="D527" s="90" t="s">
        <v>130</v>
      </c>
      <c r="E527" s="91">
        <v>45766</v>
      </c>
      <c r="F527" s="30">
        <v>9</v>
      </c>
      <c r="G527" s="91">
        <v>45991</v>
      </c>
      <c r="H527" s="91">
        <v>46019</v>
      </c>
      <c r="I527" s="90">
        <v>0</v>
      </c>
      <c r="J527" s="92">
        <v>-225</v>
      </c>
      <c r="K527" s="90" t="s">
        <v>224</v>
      </c>
      <c r="L527" s="90"/>
    </row>
    <row r="528" spans="1:12" ht="15" customHeight="1" x14ac:dyDescent="0.3">
      <c r="A528" s="101" t="s">
        <v>671</v>
      </c>
      <c r="B528" s="90">
        <v>419</v>
      </c>
      <c r="C528" s="90"/>
      <c r="D528" s="90" t="s">
        <v>130</v>
      </c>
      <c r="E528" s="91">
        <v>45224</v>
      </c>
      <c r="F528" s="30">
        <v>17.690000000000001</v>
      </c>
      <c r="G528" s="91">
        <v>45205</v>
      </c>
      <c r="H528" s="91">
        <v>45995</v>
      </c>
      <c r="I528" s="90">
        <v>0</v>
      </c>
      <c r="J528" s="92">
        <v>19</v>
      </c>
      <c r="K528" s="90" t="s">
        <v>206</v>
      </c>
      <c r="L528" s="90"/>
    </row>
    <row r="529" spans="1:12" ht="15" customHeight="1" outlineLevel="1" x14ac:dyDescent="0.3">
      <c r="A529" s="101" t="s">
        <v>671</v>
      </c>
      <c r="B529" s="90">
        <v>419</v>
      </c>
      <c r="C529" s="90"/>
      <c r="D529" s="90" t="s">
        <v>130</v>
      </c>
      <c r="E529" s="91">
        <v>45257</v>
      </c>
      <c r="F529" s="30">
        <v>11.52</v>
      </c>
      <c r="G529" s="91">
        <v>45205</v>
      </c>
      <c r="H529" s="91">
        <v>45995</v>
      </c>
      <c r="I529" s="90">
        <v>0</v>
      </c>
      <c r="J529" s="92">
        <v>52</v>
      </c>
      <c r="K529" s="90" t="s">
        <v>207</v>
      </c>
      <c r="L529" s="90"/>
    </row>
    <row r="530" spans="1:12" ht="15" customHeight="1" outlineLevel="1" x14ac:dyDescent="0.3">
      <c r="A530" s="101" t="s">
        <v>671</v>
      </c>
      <c r="B530" s="90">
        <v>419</v>
      </c>
      <c r="C530" s="90"/>
      <c r="D530" s="90" t="s">
        <v>130</v>
      </c>
      <c r="E530" s="91">
        <v>45271</v>
      </c>
      <c r="F530" s="30">
        <v>12.55</v>
      </c>
      <c r="G530" s="91">
        <v>45205</v>
      </c>
      <c r="H530" s="91">
        <v>45995</v>
      </c>
      <c r="I530" s="90">
        <v>0</v>
      </c>
      <c r="J530" s="92">
        <v>66</v>
      </c>
      <c r="K530" s="90" t="s">
        <v>208</v>
      </c>
      <c r="L530" s="90"/>
    </row>
    <row r="531" spans="1:12" ht="15" customHeight="1" x14ac:dyDescent="0.3">
      <c r="A531" s="101" t="s">
        <v>672</v>
      </c>
      <c r="B531" s="90" t="s">
        <v>735</v>
      </c>
      <c r="C531" s="90"/>
      <c r="D531" s="90" t="s">
        <v>130</v>
      </c>
      <c r="E531" s="91">
        <v>45360</v>
      </c>
      <c r="F531" s="30">
        <v>23.24</v>
      </c>
      <c r="G531" s="91">
        <v>45742</v>
      </c>
      <c r="H531" s="91">
        <v>46162</v>
      </c>
      <c r="I531" s="90">
        <v>0</v>
      </c>
      <c r="J531" s="92">
        <v>-382</v>
      </c>
      <c r="K531" s="90" t="s">
        <v>211</v>
      </c>
      <c r="L531" s="90"/>
    </row>
    <row r="532" spans="1:12" ht="15" customHeight="1" outlineLevel="1" x14ac:dyDescent="0.3">
      <c r="A532" s="101" t="s">
        <v>672</v>
      </c>
      <c r="B532" s="90" t="s">
        <v>735</v>
      </c>
      <c r="C532" s="90"/>
      <c r="D532" s="90" t="s">
        <v>130</v>
      </c>
      <c r="E532" s="91">
        <v>45402</v>
      </c>
      <c r="F532" s="30">
        <v>28.8</v>
      </c>
      <c r="G532" s="91">
        <v>45742</v>
      </c>
      <c r="H532" s="91">
        <v>46162</v>
      </c>
      <c r="I532" s="90">
        <v>0</v>
      </c>
      <c r="J532" s="92">
        <v>-340</v>
      </c>
      <c r="K532" s="90" t="s">
        <v>212</v>
      </c>
      <c r="L532" s="90"/>
    </row>
    <row r="533" spans="1:12" ht="15" customHeight="1" outlineLevel="1" x14ac:dyDescent="0.3">
      <c r="A533" s="101" t="s">
        <v>672</v>
      </c>
      <c r="B533" s="90" t="s">
        <v>735</v>
      </c>
      <c r="C533" s="90"/>
      <c r="D533" s="90" t="s">
        <v>130</v>
      </c>
      <c r="E533" s="91">
        <v>45467</v>
      </c>
      <c r="F533" s="30">
        <v>26</v>
      </c>
      <c r="G533" s="91">
        <v>45742</v>
      </c>
      <c r="H533" s="91">
        <v>46162</v>
      </c>
      <c r="I533" s="90">
        <v>0</v>
      </c>
      <c r="J533" s="92">
        <v>-275</v>
      </c>
      <c r="K533" s="90" t="s">
        <v>214</v>
      </c>
      <c r="L533" s="90"/>
    </row>
    <row r="534" spans="1:12" ht="15" customHeight="1" outlineLevel="1" x14ac:dyDescent="0.3">
      <c r="A534" s="101" t="s">
        <v>672</v>
      </c>
      <c r="B534" s="90" t="s">
        <v>735</v>
      </c>
      <c r="C534" s="90"/>
      <c r="D534" s="90" t="s">
        <v>130</v>
      </c>
      <c r="E534" s="91">
        <v>45646</v>
      </c>
      <c r="F534" s="30">
        <v>21.2</v>
      </c>
      <c r="G534" s="91">
        <v>45742</v>
      </c>
      <c r="H534" s="91">
        <v>46162</v>
      </c>
      <c r="I534" s="90">
        <v>0</v>
      </c>
      <c r="J534" s="92">
        <v>-96</v>
      </c>
      <c r="K534" s="90" t="s">
        <v>220</v>
      </c>
      <c r="L534" s="90"/>
    </row>
    <row r="535" spans="1:12" ht="15" customHeight="1" outlineLevel="1" x14ac:dyDescent="0.3">
      <c r="A535" s="101" t="s">
        <v>672</v>
      </c>
      <c r="B535" s="90" t="s">
        <v>735</v>
      </c>
      <c r="C535" s="90"/>
      <c r="D535" s="90" t="s">
        <v>130</v>
      </c>
      <c r="E535" s="91">
        <v>45652</v>
      </c>
      <c r="F535" s="30">
        <v>22.2</v>
      </c>
      <c r="G535" s="91">
        <v>45742</v>
      </c>
      <c r="H535" s="91">
        <v>46162</v>
      </c>
      <c r="I535" s="90">
        <v>0</v>
      </c>
      <c r="J535" s="92">
        <v>-90</v>
      </c>
      <c r="K535" s="90" t="s">
        <v>220</v>
      </c>
      <c r="L535" s="90"/>
    </row>
    <row r="536" spans="1:12" ht="15" customHeight="1" outlineLevel="1" x14ac:dyDescent="0.3">
      <c r="A536" s="101" t="s">
        <v>672</v>
      </c>
      <c r="B536" s="90" t="s">
        <v>735</v>
      </c>
      <c r="C536" s="90"/>
      <c r="D536" s="90" t="s">
        <v>130</v>
      </c>
      <c r="E536" s="91">
        <v>45675</v>
      </c>
      <c r="F536" s="30">
        <v>18</v>
      </c>
      <c r="G536" s="91">
        <v>45742</v>
      </c>
      <c r="H536" s="91">
        <v>46162</v>
      </c>
      <c r="I536" s="90">
        <v>0</v>
      </c>
      <c r="J536" s="92">
        <v>-67</v>
      </c>
      <c r="K536" s="90" t="s">
        <v>221</v>
      </c>
      <c r="L536" s="90"/>
    </row>
    <row r="537" spans="1:12" ht="15" customHeight="1" outlineLevel="1" x14ac:dyDescent="0.3">
      <c r="A537" s="101" t="s">
        <v>672</v>
      </c>
      <c r="B537" s="90" t="s">
        <v>735</v>
      </c>
      <c r="C537" s="90"/>
      <c r="D537" s="90" t="s">
        <v>130</v>
      </c>
      <c r="E537" s="91">
        <v>45766</v>
      </c>
      <c r="F537" s="30">
        <v>22.4</v>
      </c>
      <c r="G537" s="91">
        <v>45742</v>
      </c>
      <c r="H537" s="91">
        <v>46162</v>
      </c>
      <c r="I537" s="90">
        <v>0</v>
      </c>
      <c r="J537" s="92">
        <v>24</v>
      </c>
      <c r="K537" s="90" t="s">
        <v>224</v>
      </c>
      <c r="L537" s="90"/>
    </row>
    <row r="538" spans="1:12" ht="15" customHeight="1" outlineLevel="1" x14ac:dyDescent="0.3">
      <c r="A538" s="101" t="s">
        <v>672</v>
      </c>
      <c r="B538" s="90" t="s">
        <v>735</v>
      </c>
      <c r="C538" s="90"/>
      <c r="D538" s="90" t="s">
        <v>130</v>
      </c>
      <c r="E538" s="91">
        <v>45858</v>
      </c>
      <c r="F538" s="30">
        <v>25</v>
      </c>
      <c r="G538" s="91">
        <v>45742</v>
      </c>
      <c r="H538" s="91">
        <v>46162</v>
      </c>
      <c r="I538" s="90">
        <v>0</v>
      </c>
      <c r="J538" s="92">
        <v>116</v>
      </c>
      <c r="K538" s="90" t="s">
        <v>226</v>
      </c>
      <c r="L538" s="90"/>
    </row>
    <row r="539" spans="1:12" ht="15" customHeight="1" outlineLevel="1" x14ac:dyDescent="0.3">
      <c r="A539" s="101" t="s">
        <v>672</v>
      </c>
      <c r="B539" s="90" t="s">
        <v>735</v>
      </c>
      <c r="C539" s="90"/>
      <c r="D539" s="90" t="s">
        <v>130</v>
      </c>
      <c r="E539" s="91">
        <v>45882</v>
      </c>
      <c r="F539" s="30">
        <v>16</v>
      </c>
      <c r="G539" s="91">
        <v>45742</v>
      </c>
      <c r="H539" s="91">
        <v>46162</v>
      </c>
      <c r="I539" s="90">
        <v>0</v>
      </c>
      <c r="J539" s="92">
        <v>140</v>
      </c>
      <c r="K539" s="90" t="s">
        <v>227</v>
      </c>
      <c r="L539" s="90"/>
    </row>
    <row r="540" spans="1:12" ht="15" customHeight="1" outlineLevel="1" x14ac:dyDescent="0.3">
      <c r="A540" s="101" t="s">
        <v>672</v>
      </c>
      <c r="B540" s="90" t="s">
        <v>735</v>
      </c>
      <c r="C540" s="90"/>
      <c r="D540" s="90" t="s">
        <v>130</v>
      </c>
      <c r="E540" s="91">
        <v>45893</v>
      </c>
      <c r="F540" s="30">
        <v>18</v>
      </c>
      <c r="G540" s="91">
        <v>45742</v>
      </c>
      <c r="H540" s="91">
        <v>46162</v>
      </c>
      <c r="I540" s="90">
        <v>0</v>
      </c>
      <c r="J540" s="92">
        <v>151</v>
      </c>
      <c r="K540" s="90" t="s">
        <v>227</v>
      </c>
      <c r="L540" s="90"/>
    </row>
    <row r="541" spans="1:12" ht="15" customHeight="1" outlineLevel="1" x14ac:dyDescent="0.3">
      <c r="A541" s="101" t="s">
        <v>672</v>
      </c>
      <c r="B541" s="90" t="s">
        <v>735</v>
      </c>
      <c r="C541" s="90"/>
      <c r="D541" s="90" t="s">
        <v>130</v>
      </c>
      <c r="E541" s="91">
        <v>45922</v>
      </c>
      <c r="F541" s="30">
        <v>14</v>
      </c>
      <c r="G541" s="91">
        <v>45742</v>
      </c>
      <c r="H541" s="91">
        <v>46162</v>
      </c>
      <c r="I541" s="90">
        <v>0</v>
      </c>
      <c r="J541" s="92">
        <v>180</v>
      </c>
      <c r="K541" s="90" t="s">
        <v>228</v>
      </c>
      <c r="L541" s="90"/>
    </row>
    <row r="542" spans="1:12" ht="15" customHeight="1" outlineLevel="1" x14ac:dyDescent="0.3">
      <c r="A542" s="101" t="s">
        <v>672</v>
      </c>
      <c r="B542" s="90" t="s">
        <v>735</v>
      </c>
      <c r="C542" s="90"/>
      <c r="D542" s="90" t="s">
        <v>130</v>
      </c>
      <c r="E542" s="91">
        <v>45932</v>
      </c>
      <c r="F542" s="30">
        <v>12</v>
      </c>
      <c r="G542" s="91">
        <v>45742</v>
      </c>
      <c r="H542" s="91">
        <v>46162</v>
      </c>
      <c r="I542" s="90">
        <v>0</v>
      </c>
      <c r="J542" s="92">
        <v>190</v>
      </c>
      <c r="K542" s="90" t="s">
        <v>229</v>
      </c>
      <c r="L542" s="90"/>
    </row>
    <row r="543" spans="1:12" ht="15" customHeight="1" outlineLevel="1" x14ac:dyDescent="0.3">
      <c r="A543" s="101" t="s">
        <v>672</v>
      </c>
      <c r="B543" s="90" t="s">
        <v>735</v>
      </c>
      <c r="C543" s="90"/>
      <c r="D543" s="90" t="s">
        <v>130</v>
      </c>
      <c r="E543" s="91">
        <v>45947</v>
      </c>
      <c r="F543" s="30">
        <v>10</v>
      </c>
      <c r="G543" s="91">
        <v>45742</v>
      </c>
      <c r="H543" s="91">
        <v>46162</v>
      </c>
      <c r="I543" s="90">
        <v>0</v>
      </c>
      <c r="J543" s="92">
        <v>205</v>
      </c>
      <c r="K543" s="90" t="s">
        <v>229</v>
      </c>
      <c r="L543" s="90"/>
    </row>
    <row r="544" spans="1:12" ht="15" customHeight="1" outlineLevel="1" x14ac:dyDescent="0.3">
      <c r="A544" s="101" t="s">
        <v>672</v>
      </c>
      <c r="B544" s="90" t="s">
        <v>735</v>
      </c>
      <c r="C544" s="90"/>
      <c r="D544" s="90" t="s">
        <v>130</v>
      </c>
      <c r="E544" s="91">
        <v>45979</v>
      </c>
      <c r="F544" s="30">
        <v>10</v>
      </c>
      <c r="G544" s="91">
        <v>45742</v>
      </c>
      <c r="H544" s="91">
        <v>46162</v>
      </c>
      <c r="I544" s="90">
        <v>0</v>
      </c>
      <c r="J544" s="92">
        <v>237</v>
      </c>
      <c r="K544" s="90" t="s">
        <v>230</v>
      </c>
      <c r="L544" s="90"/>
    </row>
    <row r="545" spans="1:12" ht="15" customHeight="1" outlineLevel="1" x14ac:dyDescent="0.3">
      <c r="A545" s="101" t="s">
        <v>672</v>
      </c>
      <c r="B545" s="90" t="s">
        <v>735</v>
      </c>
      <c r="C545" s="90"/>
      <c r="D545" s="90" t="s">
        <v>130</v>
      </c>
      <c r="E545" s="91">
        <v>45985</v>
      </c>
      <c r="F545" s="30">
        <v>10</v>
      </c>
      <c r="G545" s="91">
        <v>45742</v>
      </c>
      <c r="H545" s="91">
        <v>46162</v>
      </c>
      <c r="I545" s="90">
        <v>0</v>
      </c>
      <c r="J545" s="92">
        <v>243</v>
      </c>
      <c r="K545" s="90" t="s">
        <v>230</v>
      </c>
      <c r="L545" s="90"/>
    </row>
    <row r="546" spans="1:12" ht="15" customHeight="1" outlineLevel="1" x14ac:dyDescent="0.3">
      <c r="A546" s="101" t="s">
        <v>672</v>
      </c>
      <c r="B546" s="90" t="s">
        <v>735</v>
      </c>
      <c r="C546" s="90"/>
      <c r="D546" s="90" t="s">
        <v>130</v>
      </c>
      <c r="E546" s="91">
        <v>45990</v>
      </c>
      <c r="F546" s="30">
        <v>13</v>
      </c>
      <c r="G546" s="91">
        <v>45742</v>
      </c>
      <c r="H546" s="91">
        <v>46162</v>
      </c>
      <c r="I546" s="90">
        <v>0</v>
      </c>
      <c r="J546" s="92">
        <v>248</v>
      </c>
      <c r="K546" s="90" t="s">
        <v>230</v>
      </c>
      <c r="L546" s="90"/>
    </row>
    <row r="547" spans="1:12" ht="15" customHeight="1" x14ac:dyDescent="0.3">
      <c r="A547" s="101" t="s">
        <v>673</v>
      </c>
      <c r="B547" s="90" t="s">
        <v>736</v>
      </c>
      <c r="C547" s="90"/>
      <c r="D547" s="90" t="s">
        <v>130</v>
      </c>
      <c r="E547" s="91">
        <v>45224</v>
      </c>
      <c r="F547" s="30">
        <v>31.89</v>
      </c>
      <c r="G547" s="91">
        <v>45735</v>
      </c>
      <c r="H547" s="91">
        <v>46019</v>
      </c>
      <c r="I547" s="90">
        <v>0</v>
      </c>
      <c r="J547" s="92">
        <v>-511</v>
      </c>
      <c r="K547" s="90" t="s">
        <v>206</v>
      </c>
      <c r="L547" s="90"/>
    </row>
    <row r="548" spans="1:12" ht="15" customHeight="1" outlineLevel="1" x14ac:dyDescent="0.3">
      <c r="A548" s="101" t="s">
        <v>673</v>
      </c>
      <c r="B548" s="90" t="s">
        <v>736</v>
      </c>
      <c r="C548" s="90"/>
      <c r="D548" s="90" t="s">
        <v>130</v>
      </c>
      <c r="E548" s="91">
        <v>45257</v>
      </c>
      <c r="F548" s="30">
        <v>27.05</v>
      </c>
      <c r="G548" s="91">
        <v>45735</v>
      </c>
      <c r="H548" s="91">
        <v>46019</v>
      </c>
      <c r="I548" s="90">
        <v>0</v>
      </c>
      <c r="J548" s="92">
        <v>-478</v>
      </c>
      <c r="K548" s="90" t="s">
        <v>207</v>
      </c>
      <c r="L548" s="90"/>
    </row>
    <row r="549" spans="1:12" ht="15" customHeight="1" outlineLevel="1" x14ac:dyDescent="0.3">
      <c r="A549" s="101" t="s">
        <v>673</v>
      </c>
      <c r="B549" s="90" t="s">
        <v>736</v>
      </c>
      <c r="C549" s="90"/>
      <c r="D549" s="90" t="s">
        <v>130</v>
      </c>
      <c r="E549" s="91">
        <v>45271</v>
      </c>
      <c r="F549" s="30">
        <v>22.21</v>
      </c>
      <c r="G549" s="91">
        <v>45735</v>
      </c>
      <c r="H549" s="91">
        <v>46019</v>
      </c>
      <c r="I549" s="90">
        <v>0</v>
      </c>
      <c r="J549" s="92">
        <v>-464</v>
      </c>
      <c r="K549" s="90" t="s">
        <v>208</v>
      </c>
      <c r="L549" s="90"/>
    </row>
    <row r="550" spans="1:12" ht="15" customHeight="1" outlineLevel="1" x14ac:dyDescent="0.3">
      <c r="A550" s="101" t="s">
        <v>673</v>
      </c>
      <c r="B550" s="90" t="s">
        <v>736</v>
      </c>
      <c r="C550" s="90"/>
      <c r="D550" s="90" t="s">
        <v>130</v>
      </c>
      <c r="E550" s="91">
        <v>45310</v>
      </c>
      <c r="F550" s="30">
        <v>24.68</v>
      </c>
      <c r="G550" s="91">
        <v>45735</v>
      </c>
      <c r="H550" s="91">
        <v>46019</v>
      </c>
      <c r="I550" s="90">
        <v>0</v>
      </c>
      <c r="J550" s="92">
        <v>-425</v>
      </c>
      <c r="K550" s="90" t="s">
        <v>209</v>
      </c>
      <c r="L550" s="90"/>
    </row>
    <row r="551" spans="1:12" ht="15" customHeight="1" outlineLevel="1" x14ac:dyDescent="0.3">
      <c r="A551" s="101" t="s">
        <v>673</v>
      </c>
      <c r="B551" s="90" t="s">
        <v>736</v>
      </c>
      <c r="C551" s="90"/>
      <c r="D551" s="90" t="s">
        <v>130</v>
      </c>
      <c r="E551" s="91">
        <v>45360</v>
      </c>
      <c r="F551" s="30">
        <v>19.75</v>
      </c>
      <c r="G551" s="91">
        <v>45735</v>
      </c>
      <c r="H551" s="91">
        <v>46019</v>
      </c>
      <c r="I551" s="90">
        <v>0</v>
      </c>
      <c r="J551" s="92">
        <v>-375</v>
      </c>
      <c r="K551" s="90" t="s">
        <v>211</v>
      </c>
      <c r="L551" s="90"/>
    </row>
    <row r="552" spans="1:12" ht="15" customHeight="1" outlineLevel="1" x14ac:dyDescent="0.3">
      <c r="A552" s="101" t="s">
        <v>673</v>
      </c>
      <c r="B552" s="90" t="s">
        <v>736</v>
      </c>
      <c r="C552" s="90"/>
      <c r="D552" s="90" t="s">
        <v>130</v>
      </c>
      <c r="E552" s="91">
        <v>45402</v>
      </c>
      <c r="F552" s="30">
        <v>19.75</v>
      </c>
      <c r="G552" s="91">
        <v>45735</v>
      </c>
      <c r="H552" s="91">
        <v>46019</v>
      </c>
      <c r="I552" s="90">
        <v>0</v>
      </c>
      <c r="J552" s="92">
        <v>-333</v>
      </c>
      <c r="K552" s="90" t="s">
        <v>212</v>
      </c>
      <c r="L552" s="90"/>
    </row>
    <row r="553" spans="1:12" ht="15" customHeight="1" outlineLevel="1" x14ac:dyDescent="0.3">
      <c r="A553" s="101" t="s">
        <v>673</v>
      </c>
      <c r="B553" s="90" t="s">
        <v>736</v>
      </c>
      <c r="C553" s="90"/>
      <c r="D553" s="90" t="s">
        <v>130</v>
      </c>
      <c r="E553" s="91">
        <v>45467</v>
      </c>
      <c r="F553" s="30">
        <v>15.3</v>
      </c>
      <c r="G553" s="91">
        <v>45735</v>
      </c>
      <c r="H553" s="91">
        <v>46019</v>
      </c>
      <c r="I553" s="90">
        <v>0</v>
      </c>
      <c r="J553" s="92">
        <v>-268</v>
      </c>
      <c r="K553" s="90" t="s">
        <v>214</v>
      </c>
      <c r="L553" s="90"/>
    </row>
    <row r="554" spans="1:12" ht="15" customHeight="1" outlineLevel="1" x14ac:dyDescent="0.3">
      <c r="A554" s="101" t="s">
        <v>673</v>
      </c>
      <c r="B554" s="90" t="s">
        <v>736</v>
      </c>
      <c r="C554" s="90"/>
      <c r="D554" s="90" t="s">
        <v>130</v>
      </c>
      <c r="E554" s="91">
        <v>45646</v>
      </c>
      <c r="F554" s="30">
        <v>11</v>
      </c>
      <c r="G554" s="91">
        <v>45735</v>
      </c>
      <c r="H554" s="91">
        <v>46019</v>
      </c>
      <c r="I554" s="90">
        <v>0</v>
      </c>
      <c r="J554" s="92">
        <v>-89</v>
      </c>
      <c r="K554" s="90" t="s">
        <v>220</v>
      </c>
      <c r="L554" s="90"/>
    </row>
    <row r="555" spans="1:12" ht="15" customHeight="1" outlineLevel="1" x14ac:dyDescent="0.3">
      <c r="A555" s="101" t="s">
        <v>673</v>
      </c>
      <c r="B555" s="90" t="s">
        <v>736</v>
      </c>
      <c r="C555" s="90"/>
      <c r="D555" s="90" t="s">
        <v>130</v>
      </c>
      <c r="E555" s="91">
        <v>45652</v>
      </c>
      <c r="F555" s="30">
        <v>15.2</v>
      </c>
      <c r="G555" s="91">
        <v>45735</v>
      </c>
      <c r="H555" s="91">
        <v>46019</v>
      </c>
      <c r="I555" s="90">
        <v>0</v>
      </c>
      <c r="J555" s="92">
        <v>-83</v>
      </c>
      <c r="K555" s="90" t="s">
        <v>220</v>
      </c>
      <c r="L555" s="90"/>
    </row>
    <row r="556" spans="1:12" ht="15" customHeight="1" outlineLevel="1" x14ac:dyDescent="0.3">
      <c r="A556" s="101" t="s">
        <v>673</v>
      </c>
      <c r="B556" s="90" t="s">
        <v>736</v>
      </c>
      <c r="C556" s="90"/>
      <c r="D556" s="90" t="s">
        <v>130</v>
      </c>
      <c r="E556" s="91">
        <v>45675</v>
      </c>
      <c r="F556" s="30">
        <v>9</v>
      </c>
      <c r="G556" s="91">
        <v>45735</v>
      </c>
      <c r="H556" s="91">
        <v>46019</v>
      </c>
      <c r="I556" s="90">
        <v>0</v>
      </c>
      <c r="J556" s="92">
        <v>-60</v>
      </c>
      <c r="K556" s="90" t="s">
        <v>221</v>
      </c>
      <c r="L556" s="90"/>
    </row>
    <row r="557" spans="1:12" ht="15" customHeight="1" outlineLevel="1" x14ac:dyDescent="0.3">
      <c r="A557" s="101" t="s">
        <v>673</v>
      </c>
      <c r="B557" s="90" t="s">
        <v>736</v>
      </c>
      <c r="C557" s="90"/>
      <c r="D557" s="90" t="s">
        <v>130</v>
      </c>
      <c r="E557" s="91">
        <v>45766</v>
      </c>
      <c r="F557" s="30">
        <v>28</v>
      </c>
      <c r="G557" s="91">
        <v>45735</v>
      </c>
      <c r="H557" s="91">
        <v>46019</v>
      </c>
      <c r="I557" s="90">
        <v>0</v>
      </c>
      <c r="J557" s="92">
        <v>31</v>
      </c>
      <c r="K557" s="90" t="s">
        <v>224</v>
      </c>
      <c r="L557" s="90"/>
    </row>
    <row r="558" spans="1:12" ht="15" customHeight="1" outlineLevel="1" x14ac:dyDescent="0.3">
      <c r="A558" s="101" t="s">
        <v>673</v>
      </c>
      <c r="B558" s="90" t="s">
        <v>736</v>
      </c>
      <c r="C558" s="90"/>
      <c r="D558" s="90" t="s">
        <v>130</v>
      </c>
      <c r="E558" s="91">
        <v>45858</v>
      </c>
      <c r="F558" s="30">
        <v>22</v>
      </c>
      <c r="G558" s="91">
        <v>45735</v>
      </c>
      <c r="H558" s="91">
        <v>46019</v>
      </c>
      <c r="I558" s="90">
        <v>0</v>
      </c>
      <c r="J558" s="92">
        <v>123</v>
      </c>
      <c r="K558" s="90" t="s">
        <v>226</v>
      </c>
      <c r="L558" s="90"/>
    </row>
    <row r="559" spans="1:12" ht="15" customHeight="1" outlineLevel="1" x14ac:dyDescent="0.3">
      <c r="A559" s="101" t="s">
        <v>673</v>
      </c>
      <c r="B559" s="90" t="s">
        <v>736</v>
      </c>
      <c r="C559" s="90"/>
      <c r="D559" s="90" t="s">
        <v>130</v>
      </c>
      <c r="E559" s="91">
        <v>45882</v>
      </c>
      <c r="F559" s="30">
        <v>15</v>
      </c>
      <c r="G559" s="91">
        <v>45735</v>
      </c>
      <c r="H559" s="91">
        <v>46019</v>
      </c>
      <c r="I559" s="90">
        <v>0</v>
      </c>
      <c r="J559" s="92">
        <v>147</v>
      </c>
      <c r="K559" s="90" t="s">
        <v>227</v>
      </c>
      <c r="L559" s="90"/>
    </row>
    <row r="560" spans="1:12" ht="15" customHeight="1" outlineLevel="1" x14ac:dyDescent="0.3">
      <c r="A560" s="101" t="s">
        <v>673</v>
      </c>
      <c r="B560" s="90" t="s">
        <v>736</v>
      </c>
      <c r="C560" s="90"/>
      <c r="D560" s="90" t="s">
        <v>130</v>
      </c>
      <c r="E560" s="91">
        <v>45893</v>
      </c>
      <c r="F560" s="30">
        <v>18</v>
      </c>
      <c r="G560" s="91">
        <v>45735</v>
      </c>
      <c r="H560" s="91">
        <v>46019</v>
      </c>
      <c r="I560" s="90">
        <v>0</v>
      </c>
      <c r="J560" s="92">
        <v>158</v>
      </c>
      <c r="K560" s="90" t="s">
        <v>227</v>
      </c>
      <c r="L560" s="90"/>
    </row>
    <row r="561" spans="1:12" ht="15" customHeight="1" outlineLevel="1" x14ac:dyDescent="0.3">
      <c r="A561" s="101" t="s">
        <v>673</v>
      </c>
      <c r="B561" s="90" t="s">
        <v>736</v>
      </c>
      <c r="C561" s="90"/>
      <c r="D561" s="90" t="s">
        <v>130</v>
      </c>
      <c r="E561" s="91">
        <v>45922</v>
      </c>
      <c r="F561" s="30">
        <v>14</v>
      </c>
      <c r="G561" s="91">
        <v>45735</v>
      </c>
      <c r="H561" s="91">
        <v>46019</v>
      </c>
      <c r="I561" s="90">
        <v>0</v>
      </c>
      <c r="J561" s="92">
        <v>187</v>
      </c>
      <c r="K561" s="90" t="s">
        <v>228</v>
      </c>
      <c r="L561" s="90"/>
    </row>
    <row r="562" spans="1:12" ht="15" customHeight="1" outlineLevel="1" x14ac:dyDescent="0.3">
      <c r="A562" s="101" t="s">
        <v>673</v>
      </c>
      <c r="B562" s="90" t="s">
        <v>736</v>
      </c>
      <c r="C562" s="90"/>
      <c r="D562" s="90" t="s">
        <v>130</v>
      </c>
      <c r="E562" s="91">
        <v>45932</v>
      </c>
      <c r="F562" s="30">
        <v>12</v>
      </c>
      <c r="G562" s="91">
        <v>45735</v>
      </c>
      <c r="H562" s="91">
        <v>46019</v>
      </c>
      <c r="I562" s="90">
        <v>0</v>
      </c>
      <c r="J562" s="92">
        <v>197</v>
      </c>
      <c r="K562" s="90" t="s">
        <v>229</v>
      </c>
      <c r="L562" s="90"/>
    </row>
    <row r="563" spans="1:12" ht="15" customHeight="1" outlineLevel="1" x14ac:dyDescent="0.3">
      <c r="A563" s="101" t="s">
        <v>673</v>
      </c>
      <c r="B563" s="90" t="s">
        <v>736</v>
      </c>
      <c r="C563" s="90"/>
      <c r="D563" s="90" t="s">
        <v>130</v>
      </c>
      <c r="E563" s="91">
        <v>45947</v>
      </c>
      <c r="F563" s="30">
        <v>11</v>
      </c>
      <c r="G563" s="91">
        <v>45735</v>
      </c>
      <c r="H563" s="91">
        <v>46019</v>
      </c>
      <c r="I563" s="90">
        <v>0</v>
      </c>
      <c r="J563" s="92">
        <v>212</v>
      </c>
      <c r="K563" s="90" t="s">
        <v>229</v>
      </c>
      <c r="L563" s="90"/>
    </row>
    <row r="564" spans="1:12" ht="15" customHeight="1" outlineLevel="1" x14ac:dyDescent="0.3">
      <c r="A564" s="101" t="s">
        <v>673</v>
      </c>
      <c r="B564" s="90" t="s">
        <v>736</v>
      </c>
      <c r="C564" s="90"/>
      <c r="D564" s="90" t="s">
        <v>130</v>
      </c>
      <c r="E564" s="91">
        <v>45979</v>
      </c>
      <c r="F564" s="30">
        <v>4</v>
      </c>
      <c r="G564" s="91">
        <v>45735</v>
      </c>
      <c r="H564" s="91">
        <v>46019</v>
      </c>
      <c r="I564" s="90">
        <v>0</v>
      </c>
      <c r="J564" s="92">
        <v>244</v>
      </c>
      <c r="K564" s="90" t="s">
        <v>230</v>
      </c>
      <c r="L564" s="90"/>
    </row>
    <row r="565" spans="1:12" ht="15" customHeight="1" outlineLevel="1" x14ac:dyDescent="0.3">
      <c r="A565" s="101" t="s">
        <v>673</v>
      </c>
      <c r="B565" s="90" t="s">
        <v>736</v>
      </c>
      <c r="C565" s="90"/>
      <c r="D565" s="90" t="s">
        <v>130</v>
      </c>
      <c r="E565" s="91">
        <v>45985</v>
      </c>
      <c r="F565" s="30">
        <v>4</v>
      </c>
      <c r="G565" s="91">
        <v>45735</v>
      </c>
      <c r="H565" s="91">
        <v>46019</v>
      </c>
      <c r="I565" s="90">
        <v>0</v>
      </c>
      <c r="J565" s="92">
        <v>250</v>
      </c>
      <c r="K565" s="90" t="s">
        <v>230</v>
      </c>
      <c r="L565" s="90"/>
    </row>
    <row r="566" spans="1:12" ht="15" customHeight="1" x14ac:dyDescent="0.3">
      <c r="A566" s="101" t="s">
        <v>674</v>
      </c>
      <c r="B566" s="90" t="s">
        <v>737</v>
      </c>
      <c r="C566" s="90"/>
      <c r="D566" s="90" t="s">
        <v>143</v>
      </c>
      <c r="E566" s="91">
        <v>45858</v>
      </c>
      <c r="F566" s="30">
        <v>31</v>
      </c>
      <c r="G566" s="91">
        <v>45764</v>
      </c>
      <c r="H566" s="91"/>
      <c r="I566" s="90">
        <v>1</v>
      </c>
      <c r="J566" s="92">
        <v>94</v>
      </c>
      <c r="K566" s="90" t="s">
        <v>226</v>
      </c>
      <c r="L566" s="90"/>
    </row>
    <row r="567" spans="1:12" ht="15" customHeight="1" outlineLevel="1" x14ac:dyDescent="0.3">
      <c r="A567" s="101" t="s">
        <v>674</v>
      </c>
      <c r="B567" s="90" t="s">
        <v>737</v>
      </c>
      <c r="C567" s="90"/>
      <c r="D567" s="90" t="s">
        <v>143</v>
      </c>
      <c r="E567" s="91">
        <v>45882</v>
      </c>
      <c r="F567" s="30">
        <v>31</v>
      </c>
      <c r="G567" s="91">
        <v>45764</v>
      </c>
      <c r="H567" s="91"/>
      <c r="I567" s="90">
        <v>1</v>
      </c>
      <c r="J567" s="92">
        <v>118</v>
      </c>
      <c r="K567" s="90" t="s">
        <v>227</v>
      </c>
      <c r="L567" s="90"/>
    </row>
    <row r="568" spans="1:12" ht="15" customHeight="1" outlineLevel="1" x14ac:dyDescent="0.3">
      <c r="A568" s="101" t="s">
        <v>674</v>
      </c>
      <c r="B568" s="90" t="s">
        <v>737</v>
      </c>
      <c r="C568" s="90"/>
      <c r="D568" s="90" t="s">
        <v>143</v>
      </c>
      <c r="E568" s="91">
        <v>45893</v>
      </c>
      <c r="F568" s="30">
        <v>31</v>
      </c>
      <c r="G568" s="91">
        <v>45764</v>
      </c>
      <c r="H568" s="91"/>
      <c r="I568" s="90">
        <v>1</v>
      </c>
      <c r="J568" s="92">
        <v>129</v>
      </c>
      <c r="K568" s="90" t="s">
        <v>227</v>
      </c>
      <c r="L568" s="90"/>
    </row>
    <row r="569" spans="1:12" ht="15" customHeight="1" outlineLevel="1" x14ac:dyDescent="0.3">
      <c r="A569" s="101" t="s">
        <v>674</v>
      </c>
      <c r="B569" s="90" t="s">
        <v>737</v>
      </c>
      <c r="C569" s="90"/>
      <c r="D569" s="90" t="s">
        <v>143</v>
      </c>
      <c r="E569" s="91">
        <v>45922</v>
      </c>
      <c r="F569" s="30">
        <v>34</v>
      </c>
      <c r="G569" s="91">
        <v>45764</v>
      </c>
      <c r="H569" s="91"/>
      <c r="I569" s="90">
        <v>1</v>
      </c>
      <c r="J569" s="92">
        <v>158</v>
      </c>
      <c r="K569" s="90" t="s">
        <v>228</v>
      </c>
      <c r="L569" s="90"/>
    </row>
    <row r="570" spans="1:12" ht="15" customHeight="1" outlineLevel="1" x14ac:dyDescent="0.3">
      <c r="A570" s="101" t="s">
        <v>674</v>
      </c>
      <c r="B570" s="90" t="s">
        <v>737</v>
      </c>
      <c r="C570" s="90"/>
      <c r="D570" s="90" t="s">
        <v>143</v>
      </c>
      <c r="E570" s="91">
        <v>45932</v>
      </c>
      <c r="F570" s="30">
        <v>27</v>
      </c>
      <c r="G570" s="91">
        <v>45764</v>
      </c>
      <c r="H570" s="91"/>
      <c r="I570" s="90">
        <v>1</v>
      </c>
      <c r="J570" s="92">
        <v>168</v>
      </c>
      <c r="K570" s="90" t="s">
        <v>229</v>
      </c>
      <c r="L570" s="90"/>
    </row>
    <row r="571" spans="1:12" ht="15" customHeight="1" outlineLevel="1" x14ac:dyDescent="0.3">
      <c r="A571" s="101" t="s">
        <v>674</v>
      </c>
      <c r="B571" s="90" t="s">
        <v>737</v>
      </c>
      <c r="C571" s="90"/>
      <c r="D571" s="90" t="s">
        <v>143</v>
      </c>
      <c r="E571" s="91">
        <v>45947</v>
      </c>
      <c r="F571" s="30">
        <v>22</v>
      </c>
      <c r="G571" s="91">
        <v>45764</v>
      </c>
      <c r="H571" s="91"/>
      <c r="I571" s="90">
        <v>1</v>
      </c>
      <c r="J571" s="92">
        <v>183</v>
      </c>
      <c r="K571" s="90" t="s">
        <v>229</v>
      </c>
      <c r="L571" s="90"/>
    </row>
    <row r="572" spans="1:12" ht="15" customHeight="1" outlineLevel="1" x14ac:dyDescent="0.3">
      <c r="A572" s="101" t="s">
        <v>674</v>
      </c>
      <c r="B572" s="90" t="s">
        <v>737</v>
      </c>
      <c r="C572" s="90"/>
      <c r="D572" s="90" t="s">
        <v>143</v>
      </c>
      <c r="E572" s="91">
        <v>45979</v>
      </c>
      <c r="F572" s="30">
        <v>22</v>
      </c>
      <c r="G572" s="91">
        <v>45764</v>
      </c>
      <c r="H572" s="91"/>
      <c r="I572" s="90">
        <v>1</v>
      </c>
      <c r="J572" s="92">
        <v>215</v>
      </c>
      <c r="K572" s="90" t="s">
        <v>230</v>
      </c>
      <c r="L572" s="90"/>
    </row>
    <row r="573" spans="1:12" ht="15" customHeight="1" outlineLevel="1" x14ac:dyDescent="0.3">
      <c r="A573" s="101" t="s">
        <v>674</v>
      </c>
      <c r="B573" s="90" t="s">
        <v>737</v>
      </c>
      <c r="C573" s="90"/>
      <c r="D573" s="90" t="s">
        <v>143</v>
      </c>
      <c r="E573" s="91">
        <v>45985</v>
      </c>
      <c r="F573" s="30">
        <v>22</v>
      </c>
      <c r="G573" s="91">
        <v>45764</v>
      </c>
      <c r="H573" s="91"/>
      <c r="I573" s="90">
        <v>1</v>
      </c>
      <c r="J573" s="92">
        <v>221</v>
      </c>
      <c r="K573" s="90" t="s">
        <v>230</v>
      </c>
      <c r="L573" s="90"/>
    </row>
    <row r="574" spans="1:12" ht="15" customHeight="1" outlineLevel="1" x14ac:dyDescent="0.3">
      <c r="A574" s="101" t="s">
        <v>674</v>
      </c>
      <c r="B574" s="90" t="s">
        <v>737</v>
      </c>
      <c r="C574" s="90"/>
      <c r="D574" s="90" t="s">
        <v>143</v>
      </c>
      <c r="E574" s="91">
        <v>45990</v>
      </c>
      <c r="F574" s="30">
        <v>21</v>
      </c>
      <c r="G574" s="91">
        <v>45764</v>
      </c>
      <c r="H574" s="91"/>
      <c r="I574" s="90">
        <v>1</v>
      </c>
      <c r="J574" s="92">
        <v>226</v>
      </c>
      <c r="K574" s="90" t="s">
        <v>230</v>
      </c>
      <c r="L574" s="90"/>
    </row>
    <row r="575" spans="1:12" ht="15" customHeight="1" outlineLevel="1" x14ac:dyDescent="0.3">
      <c r="A575" s="101" t="s">
        <v>674</v>
      </c>
      <c r="B575" s="90" t="s">
        <v>737</v>
      </c>
      <c r="C575" s="90"/>
      <c r="D575" s="90" t="s">
        <v>143</v>
      </c>
      <c r="E575" s="91">
        <v>46004</v>
      </c>
      <c r="F575" s="30">
        <v>21.5</v>
      </c>
      <c r="G575" s="91">
        <v>45764</v>
      </c>
      <c r="H575" s="91"/>
      <c r="I575" s="90">
        <v>1</v>
      </c>
      <c r="J575" s="92">
        <v>240</v>
      </c>
      <c r="K575" s="90" t="s">
        <v>231</v>
      </c>
      <c r="L575" s="90"/>
    </row>
    <row r="576" spans="1:12" ht="15" customHeight="1" outlineLevel="1" x14ac:dyDescent="0.3">
      <c r="A576" s="101" t="s">
        <v>674</v>
      </c>
      <c r="B576" s="90" t="s">
        <v>737</v>
      </c>
      <c r="C576" s="90"/>
      <c r="D576" s="90" t="s">
        <v>143</v>
      </c>
      <c r="E576" s="91">
        <v>46012</v>
      </c>
      <c r="F576" s="30">
        <v>21</v>
      </c>
      <c r="G576" s="91">
        <v>45764</v>
      </c>
      <c r="H576" s="91"/>
      <c r="I576" s="90">
        <v>1</v>
      </c>
      <c r="J576" s="92">
        <v>248</v>
      </c>
      <c r="K576" s="90" t="s">
        <v>231</v>
      </c>
      <c r="L576" s="90"/>
    </row>
    <row r="577" spans="1:12" ht="15" customHeight="1" outlineLevel="1" x14ac:dyDescent="0.3">
      <c r="A577" s="101" t="s">
        <v>674</v>
      </c>
      <c r="B577" s="90" t="s">
        <v>737</v>
      </c>
      <c r="C577" s="90"/>
      <c r="D577" s="90" t="s">
        <v>143</v>
      </c>
      <c r="E577" s="91">
        <v>46020</v>
      </c>
      <c r="F577" s="30">
        <v>18.5</v>
      </c>
      <c r="G577" s="91">
        <v>45764</v>
      </c>
      <c r="H577" s="91"/>
      <c r="I577" s="90">
        <v>1</v>
      </c>
      <c r="J577" s="92">
        <v>256</v>
      </c>
      <c r="K577" s="90" t="s">
        <v>231</v>
      </c>
      <c r="L577" s="90"/>
    </row>
    <row r="578" spans="1:12" ht="15" customHeight="1" outlineLevel="1" x14ac:dyDescent="0.3">
      <c r="A578" s="101" t="s">
        <v>674</v>
      </c>
      <c r="B578" s="90" t="s">
        <v>737</v>
      </c>
      <c r="C578" s="90"/>
      <c r="D578" s="90" t="s">
        <v>143</v>
      </c>
      <c r="E578" s="91">
        <v>46026</v>
      </c>
      <c r="F578" s="30">
        <v>19</v>
      </c>
      <c r="G578" s="91">
        <v>45764</v>
      </c>
      <c r="H578" s="91"/>
      <c r="I578" s="90">
        <v>1</v>
      </c>
      <c r="J578" s="92">
        <v>262</v>
      </c>
      <c r="K578" s="90" t="s">
        <v>232</v>
      </c>
      <c r="L578" s="90"/>
    </row>
    <row r="579" spans="1:12" ht="15" customHeight="1" outlineLevel="1" x14ac:dyDescent="0.3">
      <c r="A579" s="101" t="s">
        <v>674</v>
      </c>
      <c r="B579" s="90" t="s">
        <v>737</v>
      </c>
      <c r="C579" s="90"/>
      <c r="D579" s="90" t="s">
        <v>143</v>
      </c>
      <c r="E579" s="91">
        <v>46032</v>
      </c>
      <c r="F579" s="30">
        <v>16</v>
      </c>
      <c r="G579" s="91">
        <v>45764</v>
      </c>
      <c r="H579" s="91"/>
      <c r="I579" s="90">
        <v>1</v>
      </c>
      <c r="J579" s="92">
        <v>268</v>
      </c>
      <c r="K579" s="90" t="s">
        <v>232</v>
      </c>
      <c r="L579" s="90"/>
    </row>
    <row r="580" spans="1:12" ht="15" customHeight="1" outlineLevel="1" x14ac:dyDescent="0.3">
      <c r="A580" s="101" t="s">
        <v>674</v>
      </c>
      <c r="B580" s="90" t="s">
        <v>737</v>
      </c>
      <c r="C580" s="90"/>
      <c r="D580" s="90" t="s">
        <v>143</v>
      </c>
      <c r="E580" s="91">
        <v>46038</v>
      </c>
      <c r="F580" s="30">
        <v>14</v>
      </c>
      <c r="G580" s="91">
        <v>45764</v>
      </c>
      <c r="H580" s="91"/>
      <c r="I580" s="90">
        <v>1</v>
      </c>
      <c r="J580" s="92">
        <v>274</v>
      </c>
      <c r="K580" s="90" t="s">
        <v>232</v>
      </c>
      <c r="L580" s="90"/>
    </row>
    <row r="581" spans="1:12" ht="15" customHeight="1" outlineLevel="1" x14ac:dyDescent="0.3">
      <c r="A581" s="101" t="s">
        <v>674</v>
      </c>
      <c r="B581" s="90" t="s">
        <v>737</v>
      </c>
      <c r="C581" s="90"/>
      <c r="D581" s="90" t="s">
        <v>143</v>
      </c>
      <c r="E581" s="91">
        <v>46045</v>
      </c>
      <c r="F581" s="30">
        <v>15</v>
      </c>
      <c r="G581" s="91">
        <v>45764</v>
      </c>
      <c r="H581" s="91"/>
      <c r="I581" s="90">
        <v>1</v>
      </c>
      <c r="J581" s="92">
        <v>281</v>
      </c>
      <c r="K581" s="90" t="s">
        <v>232</v>
      </c>
      <c r="L581" s="90"/>
    </row>
    <row r="582" spans="1:12" ht="15" customHeight="1" outlineLevel="1" x14ac:dyDescent="0.3">
      <c r="A582" s="101" t="s">
        <v>674</v>
      </c>
      <c r="B582" s="90" t="s">
        <v>737</v>
      </c>
      <c r="C582" s="90"/>
      <c r="D582" s="90" t="s">
        <v>143</v>
      </c>
      <c r="E582" s="91">
        <v>46052</v>
      </c>
      <c r="F582" s="30">
        <v>16</v>
      </c>
      <c r="G582" s="91">
        <v>45764</v>
      </c>
      <c r="H582" s="91"/>
      <c r="I582" s="90">
        <v>1</v>
      </c>
      <c r="J582" s="92">
        <v>288</v>
      </c>
      <c r="K582" s="90" t="s">
        <v>232</v>
      </c>
      <c r="L582" s="90"/>
    </row>
    <row r="583" spans="1:12" ht="15" customHeight="1" outlineLevel="1" x14ac:dyDescent="0.3">
      <c r="A583" s="101" t="s">
        <v>674</v>
      </c>
      <c r="B583" s="90" t="s">
        <v>737</v>
      </c>
      <c r="C583" s="90"/>
      <c r="D583" s="90" t="s">
        <v>143</v>
      </c>
      <c r="E583" s="91">
        <v>46071</v>
      </c>
      <c r="F583" s="30">
        <v>14</v>
      </c>
      <c r="G583" s="91">
        <v>45764</v>
      </c>
      <c r="H583" s="91"/>
      <c r="I583" s="90">
        <v>1</v>
      </c>
      <c r="J583" s="92">
        <v>307</v>
      </c>
      <c r="K583" s="90" t="s">
        <v>233</v>
      </c>
      <c r="L583" s="90"/>
    </row>
    <row r="584" spans="1:12" ht="15" customHeight="1" outlineLevel="1" x14ac:dyDescent="0.3">
      <c r="A584" s="101" t="s">
        <v>674</v>
      </c>
      <c r="B584" s="90" t="s">
        <v>737</v>
      </c>
      <c r="C584" s="90"/>
      <c r="D584" s="90" t="s">
        <v>143</v>
      </c>
      <c r="E584" s="91">
        <v>46102</v>
      </c>
      <c r="F584" s="30">
        <v>10</v>
      </c>
      <c r="G584" s="91">
        <v>45764</v>
      </c>
      <c r="H584" s="91"/>
      <c r="I584" s="90">
        <v>1</v>
      </c>
      <c r="J584" s="92">
        <v>338</v>
      </c>
      <c r="K584" s="90" t="s">
        <v>234</v>
      </c>
      <c r="L584" s="90"/>
    </row>
    <row r="585" spans="1:12" ht="15" customHeight="1" x14ac:dyDescent="0.3">
      <c r="A585" s="101" t="s">
        <v>677</v>
      </c>
      <c r="B585" s="90" t="s">
        <v>738</v>
      </c>
      <c r="C585" s="90"/>
      <c r="D585" s="90" t="s">
        <v>130</v>
      </c>
      <c r="E585" s="91">
        <v>45310</v>
      </c>
      <c r="F585" s="30">
        <v>28.19</v>
      </c>
      <c r="G585" s="91">
        <v>45278</v>
      </c>
      <c r="H585" s="91">
        <v>45995</v>
      </c>
      <c r="I585" s="90">
        <v>0</v>
      </c>
      <c r="J585" s="92">
        <v>32</v>
      </c>
      <c r="K585" s="90" t="s">
        <v>209</v>
      </c>
      <c r="L585" s="90"/>
    </row>
    <row r="586" spans="1:12" ht="15" customHeight="1" x14ac:dyDescent="0.3">
      <c r="A586" s="101" t="s">
        <v>678</v>
      </c>
      <c r="B586" s="90" t="s">
        <v>739</v>
      </c>
      <c r="C586" s="90"/>
      <c r="D586" s="90" t="s">
        <v>137</v>
      </c>
      <c r="E586" s="91">
        <v>45858</v>
      </c>
      <c r="F586" s="30">
        <v>5</v>
      </c>
      <c r="G586" s="91">
        <v>45796</v>
      </c>
      <c r="H586" s="91">
        <v>45995</v>
      </c>
      <c r="I586" s="90">
        <v>0</v>
      </c>
      <c r="J586" s="92">
        <v>62</v>
      </c>
      <c r="K586" s="90" t="s">
        <v>226</v>
      </c>
      <c r="L586" s="90"/>
    </row>
    <row r="587" spans="1:12" ht="15" customHeight="1" outlineLevel="1" x14ac:dyDescent="0.3">
      <c r="A587" s="101" t="s">
        <v>678</v>
      </c>
      <c r="B587" s="90" t="s">
        <v>739</v>
      </c>
      <c r="C587" s="90"/>
      <c r="D587" s="90" t="s">
        <v>137</v>
      </c>
      <c r="E587" s="91">
        <v>45882</v>
      </c>
      <c r="F587" s="30">
        <v>8</v>
      </c>
      <c r="G587" s="91">
        <v>45796</v>
      </c>
      <c r="H587" s="91">
        <v>45995</v>
      </c>
      <c r="I587" s="90">
        <v>0</v>
      </c>
      <c r="J587" s="92">
        <v>86</v>
      </c>
      <c r="K587" s="90" t="s">
        <v>227</v>
      </c>
      <c r="L587" s="90"/>
    </row>
    <row r="588" spans="1:12" ht="15" customHeight="1" x14ac:dyDescent="0.3">
      <c r="A588" s="101" t="s">
        <v>679</v>
      </c>
      <c r="B588" s="90" t="s">
        <v>740</v>
      </c>
      <c r="C588" s="90"/>
      <c r="D588" s="90" t="s">
        <v>130</v>
      </c>
      <c r="E588" s="91">
        <v>45646</v>
      </c>
      <c r="F588" s="30">
        <v>30</v>
      </c>
      <c r="G588" s="91">
        <v>45935</v>
      </c>
      <c r="H588" s="91"/>
      <c r="I588" s="90">
        <v>1</v>
      </c>
      <c r="J588" s="92">
        <v>-289</v>
      </c>
      <c r="K588" s="90" t="s">
        <v>220</v>
      </c>
      <c r="L588" s="90"/>
    </row>
    <row r="589" spans="1:12" ht="15" customHeight="1" outlineLevel="1" x14ac:dyDescent="0.3">
      <c r="A589" s="101" t="s">
        <v>679</v>
      </c>
      <c r="B589" s="90" t="s">
        <v>740</v>
      </c>
      <c r="C589" s="90"/>
      <c r="D589" s="90" t="s">
        <v>130</v>
      </c>
      <c r="E589" s="91">
        <v>45652</v>
      </c>
      <c r="F589" s="30">
        <v>28.3</v>
      </c>
      <c r="G589" s="91">
        <v>45935</v>
      </c>
      <c r="H589" s="91"/>
      <c r="I589" s="90">
        <v>1</v>
      </c>
      <c r="J589" s="92">
        <v>-283</v>
      </c>
      <c r="K589" s="90" t="s">
        <v>220</v>
      </c>
      <c r="L589" s="90"/>
    </row>
    <row r="590" spans="1:12" ht="15" customHeight="1" outlineLevel="1" x14ac:dyDescent="0.3">
      <c r="A590" s="101" t="s">
        <v>679</v>
      </c>
      <c r="B590" s="90" t="s">
        <v>740</v>
      </c>
      <c r="C590" s="90"/>
      <c r="D590" s="90" t="s">
        <v>130</v>
      </c>
      <c r="E590" s="91">
        <v>45675</v>
      </c>
      <c r="F590" s="30">
        <v>31.3</v>
      </c>
      <c r="G590" s="91">
        <v>45935</v>
      </c>
      <c r="H590" s="91"/>
      <c r="I590" s="90">
        <v>1</v>
      </c>
      <c r="J590" s="92">
        <v>-260</v>
      </c>
      <c r="K590" s="90" t="s">
        <v>221</v>
      </c>
      <c r="L590" s="90"/>
    </row>
    <row r="591" spans="1:12" ht="15" customHeight="1" outlineLevel="1" x14ac:dyDescent="0.3">
      <c r="A591" s="101" t="s">
        <v>679</v>
      </c>
      <c r="B591" s="90" t="s">
        <v>740</v>
      </c>
      <c r="C591" s="90"/>
      <c r="D591" s="90" t="s">
        <v>130</v>
      </c>
      <c r="E591" s="91">
        <v>45692</v>
      </c>
      <c r="F591" s="30">
        <v>31</v>
      </c>
      <c r="G591" s="91">
        <v>45935</v>
      </c>
      <c r="H591" s="91"/>
      <c r="I591" s="90">
        <v>1</v>
      </c>
      <c r="J591" s="92">
        <v>-243</v>
      </c>
      <c r="K591" s="90" t="s">
        <v>222</v>
      </c>
      <c r="L591" s="90"/>
    </row>
    <row r="592" spans="1:12" ht="15" customHeight="1" outlineLevel="1" x14ac:dyDescent="0.3">
      <c r="A592" s="101" t="s">
        <v>679</v>
      </c>
      <c r="B592" s="90" t="s">
        <v>740</v>
      </c>
      <c r="C592" s="90"/>
      <c r="D592" s="90" t="s">
        <v>130</v>
      </c>
      <c r="E592" s="91">
        <v>45724</v>
      </c>
      <c r="F592" s="30">
        <v>25.2</v>
      </c>
      <c r="G592" s="91">
        <v>45935</v>
      </c>
      <c r="H592" s="91"/>
      <c r="I592" s="90">
        <v>1</v>
      </c>
      <c r="J592" s="92">
        <v>-211</v>
      </c>
      <c r="K592" s="90" t="s">
        <v>223</v>
      </c>
      <c r="L592" s="90"/>
    </row>
    <row r="593" spans="1:12" ht="15" customHeight="1" outlineLevel="1" x14ac:dyDescent="0.3">
      <c r="A593" s="101" t="s">
        <v>679</v>
      </c>
      <c r="B593" s="90" t="s">
        <v>740</v>
      </c>
      <c r="C593" s="90"/>
      <c r="D593" s="90" t="s">
        <v>130</v>
      </c>
      <c r="E593" s="91">
        <v>45766</v>
      </c>
      <c r="F593" s="30">
        <v>26</v>
      </c>
      <c r="G593" s="91">
        <v>45935</v>
      </c>
      <c r="H593" s="91"/>
      <c r="I593" s="90">
        <v>1</v>
      </c>
      <c r="J593" s="92">
        <v>-169</v>
      </c>
      <c r="K593" s="90" t="s">
        <v>224</v>
      </c>
      <c r="L593" s="90"/>
    </row>
    <row r="594" spans="1:12" ht="15" customHeight="1" outlineLevel="1" x14ac:dyDescent="0.3">
      <c r="A594" s="101" t="s">
        <v>679</v>
      </c>
      <c r="B594" s="90" t="s">
        <v>740</v>
      </c>
      <c r="C594" s="90"/>
      <c r="D594" s="90" t="s">
        <v>130</v>
      </c>
      <c r="E594" s="91">
        <v>45947</v>
      </c>
      <c r="F594" s="30">
        <v>15</v>
      </c>
      <c r="G594" s="91">
        <v>45935</v>
      </c>
      <c r="H594" s="91"/>
      <c r="I594" s="90">
        <v>1</v>
      </c>
      <c r="J594" s="92">
        <v>12</v>
      </c>
      <c r="K594" s="90" t="s">
        <v>229</v>
      </c>
      <c r="L594" s="90"/>
    </row>
    <row r="595" spans="1:12" ht="15" customHeight="1" outlineLevel="1" x14ac:dyDescent="0.3">
      <c r="A595" s="101" t="s">
        <v>679</v>
      </c>
      <c r="B595" s="90" t="s">
        <v>740</v>
      </c>
      <c r="C595" s="90"/>
      <c r="D595" s="90" t="s">
        <v>130</v>
      </c>
      <c r="E595" s="91">
        <v>45979</v>
      </c>
      <c r="F595" s="30">
        <v>21</v>
      </c>
      <c r="G595" s="91">
        <v>45935</v>
      </c>
      <c r="H595" s="91"/>
      <c r="I595" s="90">
        <v>1</v>
      </c>
      <c r="J595" s="92">
        <v>44</v>
      </c>
      <c r="K595" s="90" t="s">
        <v>230</v>
      </c>
      <c r="L595" s="90"/>
    </row>
    <row r="596" spans="1:12" ht="15" customHeight="1" outlineLevel="1" x14ac:dyDescent="0.3">
      <c r="A596" s="101" t="s">
        <v>679</v>
      </c>
      <c r="B596" s="90" t="s">
        <v>740</v>
      </c>
      <c r="C596" s="90"/>
      <c r="D596" s="90" t="s">
        <v>130</v>
      </c>
      <c r="E596" s="91">
        <v>45985</v>
      </c>
      <c r="F596" s="30">
        <v>22</v>
      </c>
      <c r="G596" s="91">
        <v>45935</v>
      </c>
      <c r="H596" s="91"/>
      <c r="I596" s="90">
        <v>1</v>
      </c>
      <c r="J596" s="92">
        <v>50</v>
      </c>
      <c r="K596" s="90" t="s">
        <v>230</v>
      </c>
      <c r="L596" s="90"/>
    </row>
    <row r="597" spans="1:12" ht="15" customHeight="1" outlineLevel="1" x14ac:dyDescent="0.3">
      <c r="A597" s="101" t="s">
        <v>679</v>
      </c>
      <c r="B597" s="90" t="s">
        <v>740</v>
      </c>
      <c r="C597" s="90"/>
      <c r="D597" s="90" t="s">
        <v>130</v>
      </c>
      <c r="E597" s="91">
        <v>45990</v>
      </c>
      <c r="F597" s="30">
        <v>22</v>
      </c>
      <c r="G597" s="91">
        <v>45935</v>
      </c>
      <c r="H597" s="91"/>
      <c r="I597" s="90">
        <v>1</v>
      </c>
      <c r="J597" s="92">
        <v>55</v>
      </c>
      <c r="K597" s="90" t="s">
        <v>230</v>
      </c>
      <c r="L597" s="90"/>
    </row>
    <row r="598" spans="1:12" ht="15" customHeight="1" outlineLevel="1" x14ac:dyDescent="0.3">
      <c r="A598" s="101" t="s">
        <v>679</v>
      </c>
      <c r="B598" s="90" t="s">
        <v>740</v>
      </c>
      <c r="C598" s="90"/>
      <c r="D598" s="90" t="s">
        <v>130</v>
      </c>
      <c r="E598" s="91">
        <v>46004</v>
      </c>
      <c r="F598" s="30">
        <v>19</v>
      </c>
      <c r="G598" s="91">
        <v>45935</v>
      </c>
      <c r="H598" s="91"/>
      <c r="I598" s="90">
        <v>1</v>
      </c>
      <c r="J598" s="92">
        <v>69</v>
      </c>
      <c r="K598" s="90" t="s">
        <v>231</v>
      </c>
      <c r="L598" s="90"/>
    </row>
    <row r="599" spans="1:12" ht="15" customHeight="1" outlineLevel="1" x14ac:dyDescent="0.3">
      <c r="A599" s="101" t="s">
        <v>679</v>
      </c>
      <c r="B599" s="90" t="s">
        <v>740</v>
      </c>
      <c r="C599" s="90"/>
      <c r="D599" s="90" t="s">
        <v>130</v>
      </c>
      <c r="E599" s="91">
        <v>46012</v>
      </c>
      <c r="F599" s="30">
        <v>20</v>
      </c>
      <c r="G599" s="91">
        <v>45935</v>
      </c>
      <c r="H599" s="91"/>
      <c r="I599" s="90">
        <v>1</v>
      </c>
      <c r="J599" s="92">
        <v>77</v>
      </c>
      <c r="K599" s="90" t="s">
        <v>231</v>
      </c>
      <c r="L599" s="90"/>
    </row>
    <row r="600" spans="1:12" ht="15" customHeight="1" outlineLevel="1" x14ac:dyDescent="0.3">
      <c r="A600" s="101" t="s">
        <v>679</v>
      </c>
      <c r="B600" s="90" t="s">
        <v>740</v>
      </c>
      <c r="C600" s="90"/>
      <c r="D600" s="90" t="s">
        <v>130</v>
      </c>
      <c r="E600" s="91">
        <v>46020</v>
      </c>
      <c r="F600" s="30">
        <v>20</v>
      </c>
      <c r="G600" s="91">
        <v>45935</v>
      </c>
      <c r="H600" s="91"/>
      <c r="I600" s="90">
        <v>1</v>
      </c>
      <c r="J600" s="92">
        <v>85</v>
      </c>
      <c r="K600" s="90" t="s">
        <v>231</v>
      </c>
      <c r="L600" s="90"/>
    </row>
    <row r="601" spans="1:12" ht="15" customHeight="1" outlineLevel="1" x14ac:dyDescent="0.3">
      <c r="A601" s="101" t="s">
        <v>679</v>
      </c>
      <c r="B601" s="90" t="s">
        <v>740</v>
      </c>
      <c r="C601" s="90"/>
      <c r="D601" s="90" t="s">
        <v>130</v>
      </c>
      <c r="E601" s="91">
        <v>46026</v>
      </c>
      <c r="F601" s="30">
        <v>20</v>
      </c>
      <c r="G601" s="91">
        <v>45935</v>
      </c>
      <c r="H601" s="91"/>
      <c r="I601" s="90">
        <v>1</v>
      </c>
      <c r="J601" s="92">
        <v>91</v>
      </c>
      <c r="K601" s="90" t="s">
        <v>232</v>
      </c>
      <c r="L601" s="90"/>
    </row>
    <row r="602" spans="1:12" ht="15" customHeight="1" outlineLevel="1" x14ac:dyDescent="0.3">
      <c r="A602" s="101" t="s">
        <v>679</v>
      </c>
      <c r="B602" s="90" t="s">
        <v>740</v>
      </c>
      <c r="C602" s="90"/>
      <c r="D602" s="90" t="s">
        <v>130</v>
      </c>
      <c r="E602" s="91">
        <v>46032</v>
      </c>
      <c r="F602" s="30">
        <v>23</v>
      </c>
      <c r="G602" s="91">
        <v>45935</v>
      </c>
      <c r="H602" s="91"/>
      <c r="I602" s="90">
        <v>1</v>
      </c>
      <c r="J602" s="92">
        <v>97</v>
      </c>
      <c r="K602" s="90" t="s">
        <v>232</v>
      </c>
      <c r="L602" s="90"/>
    </row>
    <row r="603" spans="1:12" ht="15" customHeight="1" outlineLevel="1" x14ac:dyDescent="0.3">
      <c r="A603" s="101" t="s">
        <v>679</v>
      </c>
      <c r="B603" s="90" t="s">
        <v>740</v>
      </c>
      <c r="C603" s="90"/>
      <c r="D603" s="90" t="s">
        <v>130</v>
      </c>
      <c r="E603" s="91">
        <v>46038</v>
      </c>
      <c r="F603" s="30">
        <v>18</v>
      </c>
      <c r="G603" s="91">
        <v>45935</v>
      </c>
      <c r="H603" s="91"/>
      <c r="I603" s="90">
        <v>1</v>
      </c>
      <c r="J603" s="92">
        <v>103</v>
      </c>
      <c r="K603" s="90" t="s">
        <v>232</v>
      </c>
      <c r="L603" s="90"/>
    </row>
    <row r="604" spans="1:12" ht="15" customHeight="1" outlineLevel="1" x14ac:dyDescent="0.3">
      <c r="A604" s="101" t="s">
        <v>679</v>
      </c>
      <c r="B604" s="90" t="s">
        <v>740</v>
      </c>
      <c r="C604" s="90"/>
      <c r="D604" s="90" t="s">
        <v>130</v>
      </c>
      <c r="E604" s="91">
        <v>46045</v>
      </c>
      <c r="F604" s="30">
        <v>17</v>
      </c>
      <c r="G604" s="91">
        <v>45935</v>
      </c>
      <c r="H604" s="91"/>
      <c r="I604" s="90">
        <v>1</v>
      </c>
      <c r="J604" s="92">
        <v>110</v>
      </c>
      <c r="K604" s="90" t="s">
        <v>232</v>
      </c>
      <c r="L604" s="90"/>
    </row>
    <row r="605" spans="1:12" ht="15" customHeight="1" outlineLevel="1" x14ac:dyDescent="0.3">
      <c r="A605" s="101" t="s">
        <v>679</v>
      </c>
      <c r="B605" s="90" t="s">
        <v>740</v>
      </c>
      <c r="C605" s="90"/>
      <c r="D605" s="90" t="s">
        <v>130</v>
      </c>
      <c r="E605" s="91">
        <v>46052</v>
      </c>
      <c r="F605" s="30">
        <v>17</v>
      </c>
      <c r="G605" s="91">
        <v>45935</v>
      </c>
      <c r="H605" s="91"/>
      <c r="I605" s="90">
        <v>1</v>
      </c>
      <c r="J605" s="92">
        <v>117</v>
      </c>
      <c r="K605" s="90" t="s">
        <v>232</v>
      </c>
      <c r="L605" s="90"/>
    </row>
    <row r="606" spans="1:12" ht="15" customHeight="1" outlineLevel="1" x14ac:dyDescent="0.3">
      <c r="A606" s="101" t="s">
        <v>679</v>
      </c>
      <c r="B606" s="90" t="s">
        <v>740</v>
      </c>
      <c r="C606" s="90"/>
      <c r="D606" s="90" t="s">
        <v>130</v>
      </c>
      <c r="E606" s="91">
        <v>46071</v>
      </c>
      <c r="F606" s="30">
        <v>16</v>
      </c>
      <c r="G606" s="91">
        <v>45935</v>
      </c>
      <c r="H606" s="91"/>
      <c r="I606" s="90">
        <v>1</v>
      </c>
      <c r="J606" s="92">
        <v>136</v>
      </c>
      <c r="K606" s="90" t="s">
        <v>233</v>
      </c>
      <c r="L606" s="90"/>
    </row>
    <row r="607" spans="1:12" ht="15" customHeight="1" outlineLevel="1" x14ac:dyDescent="0.3">
      <c r="A607" s="101" t="s">
        <v>679</v>
      </c>
      <c r="B607" s="90" t="s">
        <v>740</v>
      </c>
      <c r="C607" s="90"/>
      <c r="D607" s="90" t="s">
        <v>130</v>
      </c>
      <c r="E607" s="91">
        <v>46102</v>
      </c>
      <c r="F607" s="30">
        <v>22</v>
      </c>
      <c r="G607" s="91">
        <v>45935</v>
      </c>
      <c r="H607" s="91"/>
      <c r="I607" s="90">
        <v>1</v>
      </c>
      <c r="J607" s="92">
        <v>167</v>
      </c>
      <c r="K607" s="90" t="s">
        <v>234</v>
      </c>
      <c r="L607" s="90"/>
    </row>
    <row r="608" spans="1:12" ht="15" customHeight="1" outlineLevel="1" x14ac:dyDescent="0.3">
      <c r="A608" s="101" t="s">
        <v>679</v>
      </c>
      <c r="B608" s="90" t="s">
        <v>740</v>
      </c>
      <c r="C608" s="90"/>
      <c r="D608" s="90" t="s">
        <v>130</v>
      </c>
      <c r="E608" s="91">
        <v>46116</v>
      </c>
      <c r="F608" s="30">
        <v>16</v>
      </c>
      <c r="G608" s="91">
        <v>45935</v>
      </c>
      <c r="H608" s="91"/>
      <c r="I608" s="90">
        <v>1</v>
      </c>
      <c r="J608" s="92">
        <v>181</v>
      </c>
      <c r="K608" s="90" t="s">
        <v>235</v>
      </c>
      <c r="L608" s="90"/>
    </row>
    <row r="609" spans="1:12" ht="15" customHeight="1" outlineLevel="1" x14ac:dyDescent="0.3">
      <c r="A609" s="101" t="s">
        <v>679</v>
      </c>
      <c r="B609" s="90" t="s">
        <v>740</v>
      </c>
      <c r="C609" s="90"/>
      <c r="D609" s="90" t="s">
        <v>130</v>
      </c>
      <c r="E609" s="91">
        <v>46129</v>
      </c>
      <c r="F609" s="30">
        <v>13</v>
      </c>
      <c r="G609" s="91">
        <v>45935</v>
      </c>
      <c r="H609" s="91"/>
      <c r="I609" s="90">
        <v>1</v>
      </c>
      <c r="J609" s="92">
        <v>194</v>
      </c>
      <c r="K609" s="90" t="s">
        <v>235</v>
      </c>
      <c r="L609" s="90"/>
    </row>
    <row r="610" spans="1:12" ht="15" customHeight="1" outlineLevel="1" x14ac:dyDescent="0.3">
      <c r="A610" s="101" t="s">
        <v>679</v>
      </c>
      <c r="B610" s="90" t="s">
        <v>740</v>
      </c>
      <c r="C610" s="90"/>
      <c r="D610" s="90" t="s">
        <v>130</v>
      </c>
      <c r="E610" s="91">
        <v>46143</v>
      </c>
      <c r="F610" s="30">
        <v>11</v>
      </c>
      <c r="G610" s="91">
        <v>45935</v>
      </c>
      <c r="H610" s="91"/>
      <c r="I610" s="90">
        <v>1</v>
      </c>
      <c r="J610" s="92">
        <v>208</v>
      </c>
      <c r="K610" s="90" t="s">
        <v>236</v>
      </c>
      <c r="L610" s="90"/>
    </row>
    <row r="611" spans="1:12" ht="15" customHeight="1" outlineLevel="1" x14ac:dyDescent="0.3">
      <c r="A611" s="101" t="s">
        <v>679</v>
      </c>
      <c r="B611" s="90" t="s">
        <v>740</v>
      </c>
      <c r="C611" s="90"/>
      <c r="D611" s="90" t="s">
        <v>130</v>
      </c>
      <c r="E611" s="91">
        <v>46151</v>
      </c>
      <c r="F611" s="30">
        <v>21</v>
      </c>
      <c r="G611" s="91">
        <v>45935</v>
      </c>
      <c r="H611" s="91"/>
      <c r="I611" s="90">
        <v>1</v>
      </c>
      <c r="J611" s="92">
        <v>216</v>
      </c>
      <c r="K611" s="90" t="s">
        <v>236</v>
      </c>
      <c r="L611" s="90"/>
    </row>
    <row r="612" spans="1:12" ht="15" customHeight="1" outlineLevel="1" x14ac:dyDescent="0.3">
      <c r="A612" s="101" t="s">
        <v>679</v>
      </c>
      <c r="B612" s="90" t="s">
        <v>740</v>
      </c>
      <c r="C612" s="90"/>
      <c r="D612" s="90" t="s">
        <v>130</v>
      </c>
      <c r="E612" s="91">
        <v>46160</v>
      </c>
      <c r="F612" s="30">
        <v>24</v>
      </c>
      <c r="G612" s="91">
        <v>45935</v>
      </c>
      <c r="H612" s="91"/>
      <c r="I612" s="90">
        <v>1</v>
      </c>
      <c r="J612" s="92">
        <v>225</v>
      </c>
      <c r="K612" s="90" t="s">
        <v>236</v>
      </c>
      <c r="L612" s="90"/>
    </row>
    <row r="613" spans="1:12" ht="15" customHeight="1" outlineLevel="1" x14ac:dyDescent="0.3">
      <c r="A613" s="101" t="s">
        <v>679</v>
      </c>
      <c r="B613" s="90" t="s">
        <v>740</v>
      </c>
      <c r="C613" s="90"/>
      <c r="D613" s="90" t="s">
        <v>130</v>
      </c>
      <c r="E613" s="91">
        <v>46186</v>
      </c>
      <c r="F613" s="30">
        <v>21</v>
      </c>
      <c r="G613" s="91">
        <v>45935</v>
      </c>
      <c r="H613" s="91"/>
      <c r="I613" s="90">
        <v>1</v>
      </c>
      <c r="J613" s="92">
        <v>251</v>
      </c>
      <c r="K613" s="90" t="s">
        <v>237</v>
      </c>
      <c r="L613" s="90"/>
    </row>
    <row r="614" spans="1:12" ht="15" customHeight="1" x14ac:dyDescent="0.3">
      <c r="A614" s="101" t="s">
        <v>680</v>
      </c>
      <c r="B614" s="90" t="s">
        <v>741</v>
      </c>
      <c r="C614" s="90" t="s">
        <v>741</v>
      </c>
      <c r="D614" s="90" t="s">
        <v>130</v>
      </c>
      <c r="E614" s="91">
        <v>46004</v>
      </c>
      <c r="F614" s="30">
        <v>25</v>
      </c>
      <c r="G614" s="91">
        <v>45916</v>
      </c>
      <c r="H614" s="91"/>
      <c r="I614" s="90">
        <v>1</v>
      </c>
      <c r="J614" s="92">
        <v>88</v>
      </c>
      <c r="K614" s="90" t="s">
        <v>231</v>
      </c>
      <c r="L614" s="90"/>
    </row>
    <row r="615" spans="1:12" ht="15" customHeight="1" outlineLevel="1" x14ac:dyDescent="0.3">
      <c r="A615" s="101" t="s">
        <v>680</v>
      </c>
      <c r="B615" s="90" t="s">
        <v>741</v>
      </c>
      <c r="C615" s="90" t="s">
        <v>741</v>
      </c>
      <c r="D615" s="90" t="s">
        <v>130</v>
      </c>
      <c r="E615" s="91">
        <v>46012</v>
      </c>
      <c r="F615" s="30">
        <v>25</v>
      </c>
      <c r="G615" s="91">
        <v>45916</v>
      </c>
      <c r="H615" s="91"/>
      <c r="I615" s="90">
        <v>1</v>
      </c>
      <c r="J615" s="92">
        <v>96</v>
      </c>
      <c r="K615" s="90" t="s">
        <v>231</v>
      </c>
      <c r="L615" s="90"/>
    </row>
    <row r="616" spans="1:12" ht="15" customHeight="1" outlineLevel="1" x14ac:dyDescent="0.3">
      <c r="A616" s="101" t="s">
        <v>680</v>
      </c>
      <c r="B616" s="90" t="s">
        <v>741</v>
      </c>
      <c r="C616" s="90" t="s">
        <v>741</v>
      </c>
      <c r="D616" s="90" t="s">
        <v>130</v>
      </c>
      <c r="E616" s="91">
        <v>46020</v>
      </c>
      <c r="F616" s="30">
        <v>23</v>
      </c>
      <c r="G616" s="91">
        <v>45916</v>
      </c>
      <c r="H616" s="91"/>
      <c r="I616" s="90">
        <v>1</v>
      </c>
      <c r="J616" s="92">
        <v>104</v>
      </c>
      <c r="K616" s="90" t="s">
        <v>231</v>
      </c>
      <c r="L616" s="90"/>
    </row>
    <row r="617" spans="1:12" ht="15" customHeight="1" outlineLevel="1" x14ac:dyDescent="0.3">
      <c r="A617" s="101" t="s">
        <v>680</v>
      </c>
      <c r="B617" s="90" t="s">
        <v>741</v>
      </c>
      <c r="C617" s="90" t="s">
        <v>741</v>
      </c>
      <c r="D617" s="90" t="s">
        <v>130</v>
      </c>
      <c r="E617" s="91">
        <v>46026</v>
      </c>
      <c r="F617" s="30">
        <v>21</v>
      </c>
      <c r="G617" s="91">
        <v>45916</v>
      </c>
      <c r="H617" s="91"/>
      <c r="I617" s="90">
        <v>1</v>
      </c>
      <c r="J617" s="92">
        <v>110</v>
      </c>
      <c r="K617" s="90" t="s">
        <v>232</v>
      </c>
      <c r="L617" s="90"/>
    </row>
    <row r="618" spans="1:12" ht="15" customHeight="1" outlineLevel="1" x14ac:dyDescent="0.3">
      <c r="A618" s="101" t="s">
        <v>680</v>
      </c>
      <c r="B618" s="90" t="s">
        <v>741</v>
      </c>
      <c r="C618" s="90" t="s">
        <v>741</v>
      </c>
      <c r="D618" s="90" t="s">
        <v>130</v>
      </c>
      <c r="E618" s="91">
        <v>46032</v>
      </c>
      <c r="F618" s="30">
        <v>24</v>
      </c>
      <c r="G618" s="91">
        <v>45916</v>
      </c>
      <c r="H618" s="91"/>
      <c r="I618" s="90">
        <v>1</v>
      </c>
      <c r="J618" s="92">
        <v>116</v>
      </c>
      <c r="K618" s="90" t="s">
        <v>232</v>
      </c>
      <c r="L618" s="90"/>
    </row>
    <row r="619" spans="1:12" ht="15" customHeight="1" outlineLevel="1" x14ac:dyDescent="0.3">
      <c r="A619" s="101" t="s">
        <v>680</v>
      </c>
      <c r="B619" s="90" t="s">
        <v>741</v>
      </c>
      <c r="C619" s="90" t="s">
        <v>741</v>
      </c>
      <c r="D619" s="90" t="s">
        <v>130</v>
      </c>
      <c r="E619" s="91">
        <v>46038</v>
      </c>
      <c r="F619" s="30">
        <v>24</v>
      </c>
      <c r="G619" s="91">
        <v>45916</v>
      </c>
      <c r="H619" s="91"/>
      <c r="I619" s="90">
        <v>1</v>
      </c>
      <c r="J619" s="92">
        <v>122</v>
      </c>
      <c r="K619" s="90" t="s">
        <v>232</v>
      </c>
      <c r="L619" s="90"/>
    </row>
    <row r="620" spans="1:12" ht="15" customHeight="1" outlineLevel="1" x14ac:dyDescent="0.3">
      <c r="A620" s="101" t="s">
        <v>680</v>
      </c>
      <c r="B620" s="90" t="s">
        <v>741</v>
      </c>
      <c r="C620" s="90" t="s">
        <v>741</v>
      </c>
      <c r="D620" s="90" t="s">
        <v>130</v>
      </c>
      <c r="E620" s="91">
        <v>46045</v>
      </c>
      <c r="F620" s="30">
        <v>20</v>
      </c>
      <c r="G620" s="91">
        <v>45916</v>
      </c>
      <c r="H620" s="91"/>
      <c r="I620" s="90">
        <v>1</v>
      </c>
      <c r="J620" s="92">
        <v>129</v>
      </c>
      <c r="K620" s="90" t="s">
        <v>232</v>
      </c>
      <c r="L620" s="90"/>
    </row>
    <row r="621" spans="1:12" ht="15" customHeight="1" outlineLevel="1" x14ac:dyDescent="0.3">
      <c r="A621" s="101" t="s">
        <v>680</v>
      </c>
      <c r="B621" s="90" t="s">
        <v>741</v>
      </c>
      <c r="C621" s="90" t="s">
        <v>741</v>
      </c>
      <c r="D621" s="90" t="s">
        <v>130</v>
      </c>
      <c r="E621" s="91">
        <v>46052</v>
      </c>
      <c r="F621" s="30">
        <v>24</v>
      </c>
      <c r="G621" s="91">
        <v>45916</v>
      </c>
      <c r="H621" s="91"/>
      <c r="I621" s="90">
        <v>1</v>
      </c>
      <c r="J621" s="92">
        <v>136</v>
      </c>
      <c r="K621" s="90" t="s">
        <v>232</v>
      </c>
      <c r="L621" s="90"/>
    </row>
    <row r="622" spans="1:12" ht="15" customHeight="1" outlineLevel="1" x14ac:dyDescent="0.3">
      <c r="A622" s="101" t="s">
        <v>680</v>
      </c>
      <c r="B622" s="90" t="s">
        <v>741</v>
      </c>
      <c r="C622" s="90" t="s">
        <v>741</v>
      </c>
      <c r="D622" s="90" t="s">
        <v>130</v>
      </c>
      <c r="E622" s="91">
        <v>46071</v>
      </c>
      <c r="F622" s="30">
        <v>24</v>
      </c>
      <c r="G622" s="91">
        <v>45916</v>
      </c>
      <c r="H622" s="91"/>
      <c r="I622" s="90">
        <v>1</v>
      </c>
      <c r="J622" s="92">
        <v>155</v>
      </c>
      <c r="K622" s="90" t="s">
        <v>233</v>
      </c>
      <c r="L622" s="90"/>
    </row>
    <row r="623" spans="1:12" ht="15" customHeight="1" outlineLevel="1" x14ac:dyDescent="0.3">
      <c r="A623" s="101" t="s">
        <v>680</v>
      </c>
      <c r="B623" s="90" t="s">
        <v>741</v>
      </c>
      <c r="C623" s="90" t="s">
        <v>741</v>
      </c>
      <c r="D623" s="90" t="s">
        <v>130</v>
      </c>
      <c r="E623" s="91">
        <v>46102</v>
      </c>
      <c r="F623" s="30">
        <v>26</v>
      </c>
      <c r="G623" s="91">
        <v>45916</v>
      </c>
      <c r="H623" s="91"/>
      <c r="I623" s="90">
        <v>1</v>
      </c>
      <c r="J623" s="92">
        <v>186</v>
      </c>
      <c r="K623" s="90" t="s">
        <v>234</v>
      </c>
      <c r="L623" s="90"/>
    </row>
    <row r="624" spans="1:12" ht="15" customHeight="1" outlineLevel="1" x14ac:dyDescent="0.3">
      <c r="A624" s="101" t="s">
        <v>680</v>
      </c>
      <c r="B624" s="90" t="s">
        <v>741</v>
      </c>
      <c r="C624" s="90" t="s">
        <v>741</v>
      </c>
      <c r="D624" s="90" t="s">
        <v>130</v>
      </c>
      <c r="E624" s="91">
        <v>46116</v>
      </c>
      <c r="F624" s="30">
        <v>23</v>
      </c>
      <c r="G624" s="91">
        <v>45916</v>
      </c>
      <c r="H624" s="91"/>
      <c r="I624" s="90">
        <v>1</v>
      </c>
      <c r="J624" s="92">
        <v>200</v>
      </c>
      <c r="K624" s="90" t="s">
        <v>235</v>
      </c>
      <c r="L624" s="90"/>
    </row>
    <row r="625" spans="1:12" ht="15" customHeight="1" outlineLevel="1" x14ac:dyDescent="0.3">
      <c r="A625" s="101" t="s">
        <v>680</v>
      </c>
      <c r="B625" s="90" t="s">
        <v>741</v>
      </c>
      <c r="C625" s="90" t="s">
        <v>741</v>
      </c>
      <c r="D625" s="90" t="s">
        <v>130</v>
      </c>
      <c r="E625" s="91">
        <v>46129</v>
      </c>
      <c r="F625" s="30">
        <v>27</v>
      </c>
      <c r="G625" s="91">
        <v>45916</v>
      </c>
      <c r="H625" s="91"/>
      <c r="I625" s="90">
        <v>1</v>
      </c>
      <c r="J625" s="92">
        <v>213</v>
      </c>
      <c r="K625" s="90" t="s">
        <v>235</v>
      </c>
      <c r="L625" s="90"/>
    </row>
    <row r="626" spans="1:12" ht="15" customHeight="1" outlineLevel="1" x14ac:dyDescent="0.3">
      <c r="A626" s="101" t="s">
        <v>680</v>
      </c>
      <c r="B626" s="90" t="s">
        <v>741</v>
      </c>
      <c r="C626" s="90" t="s">
        <v>741</v>
      </c>
      <c r="D626" s="90" t="s">
        <v>130</v>
      </c>
      <c r="E626" s="91">
        <v>46143</v>
      </c>
      <c r="F626" s="30">
        <v>24</v>
      </c>
      <c r="G626" s="91">
        <v>45916</v>
      </c>
      <c r="H626" s="91"/>
      <c r="I626" s="90">
        <v>1</v>
      </c>
      <c r="J626" s="92">
        <v>227</v>
      </c>
      <c r="K626" s="90" t="s">
        <v>236</v>
      </c>
      <c r="L626" s="90"/>
    </row>
    <row r="627" spans="1:12" ht="15" customHeight="1" outlineLevel="1" x14ac:dyDescent="0.3">
      <c r="A627" s="101" t="s">
        <v>680</v>
      </c>
      <c r="B627" s="90" t="s">
        <v>741</v>
      </c>
      <c r="C627" s="90" t="s">
        <v>741</v>
      </c>
      <c r="D627" s="90" t="s">
        <v>130</v>
      </c>
      <c r="E627" s="91">
        <v>46151</v>
      </c>
      <c r="F627" s="30">
        <v>29</v>
      </c>
      <c r="G627" s="91">
        <v>45916</v>
      </c>
      <c r="H627" s="91"/>
      <c r="I627" s="90">
        <v>1</v>
      </c>
      <c r="J627" s="92">
        <v>235</v>
      </c>
      <c r="K627" s="90" t="s">
        <v>236</v>
      </c>
      <c r="L627" s="90"/>
    </row>
    <row r="628" spans="1:12" ht="15" customHeight="1" outlineLevel="1" x14ac:dyDescent="0.3">
      <c r="A628" s="101" t="s">
        <v>680</v>
      </c>
      <c r="B628" s="90" t="s">
        <v>741</v>
      </c>
      <c r="C628" s="90" t="s">
        <v>741</v>
      </c>
      <c r="D628" s="90" t="s">
        <v>130</v>
      </c>
      <c r="E628" s="91">
        <v>46160</v>
      </c>
      <c r="F628" s="30">
        <v>31</v>
      </c>
      <c r="G628" s="91">
        <v>45916</v>
      </c>
      <c r="H628" s="91"/>
      <c r="I628" s="90">
        <v>1</v>
      </c>
      <c r="J628" s="92">
        <v>244</v>
      </c>
      <c r="K628" s="90" t="s">
        <v>236</v>
      </c>
      <c r="L628" s="90"/>
    </row>
    <row r="629" spans="1:12" ht="15" customHeight="1" outlineLevel="1" x14ac:dyDescent="0.3">
      <c r="A629" s="101" t="s">
        <v>680</v>
      </c>
      <c r="B629" s="90" t="s">
        <v>741</v>
      </c>
      <c r="C629" s="90" t="s">
        <v>741</v>
      </c>
      <c r="D629" s="90" t="s">
        <v>130</v>
      </c>
      <c r="E629" s="91">
        <v>46186</v>
      </c>
      <c r="F629" s="30">
        <v>27</v>
      </c>
      <c r="G629" s="91">
        <v>45916</v>
      </c>
      <c r="H629" s="91"/>
      <c r="I629" s="90">
        <v>1</v>
      </c>
      <c r="J629" s="92">
        <v>270</v>
      </c>
      <c r="K629" s="90" t="s">
        <v>237</v>
      </c>
      <c r="L629" s="90"/>
    </row>
    <row r="630" spans="1:12" ht="15" customHeight="1" x14ac:dyDescent="0.3">
      <c r="A630" s="101" t="s">
        <v>681</v>
      </c>
      <c r="B630" s="90" t="s">
        <v>742</v>
      </c>
      <c r="C630" s="90" t="s">
        <v>742</v>
      </c>
      <c r="D630" s="90" t="s">
        <v>130</v>
      </c>
      <c r="E630" s="91">
        <v>46004</v>
      </c>
      <c r="F630" s="30">
        <v>31</v>
      </c>
      <c r="G630" s="91">
        <v>45916</v>
      </c>
      <c r="H630" s="91"/>
      <c r="I630" s="90">
        <v>1</v>
      </c>
      <c r="J630" s="92">
        <v>88</v>
      </c>
      <c r="K630" s="90" t="s">
        <v>231</v>
      </c>
      <c r="L630" s="90"/>
    </row>
    <row r="631" spans="1:12" ht="15" customHeight="1" outlineLevel="1" x14ac:dyDescent="0.3">
      <c r="A631" s="101" t="s">
        <v>681</v>
      </c>
      <c r="B631" s="90" t="s">
        <v>742</v>
      </c>
      <c r="C631" s="90" t="s">
        <v>742</v>
      </c>
      <c r="D631" s="90" t="s">
        <v>130</v>
      </c>
      <c r="E631" s="91">
        <v>46012</v>
      </c>
      <c r="F631" s="30">
        <v>30.5</v>
      </c>
      <c r="G631" s="91">
        <v>45916</v>
      </c>
      <c r="H631" s="91"/>
      <c r="I631" s="90">
        <v>1</v>
      </c>
      <c r="J631" s="92">
        <v>96</v>
      </c>
      <c r="K631" s="90" t="s">
        <v>231</v>
      </c>
      <c r="L631" s="90"/>
    </row>
    <row r="632" spans="1:12" ht="15" customHeight="1" outlineLevel="1" x14ac:dyDescent="0.3">
      <c r="A632" s="101" t="s">
        <v>681</v>
      </c>
      <c r="B632" s="90" t="s">
        <v>742</v>
      </c>
      <c r="C632" s="90" t="s">
        <v>742</v>
      </c>
      <c r="D632" s="90" t="s">
        <v>130</v>
      </c>
      <c r="E632" s="91">
        <v>46020</v>
      </c>
      <c r="F632" s="30">
        <v>28</v>
      </c>
      <c r="G632" s="91">
        <v>45916</v>
      </c>
      <c r="H632" s="91"/>
      <c r="I632" s="90">
        <v>1</v>
      </c>
      <c r="J632" s="92">
        <v>104</v>
      </c>
      <c r="K632" s="90" t="s">
        <v>231</v>
      </c>
      <c r="L632" s="90"/>
    </row>
    <row r="633" spans="1:12" ht="15" customHeight="1" outlineLevel="1" x14ac:dyDescent="0.3">
      <c r="A633" s="101" t="s">
        <v>681</v>
      </c>
      <c r="B633" s="90" t="s">
        <v>742</v>
      </c>
      <c r="C633" s="90" t="s">
        <v>742</v>
      </c>
      <c r="D633" s="90" t="s">
        <v>130</v>
      </c>
      <c r="E633" s="91">
        <v>46026</v>
      </c>
      <c r="F633" s="30">
        <v>29</v>
      </c>
      <c r="G633" s="91">
        <v>45916</v>
      </c>
      <c r="H633" s="91"/>
      <c r="I633" s="90">
        <v>1</v>
      </c>
      <c r="J633" s="92">
        <v>110</v>
      </c>
      <c r="K633" s="90" t="s">
        <v>232</v>
      </c>
      <c r="L633" s="90"/>
    </row>
    <row r="634" spans="1:12" ht="15" customHeight="1" outlineLevel="1" x14ac:dyDescent="0.3">
      <c r="A634" s="101" t="s">
        <v>681</v>
      </c>
      <c r="B634" s="90" t="s">
        <v>742</v>
      </c>
      <c r="C634" s="90" t="s">
        <v>742</v>
      </c>
      <c r="D634" s="90" t="s">
        <v>130</v>
      </c>
      <c r="E634" s="91">
        <v>46032</v>
      </c>
      <c r="F634" s="30">
        <v>27</v>
      </c>
      <c r="G634" s="91">
        <v>45916</v>
      </c>
      <c r="H634" s="91"/>
      <c r="I634" s="90">
        <v>1</v>
      </c>
      <c r="J634" s="92">
        <v>116</v>
      </c>
      <c r="K634" s="90" t="s">
        <v>232</v>
      </c>
      <c r="L634" s="90"/>
    </row>
    <row r="635" spans="1:12" ht="15" customHeight="1" outlineLevel="1" x14ac:dyDescent="0.3">
      <c r="A635" s="101" t="s">
        <v>681</v>
      </c>
      <c r="B635" s="90" t="s">
        <v>742</v>
      </c>
      <c r="C635" s="90" t="s">
        <v>742</v>
      </c>
      <c r="D635" s="90" t="s">
        <v>130</v>
      </c>
      <c r="E635" s="91">
        <v>46038</v>
      </c>
      <c r="F635" s="30">
        <v>27</v>
      </c>
      <c r="G635" s="91">
        <v>45916</v>
      </c>
      <c r="H635" s="91"/>
      <c r="I635" s="90">
        <v>1</v>
      </c>
      <c r="J635" s="92">
        <v>122</v>
      </c>
      <c r="K635" s="90" t="s">
        <v>232</v>
      </c>
      <c r="L635" s="90"/>
    </row>
    <row r="636" spans="1:12" ht="15" customHeight="1" outlineLevel="1" x14ac:dyDescent="0.3">
      <c r="A636" s="101" t="s">
        <v>681</v>
      </c>
      <c r="B636" s="90" t="s">
        <v>742</v>
      </c>
      <c r="C636" s="90" t="s">
        <v>742</v>
      </c>
      <c r="D636" s="90" t="s">
        <v>130</v>
      </c>
      <c r="E636" s="91">
        <v>46045</v>
      </c>
      <c r="F636" s="30">
        <v>30</v>
      </c>
      <c r="G636" s="91">
        <v>45916</v>
      </c>
      <c r="H636" s="91"/>
      <c r="I636" s="90">
        <v>1</v>
      </c>
      <c r="J636" s="92">
        <v>129</v>
      </c>
      <c r="K636" s="90" t="s">
        <v>232</v>
      </c>
      <c r="L636" s="90"/>
    </row>
    <row r="637" spans="1:12" ht="15" customHeight="1" outlineLevel="1" x14ac:dyDescent="0.3">
      <c r="A637" s="101" t="s">
        <v>681</v>
      </c>
      <c r="B637" s="90" t="s">
        <v>742</v>
      </c>
      <c r="C637" s="90" t="s">
        <v>742</v>
      </c>
      <c r="D637" s="90" t="s">
        <v>130</v>
      </c>
      <c r="E637" s="91">
        <v>46052</v>
      </c>
      <c r="F637" s="30">
        <v>30</v>
      </c>
      <c r="G637" s="91">
        <v>45916</v>
      </c>
      <c r="H637" s="91"/>
      <c r="I637" s="90">
        <v>1</v>
      </c>
      <c r="J637" s="92">
        <v>136</v>
      </c>
      <c r="K637" s="90" t="s">
        <v>232</v>
      </c>
      <c r="L637" s="90"/>
    </row>
    <row r="638" spans="1:12" ht="15" customHeight="1" outlineLevel="1" x14ac:dyDescent="0.3">
      <c r="A638" s="101" t="s">
        <v>681</v>
      </c>
      <c r="B638" s="90" t="s">
        <v>742</v>
      </c>
      <c r="C638" s="90" t="s">
        <v>742</v>
      </c>
      <c r="D638" s="90" t="s">
        <v>130</v>
      </c>
      <c r="E638" s="91">
        <v>46071</v>
      </c>
      <c r="F638" s="30">
        <v>31</v>
      </c>
      <c r="G638" s="91">
        <v>45916</v>
      </c>
      <c r="H638" s="91"/>
      <c r="I638" s="90">
        <v>1</v>
      </c>
      <c r="J638" s="92">
        <v>155</v>
      </c>
      <c r="K638" s="90" t="s">
        <v>233</v>
      </c>
      <c r="L638" s="90"/>
    </row>
    <row r="639" spans="1:12" ht="15" customHeight="1" outlineLevel="1" x14ac:dyDescent="0.3">
      <c r="A639" s="101" t="s">
        <v>681</v>
      </c>
      <c r="B639" s="90" t="s">
        <v>742</v>
      </c>
      <c r="C639" s="90" t="s">
        <v>742</v>
      </c>
      <c r="D639" s="90" t="s">
        <v>130</v>
      </c>
      <c r="E639" s="91">
        <v>46102</v>
      </c>
      <c r="F639" s="30">
        <v>35</v>
      </c>
      <c r="G639" s="91">
        <v>45916</v>
      </c>
      <c r="H639" s="91"/>
      <c r="I639" s="90">
        <v>1</v>
      </c>
      <c r="J639" s="92">
        <v>186</v>
      </c>
      <c r="K639" s="90" t="s">
        <v>234</v>
      </c>
      <c r="L639" s="90"/>
    </row>
    <row r="640" spans="1:12" ht="15" customHeight="1" outlineLevel="1" x14ac:dyDescent="0.3">
      <c r="A640" s="101" t="s">
        <v>681</v>
      </c>
      <c r="B640" s="90" t="s">
        <v>742</v>
      </c>
      <c r="C640" s="90" t="s">
        <v>742</v>
      </c>
      <c r="D640" s="90" t="s">
        <v>130</v>
      </c>
      <c r="E640" s="91">
        <v>46116</v>
      </c>
      <c r="F640" s="30">
        <v>29</v>
      </c>
      <c r="G640" s="91">
        <v>45916</v>
      </c>
      <c r="H640" s="91"/>
      <c r="I640" s="90">
        <v>1</v>
      </c>
      <c r="J640" s="92">
        <v>200</v>
      </c>
      <c r="K640" s="90" t="s">
        <v>235</v>
      </c>
      <c r="L640" s="90"/>
    </row>
    <row r="641" spans="1:12" ht="15" customHeight="1" outlineLevel="1" x14ac:dyDescent="0.3">
      <c r="A641" s="101" t="s">
        <v>681</v>
      </c>
      <c r="B641" s="90" t="s">
        <v>742</v>
      </c>
      <c r="C641" s="90" t="s">
        <v>742</v>
      </c>
      <c r="D641" s="90" t="s">
        <v>130</v>
      </c>
      <c r="E641" s="91">
        <v>46129</v>
      </c>
      <c r="F641" s="30">
        <v>25</v>
      </c>
      <c r="G641" s="91">
        <v>45916</v>
      </c>
      <c r="H641" s="91"/>
      <c r="I641" s="90">
        <v>1</v>
      </c>
      <c r="J641" s="92">
        <v>213</v>
      </c>
      <c r="K641" s="90" t="s">
        <v>235</v>
      </c>
      <c r="L641" s="90"/>
    </row>
    <row r="642" spans="1:12" ht="15" customHeight="1" outlineLevel="1" x14ac:dyDescent="0.3">
      <c r="A642" s="101" t="s">
        <v>681</v>
      </c>
      <c r="B642" s="90" t="s">
        <v>742</v>
      </c>
      <c r="C642" s="90" t="s">
        <v>742</v>
      </c>
      <c r="D642" s="90" t="s">
        <v>130</v>
      </c>
      <c r="E642" s="91">
        <v>46143</v>
      </c>
      <c r="F642" s="30">
        <v>28</v>
      </c>
      <c r="G642" s="91">
        <v>45916</v>
      </c>
      <c r="H642" s="91"/>
      <c r="I642" s="90">
        <v>1</v>
      </c>
      <c r="J642" s="92">
        <v>227</v>
      </c>
      <c r="K642" s="90" t="s">
        <v>236</v>
      </c>
      <c r="L642" s="90"/>
    </row>
    <row r="643" spans="1:12" ht="15" customHeight="1" outlineLevel="1" x14ac:dyDescent="0.3">
      <c r="A643" s="101" t="s">
        <v>681</v>
      </c>
      <c r="B643" s="90" t="s">
        <v>742</v>
      </c>
      <c r="C643" s="90" t="s">
        <v>742</v>
      </c>
      <c r="D643" s="90" t="s">
        <v>130</v>
      </c>
      <c r="E643" s="91">
        <v>46151</v>
      </c>
      <c r="F643" s="30">
        <v>32</v>
      </c>
      <c r="G643" s="91">
        <v>45916</v>
      </c>
      <c r="H643" s="91"/>
      <c r="I643" s="90">
        <v>1</v>
      </c>
      <c r="J643" s="92">
        <v>235</v>
      </c>
      <c r="K643" s="90" t="s">
        <v>236</v>
      </c>
      <c r="L643" s="90"/>
    </row>
    <row r="644" spans="1:12" ht="15" customHeight="1" outlineLevel="1" x14ac:dyDescent="0.3">
      <c r="A644" s="101" t="s">
        <v>681</v>
      </c>
      <c r="B644" s="90" t="s">
        <v>742</v>
      </c>
      <c r="C644" s="90" t="s">
        <v>742</v>
      </c>
      <c r="D644" s="90" t="s">
        <v>130</v>
      </c>
      <c r="E644" s="91">
        <v>46160</v>
      </c>
      <c r="F644" s="30">
        <v>30</v>
      </c>
      <c r="G644" s="91">
        <v>45916</v>
      </c>
      <c r="H644" s="91"/>
      <c r="I644" s="90">
        <v>1</v>
      </c>
      <c r="J644" s="92">
        <v>244</v>
      </c>
      <c r="K644" s="90" t="s">
        <v>236</v>
      </c>
      <c r="L644" s="90"/>
    </row>
    <row r="645" spans="1:12" ht="15" customHeight="1" outlineLevel="1" x14ac:dyDescent="0.3">
      <c r="A645" s="101" t="s">
        <v>681</v>
      </c>
      <c r="B645" s="90" t="s">
        <v>742</v>
      </c>
      <c r="C645" s="90" t="s">
        <v>742</v>
      </c>
      <c r="D645" s="90" t="s">
        <v>130</v>
      </c>
      <c r="E645" s="91">
        <v>46186</v>
      </c>
      <c r="F645" s="30">
        <v>19</v>
      </c>
      <c r="G645" s="91">
        <v>45916</v>
      </c>
      <c r="H645" s="91"/>
      <c r="I645" s="90">
        <v>1</v>
      </c>
      <c r="J645" s="92">
        <v>270</v>
      </c>
      <c r="K645" s="90" t="s">
        <v>237</v>
      </c>
      <c r="L645" s="90"/>
    </row>
    <row r="646" spans="1:12" ht="15" customHeight="1" x14ac:dyDescent="0.3">
      <c r="A646" s="101" t="s">
        <v>682</v>
      </c>
      <c r="B646" s="90" t="s">
        <v>743</v>
      </c>
      <c r="C646" s="90" t="s">
        <v>743</v>
      </c>
      <c r="D646" s="90" t="s">
        <v>130</v>
      </c>
      <c r="E646" s="91">
        <v>46004</v>
      </c>
      <c r="F646" s="30">
        <v>23</v>
      </c>
      <c r="G646" s="91">
        <v>45924</v>
      </c>
      <c r="H646" s="91"/>
      <c r="I646" s="90">
        <v>1</v>
      </c>
      <c r="J646" s="92">
        <v>80</v>
      </c>
      <c r="K646" s="90" t="s">
        <v>231</v>
      </c>
      <c r="L646" s="90"/>
    </row>
    <row r="647" spans="1:12" ht="15" customHeight="1" outlineLevel="1" x14ac:dyDescent="0.3">
      <c r="A647" s="101" t="s">
        <v>682</v>
      </c>
      <c r="B647" s="90" t="s">
        <v>743</v>
      </c>
      <c r="C647" s="90" t="s">
        <v>743</v>
      </c>
      <c r="D647" s="90" t="s">
        <v>130</v>
      </c>
      <c r="E647" s="91">
        <v>46012</v>
      </c>
      <c r="F647" s="30">
        <v>24</v>
      </c>
      <c r="G647" s="91">
        <v>45924</v>
      </c>
      <c r="H647" s="91"/>
      <c r="I647" s="90">
        <v>1</v>
      </c>
      <c r="J647" s="92">
        <v>88</v>
      </c>
      <c r="K647" s="90" t="s">
        <v>231</v>
      </c>
      <c r="L647" s="90"/>
    </row>
    <row r="648" spans="1:12" ht="15" customHeight="1" outlineLevel="1" x14ac:dyDescent="0.3">
      <c r="A648" s="101" t="s">
        <v>682</v>
      </c>
      <c r="B648" s="90" t="s">
        <v>743</v>
      </c>
      <c r="C648" s="90" t="s">
        <v>743</v>
      </c>
      <c r="D648" s="90" t="s">
        <v>130</v>
      </c>
      <c r="E648" s="91">
        <v>46020</v>
      </c>
      <c r="F648" s="30">
        <v>25.4</v>
      </c>
      <c r="G648" s="91">
        <v>45924</v>
      </c>
      <c r="H648" s="91"/>
      <c r="I648" s="90">
        <v>1</v>
      </c>
      <c r="J648" s="92">
        <v>96</v>
      </c>
      <c r="K648" s="90" t="s">
        <v>231</v>
      </c>
      <c r="L648" s="90"/>
    </row>
    <row r="649" spans="1:12" ht="15" customHeight="1" outlineLevel="1" x14ac:dyDescent="0.3">
      <c r="A649" s="101" t="s">
        <v>682</v>
      </c>
      <c r="B649" s="90" t="s">
        <v>743</v>
      </c>
      <c r="C649" s="90" t="s">
        <v>743</v>
      </c>
      <c r="D649" s="90" t="s">
        <v>130</v>
      </c>
      <c r="E649" s="91">
        <v>46026</v>
      </c>
      <c r="F649" s="30">
        <v>25</v>
      </c>
      <c r="G649" s="91">
        <v>45924</v>
      </c>
      <c r="H649" s="91"/>
      <c r="I649" s="90">
        <v>1</v>
      </c>
      <c r="J649" s="92">
        <v>102</v>
      </c>
      <c r="K649" s="90" t="s">
        <v>232</v>
      </c>
      <c r="L649" s="90"/>
    </row>
    <row r="650" spans="1:12" ht="15" customHeight="1" outlineLevel="1" x14ac:dyDescent="0.3">
      <c r="A650" s="101" t="s">
        <v>682</v>
      </c>
      <c r="B650" s="90" t="s">
        <v>743</v>
      </c>
      <c r="C650" s="90" t="s">
        <v>743</v>
      </c>
      <c r="D650" s="90" t="s">
        <v>130</v>
      </c>
      <c r="E650" s="91">
        <v>46032</v>
      </c>
      <c r="F650" s="30">
        <v>21</v>
      </c>
      <c r="G650" s="91">
        <v>45924</v>
      </c>
      <c r="H650" s="91"/>
      <c r="I650" s="90">
        <v>1</v>
      </c>
      <c r="J650" s="92">
        <v>108</v>
      </c>
      <c r="K650" s="90" t="s">
        <v>232</v>
      </c>
      <c r="L650" s="90"/>
    </row>
    <row r="651" spans="1:12" ht="15" customHeight="1" outlineLevel="1" x14ac:dyDescent="0.3">
      <c r="A651" s="101" t="s">
        <v>682</v>
      </c>
      <c r="B651" s="90" t="s">
        <v>743</v>
      </c>
      <c r="C651" s="90" t="s">
        <v>743</v>
      </c>
      <c r="D651" s="90" t="s">
        <v>130</v>
      </c>
      <c r="E651" s="91">
        <v>46038</v>
      </c>
      <c r="F651" s="30">
        <v>19</v>
      </c>
      <c r="G651" s="91">
        <v>45924</v>
      </c>
      <c r="H651" s="91"/>
      <c r="I651" s="90">
        <v>1</v>
      </c>
      <c r="J651" s="92">
        <v>114</v>
      </c>
      <c r="K651" s="90" t="s">
        <v>232</v>
      </c>
      <c r="L651" s="90"/>
    </row>
    <row r="652" spans="1:12" ht="15" customHeight="1" outlineLevel="1" x14ac:dyDescent="0.3">
      <c r="A652" s="101" t="s">
        <v>682</v>
      </c>
      <c r="B652" s="90" t="s">
        <v>743</v>
      </c>
      <c r="C652" s="90" t="s">
        <v>743</v>
      </c>
      <c r="D652" s="90" t="s">
        <v>130</v>
      </c>
      <c r="E652" s="91">
        <v>46045</v>
      </c>
      <c r="F652" s="30">
        <v>24</v>
      </c>
      <c r="G652" s="91">
        <v>45924</v>
      </c>
      <c r="H652" s="91"/>
      <c r="I652" s="90">
        <v>1</v>
      </c>
      <c r="J652" s="92">
        <v>121</v>
      </c>
      <c r="K652" s="90" t="s">
        <v>232</v>
      </c>
      <c r="L652" s="90"/>
    </row>
    <row r="653" spans="1:12" ht="15" customHeight="1" outlineLevel="1" x14ac:dyDescent="0.3">
      <c r="A653" s="101" t="s">
        <v>682</v>
      </c>
      <c r="B653" s="90" t="s">
        <v>743</v>
      </c>
      <c r="C653" s="90" t="s">
        <v>743</v>
      </c>
      <c r="D653" s="90" t="s">
        <v>130</v>
      </c>
      <c r="E653" s="91">
        <v>46052</v>
      </c>
      <c r="F653" s="30">
        <v>23</v>
      </c>
      <c r="G653" s="91">
        <v>45924</v>
      </c>
      <c r="H653" s="91"/>
      <c r="I653" s="90">
        <v>1</v>
      </c>
      <c r="J653" s="92">
        <v>128</v>
      </c>
      <c r="K653" s="90" t="s">
        <v>232</v>
      </c>
      <c r="L653" s="90"/>
    </row>
    <row r="654" spans="1:12" ht="15" customHeight="1" outlineLevel="1" x14ac:dyDescent="0.3">
      <c r="A654" s="101" t="s">
        <v>682</v>
      </c>
      <c r="B654" s="90" t="s">
        <v>743</v>
      </c>
      <c r="C654" s="90" t="s">
        <v>743</v>
      </c>
      <c r="D654" s="90" t="s">
        <v>130</v>
      </c>
      <c r="E654" s="91">
        <v>46071</v>
      </c>
      <c r="F654" s="30">
        <v>22</v>
      </c>
      <c r="G654" s="91">
        <v>45924</v>
      </c>
      <c r="H654" s="91"/>
      <c r="I654" s="90">
        <v>1</v>
      </c>
      <c r="J654" s="92">
        <v>147</v>
      </c>
      <c r="K654" s="90" t="s">
        <v>233</v>
      </c>
      <c r="L654" s="90"/>
    </row>
    <row r="655" spans="1:12" ht="15" customHeight="1" outlineLevel="1" x14ac:dyDescent="0.3">
      <c r="A655" s="101" t="s">
        <v>682</v>
      </c>
      <c r="B655" s="90" t="s">
        <v>743</v>
      </c>
      <c r="C655" s="90" t="s">
        <v>743</v>
      </c>
      <c r="D655" s="90" t="s">
        <v>130</v>
      </c>
      <c r="E655" s="91">
        <v>46102</v>
      </c>
      <c r="F655" s="30">
        <v>25</v>
      </c>
      <c r="G655" s="91">
        <v>45924</v>
      </c>
      <c r="H655" s="91"/>
      <c r="I655" s="90">
        <v>1</v>
      </c>
      <c r="J655" s="92">
        <v>178</v>
      </c>
      <c r="K655" s="90" t="s">
        <v>234</v>
      </c>
      <c r="L655" s="90"/>
    </row>
    <row r="656" spans="1:12" ht="15" customHeight="1" outlineLevel="1" x14ac:dyDescent="0.3">
      <c r="A656" s="101" t="s">
        <v>682</v>
      </c>
      <c r="B656" s="90" t="s">
        <v>743</v>
      </c>
      <c r="C656" s="90" t="s">
        <v>743</v>
      </c>
      <c r="D656" s="90" t="s">
        <v>130</v>
      </c>
      <c r="E656" s="91">
        <v>46116</v>
      </c>
      <c r="F656" s="30">
        <v>15</v>
      </c>
      <c r="G656" s="91">
        <v>45924</v>
      </c>
      <c r="H656" s="91"/>
      <c r="I656" s="90">
        <v>1</v>
      </c>
      <c r="J656" s="92">
        <v>192</v>
      </c>
      <c r="K656" s="90" t="s">
        <v>235</v>
      </c>
      <c r="L656" s="90"/>
    </row>
    <row r="657" spans="1:12" ht="15" customHeight="1" outlineLevel="1" x14ac:dyDescent="0.3">
      <c r="A657" s="101" t="s">
        <v>682</v>
      </c>
      <c r="B657" s="90" t="s">
        <v>743</v>
      </c>
      <c r="C657" s="90" t="s">
        <v>743</v>
      </c>
      <c r="D657" s="90" t="s">
        <v>130</v>
      </c>
      <c r="E657" s="91">
        <v>46129</v>
      </c>
      <c r="F657" s="30">
        <v>20</v>
      </c>
      <c r="G657" s="91">
        <v>45924</v>
      </c>
      <c r="H657" s="91"/>
      <c r="I657" s="90">
        <v>1</v>
      </c>
      <c r="J657" s="92">
        <v>205</v>
      </c>
      <c r="K657" s="90" t="s">
        <v>235</v>
      </c>
      <c r="L657" s="90"/>
    </row>
    <row r="658" spans="1:12" ht="15" customHeight="1" outlineLevel="1" x14ac:dyDescent="0.3">
      <c r="A658" s="101" t="s">
        <v>682</v>
      </c>
      <c r="B658" s="90" t="s">
        <v>743</v>
      </c>
      <c r="C658" s="90" t="s">
        <v>743</v>
      </c>
      <c r="D658" s="90" t="s">
        <v>130</v>
      </c>
      <c r="E658" s="91">
        <v>46143</v>
      </c>
      <c r="F658" s="30">
        <v>18</v>
      </c>
      <c r="G658" s="91">
        <v>45924</v>
      </c>
      <c r="H658" s="91"/>
      <c r="I658" s="90">
        <v>1</v>
      </c>
      <c r="J658" s="92">
        <v>219</v>
      </c>
      <c r="K658" s="90" t="s">
        <v>236</v>
      </c>
      <c r="L658" s="90"/>
    </row>
    <row r="659" spans="1:12" ht="15" customHeight="1" outlineLevel="1" x14ac:dyDescent="0.3">
      <c r="A659" s="101" t="s">
        <v>682</v>
      </c>
      <c r="B659" s="90" t="s">
        <v>743</v>
      </c>
      <c r="C659" s="90" t="s">
        <v>743</v>
      </c>
      <c r="D659" s="90" t="s">
        <v>130</v>
      </c>
      <c r="E659" s="91">
        <v>46151</v>
      </c>
      <c r="F659" s="30">
        <v>22</v>
      </c>
      <c r="G659" s="91">
        <v>45924</v>
      </c>
      <c r="H659" s="91"/>
      <c r="I659" s="90">
        <v>1</v>
      </c>
      <c r="J659" s="92">
        <v>227</v>
      </c>
      <c r="K659" s="90" t="s">
        <v>236</v>
      </c>
      <c r="L659" s="90"/>
    </row>
    <row r="660" spans="1:12" ht="15" customHeight="1" outlineLevel="1" x14ac:dyDescent="0.3">
      <c r="A660" s="101" t="s">
        <v>682</v>
      </c>
      <c r="B660" s="90" t="s">
        <v>743</v>
      </c>
      <c r="C660" s="90" t="s">
        <v>743</v>
      </c>
      <c r="D660" s="90" t="s">
        <v>130</v>
      </c>
      <c r="E660" s="91">
        <v>46160</v>
      </c>
      <c r="F660" s="30">
        <v>24</v>
      </c>
      <c r="G660" s="91">
        <v>45924</v>
      </c>
      <c r="H660" s="91"/>
      <c r="I660" s="90">
        <v>1</v>
      </c>
      <c r="J660" s="92">
        <v>236</v>
      </c>
      <c r="K660" s="90" t="s">
        <v>236</v>
      </c>
      <c r="L660" s="90"/>
    </row>
    <row r="661" spans="1:12" ht="15" customHeight="1" outlineLevel="1" x14ac:dyDescent="0.3">
      <c r="A661" s="101" t="s">
        <v>682</v>
      </c>
      <c r="B661" s="90" t="s">
        <v>743</v>
      </c>
      <c r="C661" s="90" t="s">
        <v>743</v>
      </c>
      <c r="D661" s="90" t="s">
        <v>130</v>
      </c>
      <c r="E661" s="91">
        <v>46186</v>
      </c>
      <c r="F661" s="30">
        <v>27</v>
      </c>
      <c r="G661" s="91">
        <v>45924</v>
      </c>
      <c r="H661" s="91"/>
      <c r="I661" s="90">
        <v>1</v>
      </c>
      <c r="J661" s="92">
        <v>262</v>
      </c>
      <c r="K661" s="90" t="s">
        <v>237</v>
      </c>
      <c r="L661" s="90"/>
    </row>
    <row r="662" spans="1:12" ht="15" customHeight="1" x14ac:dyDescent="0.3">
      <c r="A662" s="101" t="s">
        <v>683</v>
      </c>
      <c r="B662" s="90" t="s">
        <v>744</v>
      </c>
      <c r="C662" s="90" t="s">
        <v>744</v>
      </c>
      <c r="D662" s="90" t="s">
        <v>137</v>
      </c>
      <c r="E662" s="91">
        <v>46004</v>
      </c>
      <c r="F662" s="30">
        <v>26</v>
      </c>
      <c r="G662" s="91">
        <v>46181</v>
      </c>
      <c r="H662" s="91"/>
      <c r="I662" s="90">
        <v>1</v>
      </c>
      <c r="J662" s="92">
        <v>-177</v>
      </c>
      <c r="K662" s="90" t="s">
        <v>231</v>
      </c>
      <c r="L662" s="90"/>
    </row>
    <row r="663" spans="1:12" ht="15" customHeight="1" outlineLevel="1" x14ac:dyDescent="0.3">
      <c r="A663" s="101" t="s">
        <v>683</v>
      </c>
      <c r="B663" s="90" t="s">
        <v>744</v>
      </c>
      <c r="C663" s="90" t="s">
        <v>744</v>
      </c>
      <c r="D663" s="90" t="s">
        <v>137</v>
      </c>
      <c r="E663" s="91">
        <v>46012</v>
      </c>
      <c r="F663" s="30">
        <v>27.5</v>
      </c>
      <c r="G663" s="91">
        <v>46181</v>
      </c>
      <c r="H663" s="91"/>
      <c r="I663" s="90">
        <v>1</v>
      </c>
      <c r="J663" s="92">
        <v>-169</v>
      </c>
      <c r="K663" s="90" t="s">
        <v>231</v>
      </c>
      <c r="L663" s="90"/>
    </row>
    <row r="664" spans="1:12" ht="15" customHeight="1" outlineLevel="1" x14ac:dyDescent="0.3">
      <c r="A664" s="101" t="s">
        <v>683</v>
      </c>
      <c r="B664" s="90" t="s">
        <v>744</v>
      </c>
      <c r="C664" s="90" t="s">
        <v>744</v>
      </c>
      <c r="D664" s="90" t="s">
        <v>137</v>
      </c>
      <c r="E664" s="91">
        <v>46020</v>
      </c>
      <c r="F664" s="30">
        <v>23</v>
      </c>
      <c r="G664" s="91">
        <v>46181</v>
      </c>
      <c r="H664" s="91"/>
      <c r="I664" s="90">
        <v>1</v>
      </c>
      <c r="J664" s="92">
        <v>-161</v>
      </c>
      <c r="K664" s="90" t="s">
        <v>231</v>
      </c>
      <c r="L664" s="90"/>
    </row>
    <row r="665" spans="1:12" ht="15" customHeight="1" outlineLevel="1" x14ac:dyDescent="0.3">
      <c r="A665" s="101" t="s">
        <v>683</v>
      </c>
      <c r="B665" s="90" t="s">
        <v>744</v>
      </c>
      <c r="C665" s="90" t="s">
        <v>744</v>
      </c>
      <c r="D665" s="90" t="s">
        <v>137</v>
      </c>
      <c r="E665" s="91">
        <v>46026</v>
      </c>
      <c r="F665" s="30">
        <v>11</v>
      </c>
      <c r="G665" s="91">
        <v>46181</v>
      </c>
      <c r="H665" s="91"/>
      <c r="I665" s="90">
        <v>1</v>
      </c>
      <c r="J665" s="92">
        <v>-155</v>
      </c>
      <c r="K665" s="90" t="s">
        <v>232</v>
      </c>
      <c r="L665" s="90"/>
    </row>
    <row r="666" spans="1:12" ht="15" customHeight="1" outlineLevel="1" x14ac:dyDescent="0.3">
      <c r="A666" s="101" t="s">
        <v>683</v>
      </c>
      <c r="B666" s="90" t="s">
        <v>744</v>
      </c>
      <c r="C666" s="90" t="s">
        <v>744</v>
      </c>
      <c r="D666" s="90" t="s">
        <v>137</v>
      </c>
      <c r="E666" s="91">
        <v>46032</v>
      </c>
      <c r="F666" s="30">
        <v>21</v>
      </c>
      <c r="G666" s="91">
        <v>46181</v>
      </c>
      <c r="H666" s="91"/>
      <c r="I666" s="90">
        <v>1</v>
      </c>
      <c r="J666" s="92">
        <v>-149</v>
      </c>
      <c r="K666" s="90" t="s">
        <v>232</v>
      </c>
      <c r="L666" s="90"/>
    </row>
    <row r="667" spans="1:12" ht="15" customHeight="1" outlineLevel="1" x14ac:dyDescent="0.3">
      <c r="A667" s="101" t="s">
        <v>683</v>
      </c>
      <c r="B667" s="90" t="s">
        <v>744</v>
      </c>
      <c r="C667" s="90" t="s">
        <v>744</v>
      </c>
      <c r="D667" s="90" t="s">
        <v>137</v>
      </c>
      <c r="E667" s="91">
        <v>46038</v>
      </c>
      <c r="F667" s="30">
        <v>16</v>
      </c>
      <c r="G667" s="91">
        <v>46181</v>
      </c>
      <c r="H667" s="91"/>
      <c r="I667" s="90">
        <v>1</v>
      </c>
      <c r="J667" s="92">
        <v>-143</v>
      </c>
      <c r="K667" s="90" t="s">
        <v>232</v>
      </c>
      <c r="L667" s="90"/>
    </row>
    <row r="668" spans="1:12" ht="15" customHeight="1" outlineLevel="1" x14ac:dyDescent="0.3">
      <c r="A668" s="101" t="s">
        <v>683</v>
      </c>
      <c r="B668" s="90" t="s">
        <v>744</v>
      </c>
      <c r="C668" s="90" t="s">
        <v>744</v>
      </c>
      <c r="D668" s="90" t="s">
        <v>137</v>
      </c>
      <c r="E668" s="91">
        <v>46045</v>
      </c>
      <c r="F668" s="30">
        <v>20</v>
      </c>
      <c r="G668" s="91">
        <v>46181</v>
      </c>
      <c r="H668" s="91"/>
      <c r="I668" s="90">
        <v>1</v>
      </c>
      <c r="J668" s="92">
        <v>-136</v>
      </c>
      <c r="K668" s="90" t="s">
        <v>232</v>
      </c>
      <c r="L668" s="90"/>
    </row>
    <row r="669" spans="1:12" ht="15" customHeight="1" outlineLevel="1" x14ac:dyDescent="0.3">
      <c r="A669" s="101" t="s">
        <v>683</v>
      </c>
      <c r="B669" s="90" t="s">
        <v>744</v>
      </c>
      <c r="C669" s="90" t="s">
        <v>744</v>
      </c>
      <c r="D669" s="90" t="s">
        <v>137</v>
      </c>
      <c r="E669" s="91">
        <v>46052</v>
      </c>
      <c r="F669" s="30">
        <v>20</v>
      </c>
      <c r="G669" s="91">
        <v>46181</v>
      </c>
      <c r="H669" s="91"/>
      <c r="I669" s="90">
        <v>1</v>
      </c>
      <c r="J669" s="92">
        <v>-129</v>
      </c>
      <c r="K669" s="90" t="s">
        <v>232</v>
      </c>
      <c r="L669" s="90"/>
    </row>
    <row r="670" spans="1:12" ht="15" customHeight="1" outlineLevel="1" x14ac:dyDescent="0.3">
      <c r="A670" s="101" t="s">
        <v>683</v>
      </c>
      <c r="B670" s="90" t="s">
        <v>744</v>
      </c>
      <c r="C670" s="90" t="s">
        <v>744</v>
      </c>
      <c r="D670" s="90" t="s">
        <v>137</v>
      </c>
      <c r="E670" s="91">
        <v>46071</v>
      </c>
      <c r="F670" s="30">
        <v>22</v>
      </c>
      <c r="G670" s="91">
        <v>46181</v>
      </c>
      <c r="H670" s="91"/>
      <c r="I670" s="90">
        <v>1</v>
      </c>
      <c r="J670" s="92">
        <v>-110</v>
      </c>
      <c r="K670" s="90" t="s">
        <v>233</v>
      </c>
      <c r="L670" s="90"/>
    </row>
    <row r="671" spans="1:12" ht="15" customHeight="1" outlineLevel="1" x14ac:dyDescent="0.3">
      <c r="A671" s="101" t="s">
        <v>683</v>
      </c>
      <c r="B671" s="90" t="s">
        <v>744</v>
      </c>
      <c r="C671" s="90" t="s">
        <v>744</v>
      </c>
      <c r="D671" s="90" t="s">
        <v>137</v>
      </c>
      <c r="E671" s="91">
        <v>46102</v>
      </c>
      <c r="F671" s="30">
        <v>20</v>
      </c>
      <c r="G671" s="91">
        <v>46181</v>
      </c>
      <c r="H671" s="91"/>
      <c r="I671" s="90">
        <v>1</v>
      </c>
      <c r="J671" s="92">
        <v>-79</v>
      </c>
      <c r="K671" s="90" t="s">
        <v>234</v>
      </c>
      <c r="L671" s="90"/>
    </row>
    <row r="672" spans="1:12" ht="15" customHeight="1" outlineLevel="1" x14ac:dyDescent="0.3">
      <c r="A672" s="101" t="s">
        <v>683</v>
      </c>
      <c r="B672" s="90" t="s">
        <v>744</v>
      </c>
      <c r="C672" s="90" t="s">
        <v>744</v>
      </c>
      <c r="D672" s="90" t="s">
        <v>137</v>
      </c>
      <c r="E672" s="91">
        <v>46116</v>
      </c>
      <c r="F672" s="30">
        <v>19</v>
      </c>
      <c r="G672" s="91">
        <v>46181</v>
      </c>
      <c r="H672" s="91"/>
      <c r="I672" s="90">
        <v>1</v>
      </c>
      <c r="J672" s="92">
        <v>-65</v>
      </c>
      <c r="K672" s="90" t="s">
        <v>235</v>
      </c>
      <c r="L672" s="90"/>
    </row>
    <row r="673" spans="1:12" ht="15" customHeight="1" outlineLevel="1" x14ac:dyDescent="0.3">
      <c r="A673" s="101" t="s">
        <v>683</v>
      </c>
      <c r="B673" s="90" t="s">
        <v>744</v>
      </c>
      <c r="C673" s="90" t="s">
        <v>744</v>
      </c>
      <c r="D673" s="90" t="s">
        <v>137</v>
      </c>
      <c r="E673" s="91">
        <v>46129</v>
      </c>
      <c r="F673" s="30">
        <v>19</v>
      </c>
      <c r="G673" s="91">
        <v>46181</v>
      </c>
      <c r="H673" s="91"/>
      <c r="I673" s="90">
        <v>1</v>
      </c>
      <c r="J673" s="92">
        <v>-52</v>
      </c>
      <c r="K673" s="90" t="s">
        <v>235</v>
      </c>
      <c r="L673" s="90"/>
    </row>
    <row r="674" spans="1:12" ht="15" customHeight="1" outlineLevel="1" x14ac:dyDescent="0.3">
      <c r="A674" s="101" t="s">
        <v>683</v>
      </c>
      <c r="B674" s="90" t="s">
        <v>744</v>
      </c>
      <c r="C674" s="90" t="s">
        <v>744</v>
      </c>
      <c r="D674" s="90" t="s">
        <v>137</v>
      </c>
      <c r="E674" s="91">
        <v>46143</v>
      </c>
      <c r="F674" s="30">
        <v>20</v>
      </c>
      <c r="G674" s="91">
        <v>46181</v>
      </c>
      <c r="H674" s="91"/>
      <c r="I674" s="90">
        <v>1</v>
      </c>
      <c r="J674" s="92">
        <v>-38</v>
      </c>
      <c r="K674" s="90" t="s">
        <v>236</v>
      </c>
      <c r="L674" s="90"/>
    </row>
    <row r="675" spans="1:12" ht="15" customHeight="1" outlineLevel="1" x14ac:dyDescent="0.3">
      <c r="A675" s="101" t="s">
        <v>683</v>
      </c>
      <c r="B675" s="90" t="s">
        <v>744</v>
      </c>
      <c r="C675" s="90" t="s">
        <v>744</v>
      </c>
      <c r="D675" s="90" t="s">
        <v>137</v>
      </c>
      <c r="E675" s="91">
        <v>46151</v>
      </c>
      <c r="F675" s="30">
        <v>20</v>
      </c>
      <c r="G675" s="91">
        <v>46181</v>
      </c>
      <c r="H675" s="91"/>
      <c r="I675" s="90">
        <v>1</v>
      </c>
      <c r="J675" s="92">
        <v>-30</v>
      </c>
      <c r="K675" s="90" t="s">
        <v>236</v>
      </c>
      <c r="L675" s="90"/>
    </row>
    <row r="676" spans="1:12" ht="15" customHeight="1" outlineLevel="1" x14ac:dyDescent="0.3">
      <c r="A676" s="101" t="s">
        <v>683</v>
      </c>
      <c r="B676" s="90" t="s">
        <v>744</v>
      </c>
      <c r="C676" s="90" t="s">
        <v>744</v>
      </c>
      <c r="D676" s="90" t="s">
        <v>137</v>
      </c>
      <c r="E676" s="91">
        <v>46160</v>
      </c>
      <c r="F676" s="30">
        <v>16</v>
      </c>
      <c r="G676" s="91">
        <v>46181</v>
      </c>
      <c r="H676" s="91"/>
      <c r="I676" s="90">
        <v>1</v>
      </c>
      <c r="J676" s="92">
        <v>-21</v>
      </c>
      <c r="K676" s="90" t="s">
        <v>236</v>
      </c>
      <c r="L676" s="90"/>
    </row>
    <row r="677" spans="1:12" ht="15" customHeight="1" x14ac:dyDescent="0.3">
      <c r="A677" s="101" t="s">
        <v>684</v>
      </c>
      <c r="B677" s="90" t="s">
        <v>745</v>
      </c>
      <c r="C677" s="90" t="s">
        <v>745</v>
      </c>
      <c r="D677" s="90" t="s">
        <v>137</v>
      </c>
      <c r="E677" s="91">
        <v>46004</v>
      </c>
      <c r="F677" s="30">
        <v>26</v>
      </c>
      <c r="G677" s="91">
        <v>45878</v>
      </c>
      <c r="H677" s="91"/>
      <c r="I677" s="90">
        <v>1</v>
      </c>
      <c r="J677" s="92">
        <v>126</v>
      </c>
      <c r="K677" s="90" t="s">
        <v>231</v>
      </c>
      <c r="L677" s="90"/>
    </row>
    <row r="678" spans="1:12" ht="15" customHeight="1" outlineLevel="1" x14ac:dyDescent="0.3">
      <c r="A678" s="101" t="s">
        <v>684</v>
      </c>
      <c r="B678" s="90" t="s">
        <v>745</v>
      </c>
      <c r="C678" s="90" t="s">
        <v>745</v>
      </c>
      <c r="D678" s="90" t="s">
        <v>137</v>
      </c>
      <c r="E678" s="91">
        <v>46012</v>
      </c>
      <c r="F678" s="30">
        <v>23.5</v>
      </c>
      <c r="G678" s="91">
        <v>45878</v>
      </c>
      <c r="H678" s="91"/>
      <c r="I678" s="90">
        <v>1</v>
      </c>
      <c r="J678" s="92">
        <v>134</v>
      </c>
      <c r="K678" s="90" t="s">
        <v>231</v>
      </c>
      <c r="L678" s="90"/>
    </row>
    <row r="679" spans="1:12" ht="15" customHeight="1" outlineLevel="1" x14ac:dyDescent="0.3">
      <c r="A679" s="101" t="s">
        <v>684</v>
      </c>
      <c r="B679" s="90" t="s">
        <v>745</v>
      </c>
      <c r="C679" s="90" t="s">
        <v>745</v>
      </c>
      <c r="D679" s="90" t="s">
        <v>137</v>
      </c>
      <c r="E679" s="91">
        <v>46020</v>
      </c>
      <c r="F679" s="30">
        <v>23</v>
      </c>
      <c r="G679" s="91">
        <v>45878</v>
      </c>
      <c r="H679" s="91"/>
      <c r="I679" s="90">
        <v>1</v>
      </c>
      <c r="J679" s="92">
        <v>142</v>
      </c>
      <c r="K679" s="90" t="s">
        <v>231</v>
      </c>
      <c r="L679" s="90"/>
    </row>
    <row r="680" spans="1:12" ht="15" customHeight="1" outlineLevel="1" x14ac:dyDescent="0.3">
      <c r="A680" s="101" t="s">
        <v>684</v>
      </c>
      <c r="B680" s="90" t="s">
        <v>745</v>
      </c>
      <c r="C680" s="90" t="s">
        <v>745</v>
      </c>
      <c r="D680" s="90" t="s">
        <v>137</v>
      </c>
      <c r="E680" s="91">
        <v>46026</v>
      </c>
      <c r="F680" s="30">
        <v>22</v>
      </c>
      <c r="G680" s="91">
        <v>45878</v>
      </c>
      <c r="H680" s="91"/>
      <c r="I680" s="90">
        <v>1</v>
      </c>
      <c r="J680" s="92">
        <v>148</v>
      </c>
      <c r="K680" s="90" t="s">
        <v>232</v>
      </c>
      <c r="L680" s="90"/>
    </row>
    <row r="681" spans="1:12" ht="15" customHeight="1" outlineLevel="1" x14ac:dyDescent="0.3">
      <c r="A681" s="101" t="s">
        <v>684</v>
      </c>
      <c r="B681" s="90" t="s">
        <v>745</v>
      </c>
      <c r="C681" s="90" t="s">
        <v>745</v>
      </c>
      <c r="D681" s="90" t="s">
        <v>137</v>
      </c>
      <c r="E681" s="91">
        <v>46032</v>
      </c>
      <c r="F681" s="30">
        <v>24</v>
      </c>
      <c r="G681" s="91">
        <v>45878</v>
      </c>
      <c r="H681" s="91"/>
      <c r="I681" s="90">
        <v>1</v>
      </c>
      <c r="J681" s="92">
        <v>154</v>
      </c>
      <c r="K681" s="90" t="s">
        <v>232</v>
      </c>
      <c r="L681" s="90"/>
    </row>
    <row r="682" spans="1:12" ht="15" customHeight="1" outlineLevel="1" x14ac:dyDescent="0.3">
      <c r="A682" s="101" t="s">
        <v>684</v>
      </c>
      <c r="B682" s="90" t="s">
        <v>745</v>
      </c>
      <c r="C682" s="90" t="s">
        <v>745</v>
      </c>
      <c r="D682" s="90" t="s">
        <v>137</v>
      </c>
      <c r="E682" s="91">
        <v>46038</v>
      </c>
      <c r="F682" s="30">
        <v>20</v>
      </c>
      <c r="G682" s="91">
        <v>45878</v>
      </c>
      <c r="H682" s="91"/>
      <c r="I682" s="90">
        <v>1</v>
      </c>
      <c r="J682" s="92">
        <v>160</v>
      </c>
      <c r="K682" s="90" t="s">
        <v>232</v>
      </c>
      <c r="L682" s="90"/>
    </row>
    <row r="683" spans="1:12" ht="15" customHeight="1" outlineLevel="1" x14ac:dyDescent="0.3">
      <c r="A683" s="101" t="s">
        <v>684</v>
      </c>
      <c r="B683" s="90" t="s">
        <v>745</v>
      </c>
      <c r="C683" s="90" t="s">
        <v>745</v>
      </c>
      <c r="D683" s="90" t="s">
        <v>137</v>
      </c>
      <c r="E683" s="91">
        <v>46045</v>
      </c>
      <c r="F683" s="30">
        <v>24</v>
      </c>
      <c r="G683" s="91">
        <v>45878</v>
      </c>
      <c r="H683" s="91"/>
      <c r="I683" s="90">
        <v>1</v>
      </c>
      <c r="J683" s="92">
        <v>167</v>
      </c>
      <c r="K683" s="90" t="s">
        <v>232</v>
      </c>
      <c r="L683" s="90"/>
    </row>
    <row r="684" spans="1:12" ht="15" customHeight="1" outlineLevel="1" x14ac:dyDescent="0.3">
      <c r="A684" s="101" t="s">
        <v>684</v>
      </c>
      <c r="B684" s="90" t="s">
        <v>745</v>
      </c>
      <c r="C684" s="90" t="s">
        <v>745</v>
      </c>
      <c r="D684" s="90" t="s">
        <v>137</v>
      </c>
      <c r="E684" s="91">
        <v>46052</v>
      </c>
      <c r="F684" s="30">
        <v>23</v>
      </c>
      <c r="G684" s="91">
        <v>45878</v>
      </c>
      <c r="H684" s="91"/>
      <c r="I684" s="90">
        <v>1</v>
      </c>
      <c r="J684" s="92">
        <v>174</v>
      </c>
      <c r="K684" s="90" t="s">
        <v>232</v>
      </c>
      <c r="L684" s="90"/>
    </row>
    <row r="685" spans="1:12" ht="15" customHeight="1" outlineLevel="1" x14ac:dyDescent="0.3">
      <c r="A685" s="101" t="s">
        <v>684</v>
      </c>
      <c r="B685" s="90" t="s">
        <v>745</v>
      </c>
      <c r="C685" s="90" t="s">
        <v>745</v>
      </c>
      <c r="D685" s="90" t="s">
        <v>137</v>
      </c>
      <c r="E685" s="91">
        <v>46071</v>
      </c>
      <c r="F685" s="30">
        <v>23</v>
      </c>
      <c r="G685" s="91">
        <v>45878</v>
      </c>
      <c r="H685" s="91"/>
      <c r="I685" s="90">
        <v>1</v>
      </c>
      <c r="J685" s="92">
        <v>193</v>
      </c>
      <c r="K685" s="90" t="s">
        <v>233</v>
      </c>
      <c r="L685" s="90"/>
    </row>
    <row r="686" spans="1:12" ht="15" customHeight="1" outlineLevel="1" x14ac:dyDescent="0.3">
      <c r="A686" s="101" t="s">
        <v>684</v>
      </c>
      <c r="B686" s="90" t="s">
        <v>745</v>
      </c>
      <c r="C686" s="90" t="s">
        <v>745</v>
      </c>
      <c r="D686" s="90" t="s">
        <v>137</v>
      </c>
      <c r="E686" s="91">
        <v>46102</v>
      </c>
      <c r="F686" s="30">
        <v>27</v>
      </c>
      <c r="G686" s="91">
        <v>45878</v>
      </c>
      <c r="H686" s="91"/>
      <c r="I686" s="90">
        <v>1</v>
      </c>
      <c r="J686" s="92">
        <v>224</v>
      </c>
      <c r="K686" s="90" t="s">
        <v>234</v>
      </c>
      <c r="L686" s="90"/>
    </row>
    <row r="687" spans="1:12" ht="15" customHeight="1" outlineLevel="1" x14ac:dyDescent="0.3">
      <c r="A687" s="101" t="s">
        <v>684</v>
      </c>
      <c r="B687" s="90" t="s">
        <v>745</v>
      </c>
      <c r="C687" s="90" t="s">
        <v>745</v>
      </c>
      <c r="D687" s="90" t="s">
        <v>137</v>
      </c>
      <c r="E687" s="91">
        <v>46116</v>
      </c>
      <c r="F687" s="30">
        <v>23</v>
      </c>
      <c r="G687" s="91">
        <v>45878</v>
      </c>
      <c r="H687" s="91"/>
      <c r="I687" s="90">
        <v>1</v>
      </c>
      <c r="J687" s="92">
        <v>238</v>
      </c>
      <c r="K687" s="90" t="s">
        <v>235</v>
      </c>
      <c r="L687" s="90"/>
    </row>
    <row r="688" spans="1:12" ht="15" customHeight="1" outlineLevel="1" x14ac:dyDescent="0.3">
      <c r="A688" s="101" t="s">
        <v>684</v>
      </c>
      <c r="B688" s="90" t="s">
        <v>745</v>
      </c>
      <c r="C688" s="90" t="s">
        <v>745</v>
      </c>
      <c r="D688" s="90" t="s">
        <v>137</v>
      </c>
      <c r="E688" s="91">
        <v>46129</v>
      </c>
      <c r="F688" s="30">
        <v>21</v>
      </c>
      <c r="G688" s="91">
        <v>45878</v>
      </c>
      <c r="H688" s="91"/>
      <c r="I688" s="90">
        <v>1</v>
      </c>
      <c r="J688" s="92">
        <v>251</v>
      </c>
      <c r="K688" s="90" t="s">
        <v>235</v>
      </c>
      <c r="L688" s="90"/>
    </row>
    <row r="689" spans="1:12" ht="15" customHeight="1" outlineLevel="1" x14ac:dyDescent="0.3">
      <c r="A689" s="101" t="s">
        <v>684</v>
      </c>
      <c r="B689" s="90" t="s">
        <v>745</v>
      </c>
      <c r="C689" s="90" t="s">
        <v>745</v>
      </c>
      <c r="D689" s="90" t="s">
        <v>137</v>
      </c>
      <c r="E689" s="91">
        <v>46143</v>
      </c>
      <c r="F689" s="30">
        <v>20</v>
      </c>
      <c r="G689" s="91">
        <v>45878</v>
      </c>
      <c r="H689" s="91"/>
      <c r="I689" s="90">
        <v>1</v>
      </c>
      <c r="J689" s="92">
        <v>265</v>
      </c>
      <c r="K689" s="90" t="s">
        <v>236</v>
      </c>
      <c r="L689" s="90"/>
    </row>
    <row r="690" spans="1:12" ht="15" customHeight="1" outlineLevel="1" x14ac:dyDescent="0.3">
      <c r="A690" s="101" t="s">
        <v>684</v>
      </c>
      <c r="B690" s="90" t="s">
        <v>745</v>
      </c>
      <c r="C690" s="90" t="s">
        <v>745</v>
      </c>
      <c r="D690" s="90" t="s">
        <v>137</v>
      </c>
      <c r="E690" s="91">
        <v>46151</v>
      </c>
      <c r="F690" s="30">
        <v>24</v>
      </c>
      <c r="G690" s="91">
        <v>45878</v>
      </c>
      <c r="H690" s="91"/>
      <c r="I690" s="90">
        <v>1</v>
      </c>
      <c r="J690" s="92">
        <v>273</v>
      </c>
      <c r="K690" s="90" t="s">
        <v>236</v>
      </c>
      <c r="L690" s="90"/>
    </row>
    <row r="691" spans="1:12" ht="15" customHeight="1" outlineLevel="1" x14ac:dyDescent="0.3">
      <c r="A691" s="101" t="s">
        <v>684</v>
      </c>
      <c r="B691" s="90" t="s">
        <v>745</v>
      </c>
      <c r="C691" s="90" t="s">
        <v>745</v>
      </c>
      <c r="D691" s="90" t="s">
        <v>137</v>
      </c>
      <c r="E691" s="91">
        <v>46160</v>
      </c>
      <c r="F691" s="30">
        <v>26</v>
      </c>
      <c r="G691" s="91">
        <v>45878</v>
      </c>
      <c r="H691" s="91"/>
      <c r="I691" s="90">
        <v>1</v>
      </c>
      <c r="J691" s="92">
        <v>282</v>
      </c>
      <c r="K691" s="90" t="s">
        <v>236</v>
      </c>
      <c r="L691" s="90"/>
    </row>
    <row r="692" spans="1:12" ht="15" customHeight="1" outlineLevel="1" x14ac:dyDescent="0.3">
      <c r="A692" s="101" t="s">
        <v>684</v>
      </c>
      <c r="B692" s="90" t="s">
        <v>745</v>
      </c>
      <c r="C692" s="90" t="s">
        <v>745</v>
      </c>
      <c r="D692" s="90" t="s">
        <v>137</v>
      </c>
      <c r="E692" s="91">
        <v>46186</v>
      </c>
      <c r="F692" s="30">
        <v>21</v>
      </c>
      <c r="G692" s="91">
        <v>45878</v>
      </c>
      <c r="H692" s="91"/>
      <c r="I692" s="90">
        <v>1</v>
      </c>
      <c r="J692" s="92">
        <v>308</v>
      </c>
      <c r="K692" s="90" t="s">
        <v>237</v>
      </c>
      <c r="L692" s="90"/>
    </row>
    <row r="693" spans="1:12" ht="15" customHeight="1" x14ac:dyDescent="0.3">
      <c r="A693" s="101" t="s">
        <v>685</v>
      </c>
      <c r="B693" s="90" t="s">
        <v>746</v>
      </c>
      <c r="C693" s="90" t="s">
        <v>746</v>
      </c>
      <c r="D693" s="90" t="s">
        <v>137</v>
      </c>
      <c r="E693" s="91">
        <v>46004</v>
      </c>
      <c r="F693" s="30">
        <v>31</v>
      </c>
      <c r="G693" s="91">
        <v>45889</v>
      </c>
      <c r="H693" s="91"/>
      <c r="I693" s="90">
        <v>1</v>
      </c>
      <c r="J693" s="92">
        <v>115</v>
      </c>
      <c r="K693" s="90" t="s">
        <v>231</v>
      </c>
      <c r="L693" s="90"/>
    </row>
    <row r="694" spans="1:12" ht="15" customHeight="1" outlineLevel="1" x14ac:dyDescent="0.3">
      <c r="A694" s="101" t="s">
        <v>685</v>
      </c>
      <c r="B694" s="90" t="s">
        <v>746</v>
      </c>
      <c r="C694" s="90" t="s">
        <v>746</v>
      </c>
      <c r="D694" s="90" t="s">
        <v>137</v>
      </c>
      <c r="E694" s="91">
        <v>46012</v>
      </c>
      <c r="F694" s="30">
        <v>31.5</v>
      </c>
      <c r="G694" s="91">
        <v>45889</v>
      </c>
      <c r="H694" s="91"/>
      <c r="I694" s="90">
        <v>1</v>
      </c>
      <c r="J694" s="92">
        <v>123</v>
      </c>
      <c r="K694" s="90" t="s">
        <v>231</v>
      </c>
      <c r="L694" s="90"/>
    </row>
    <row r="695" spans="1:12" ht="15" customHeight="1" outlineLevel="1" x14ac:dyDescent="0.3">
      <c r="A695" s="101" t="s">
        <v>685</v>
      </c>
      <c r="B695" s="90" t="s">
        <v>746</v>
      </c>
      <c r="C695" s="90" t="s">
        <v>746</v>
      </c>
      <c r="D695" s="90" t="s">
        <v>137</v>
      </c>
      <c r="E695" s="91">
        <v>46020</v>
      </c>
      <c r="F695" s="30">
        <v>29.4</v>
      </c>
      <c r="G695" s="91">
        <v>45889</v>
      </c>
      <c r="H695" s="91"/>
      <c r="I695" s="90">
        <v>1</v>
      </c>
      <c r="J695" s="92">
        <v>131</v>
      </c>
      <c r="K695" s="90" t="s">
        <v>231</v>
      </c>
      <c r="L695" s="90"/>
    </row>
    <row r="696" spans="1:12" ht="15" customHeight="1" outlineLevel="1" x14ac:dyDescent="0.3">
      <c r="A696" s="101" t="s">
        <v>685</v>
      </c>
      <c r="B696" s="90" t="s">
        <v>746</v>
      </c>
      <c r="C696" s="90" t="s">
        <v>746</v>
      </c>
      <c r="D696" s="90" t="s">
        <v>137</v>
      </c>
      <c r="E696" s="91">
        <v>46026</v>
      </c>
      <c r="F696" s="30">
        <v>30</v>
      </c>
      <c r="G696" s="91">
        <v>45889</v>
      </c>
      <c r="H696" s="91"/>
      <c r="I696" s="90">
        <v>1</v>
      </c>
      <c r="J696" s="92">
        <v>137</v>
      </c>
      <c r="K696" s="90" t="s">
        <v>232</v>
      </c>
      <c r="L696" s="90"/>
    </row>
    <row r="697" spans="1:12" ht="15" customHeight="1" outlineLevel="1" x14ac:dyDescent="0.3">
      <c r="A697" s="101" t="s">
        <v>685</v>
      </c>
      <c r="B697" s="90" t="s">
        <v>746</v>
      </c>
      <c r="C697" s="90" t="s">
        <v>746</v>
      </c>
      <c r="D697" s="90" t="s">
        <v>137</v>
      </c>
      <c r="E697" s="91">
        <v>46032</v>
      </c>
      <c r="F697" s="30">
        <v>28</v>
      </c>
      <c r="G697" s="91">
        <v>45889</v>
      </c>
      <c r="H697" s="91"/>
      <c r="I697" s="90">
        <v>1</v>
      </c>
      <c r="J697" s="92">
        <v>143</v>
      </c>
      <c r="K697" s="90" t="s">
        <v>232</v>
      </c>
      <c r="L697" s="90"/>
    </row>
    <row r="698" spans="1:12" ht="15" customHeight="1" outlineLevel="1" x14ac:dyDescent="0.3">
      <c r="A698" s="101" t="s">
        <v>685</v>
      </c>
      <c r="B698" s="90" t="s">
        <v>746</v>
      </c>
      <c r="C698" s="90" t="s">
        <v>746</v>
      </c>
      <c r="D698" s="90" t="s">
        <v>137</v>
      </c>
      <c r="E698" s="91">
        <v>46038</v>
      </c>
      <c r="F698" s="30">
        <v>29</v>
      </c>
      <c r="G698" s="91">
        <v>45889</v>
      </c>
      <c r="H698" s="91"/>
      <c r="I698" s="90">
        <v>1</v>
      </c>
      <c r="J698" s="92">
        <v>149</v>
      </c>
      <c r="K698" s="90" t="s">
        <v>232</v>
      </c>
      <c r="L698" s="90"/>
    </row>
    <row r="699" spans="1:12" ht="15" customHeight="1" outlineLevel="1" x14ac:dyDescent="0.3">
      <c r="A699" s="101" t="s">
        <v>685</v>
      </c>
      <c r="B699" s="90" t="s">
        <v>746</v>
      </c>
      <c r="C699" s="90" t="s">
        <v>746</v>
      </c>
      <c r="D699" s="90" t="s">
        <v>137</v>
      </c>
      <c r="E699" s="91">
        <v>46045</v>
      </c>
      <c r="F699" s="30">
        <v>26</v>
      </c>
      <c r="G699" s="91">
        <v>45889</v>
      </c>
      <c r="H699" s="91"/>
      <c r="I699" s="90">
        <v>1</v>
      </c>
      <c r="J699" s="92">
        <v>156</v>
      </c>
      <c r="K699" s="90" t="s">
        <v>232</v>
      </c>
      <c r="L699" s="90"/>
    </row>
    <row r="700" spans="1:12" ht="15" customHeight="1" outlineLevel="1" x14ac:dyDescent="0.3">
      <c r="A700" s="101" t="s">
        <v>685</v>
      </c>
      <c r="B700" s="90" t="s">
        <v>746</v>
      </c>
      <c r="C700" s="90" t="s">
        <v>746</v>
      </c>
      <c r="D700" s="90" t="s">
        <v>137</v>
      </c>
      <c r="E700" s="91">
        <v>46052</v>
      </c>
      <c r="F700" s="30">
        <v>29</v>
      </c>
      <c r="G700" s="91">
        <v>45889</v>
      </c>
      <c r="H700" s="91"/>
      <c r="I700" s="90">
        <v>1</v>
      </c>
      <c r="J700" s="92">
        <v>163</v>
      </c>
      <c r="K700" s="90" t="s">
        <v>232</v>
      </c>
      <c r="L700" s="90"/>
    </row>
    <row r="701" spans="1:12" ht="15" customHeight="1" outlineLevel="1" x14ac:dyDescent="0.3">
      <c r="A701" s="101" t="s">
        <v>685</v>
      </c>
      <c r="B701" s="90" t="s">
        <v>746</v>
      </c>
      <c r="C701" s="90" t="s">
        <v>746</v>
      </c>
      <c r="D701" s="90" t="s">
        <v>137</v>
      </c>
      <c r="E701" s="91">
        <v>46071</v>
      </c>
      <c r="F701" s="30">
        <v>29</v>
      </c>
      <c r="G701" s="91">
        <v>45889</v>
      </c>
      <c r="H701" s="91"/>
      <c r="I701" s="90">
        <v>1</v>
      </c>
      <c r="J701" s="92">
        <v>182</v>
      </c>
      <c r="K701" s="90" t="s">
        <v>233</v>
      </c>
      <c r="L701" s="90"/>
    </row>
    <row r="702" spans="1:12" ht="15" customHeight="1" outlineLevel="1" x14ac:dyDescent="0.3">
      <c r="A702" s="101" t="s">
        <v>685</v>
      </c>
      <c r="B702" s="90" t="s">
        <v>746</v>
      </c>
      <c r="C702" s="90" t="s">
        <v>746</v>
      </c>
      <c r="D702" s="90" t="s">
        <v>137</v>
      </c>
      <c r="E702" s="91">
        <v>46102</v>
      </c>
      <c r="F702" s="30">
        <v>27</v>
      </c>
      <c r="G702" s="91">
        <v>45889</v>
      </c>
      <c r="H702" s="91"/>
      <c r="I702" s="90">
        <v>1</v>
      </c>
      <c r="J702" s="92">
        <v>213</v>
      </c>
      <c r="K702" s="90" t="s">
        <v>234</v>
      </c>
      <c r="L702" s="90"/>
    </row>
    <row r="703" spans="1:12" ht="15" customHeight="1" outlineLevel="1" x14ac:dyDescent="0.3">
      <c r="A703" s="101" t="s">
        <v>685</v>
      </c>
      <c r="B703" s="90" t="s">
        <v>746</v>
      </c>
      <c r="C703" s="90" t="s">
        <v>746</v>
      </c>
      <c r="D703" s="90" t="s">
        <v>137</v>
      </c>
      <c r="E703" s="91">
        <v>46116</v>
      </c>
      <c r="F703" s="30">
        <v>27</v>
      </c>
      <c r="G703" s="91">
        <v>45889</v>
      </c>
      <c r="H703" s="91"/>
      <c r="I703" s="90">
        <v>1</v>
      </c>
      <c r="J703" s="92">
        <v>227</v>
      </c>
      <c r="K703" s="90" t="s">
        <v>235</v>
      </c>
      <c r="L703" s="90"/>
    </row>
    <row r="704" spans="1:12" ht="15" customHeight="1" outlineLevel="1" x14ac:dyDescent="0.3">
      <c r="A704" s="101" t="s">
        <v>685</v>
      </c>
      <c r="B704" s="90" t="s">
        <v>746</v>
      </c>
      <c r="C704" s="90" t="s">
        <v>746</v>
      </c>
      <c r="D704" s="90" t="s">
        <v>137</v>
      </c>
      <c r="E704" s="91">
        <v>46129</v>
      </c>
      <c r="F704" s="30">
        <v>27</v>
      </c>
      <c r="G704" s="91">
        <v>45889</v>
      </c>
      <c r="H704" s="91"/>
      <c r="I704" s="90">
        <v>1</v>
      </c>
      <c r="J704" s="92">
        <v>240</v>
      </c>
      <c r="K704" s="90" t="s">
        <v>235</v>
      </c>
      <c r="L704" s="90"/>
    </row>
    <row r="705" spans="1:12" ht="15" customHeight="1" outlineLevel="1" x14ac:dyDescent="0.3">
      <c r="A705" s="101" t="s">
        <v>685</v>
      </c>
      <c r="B705" s="90" t="s">
        <v>746</v>
      </c>
      <c r="C705" s="90" t="s">
        <v>746</v>
      </c>
      <c r="D705" s="90" t="s">
        <v>137</v>
      </c>
      <c r="E705" s="91">
        <v>46143</v>
      </c>
      <c r="F705" s="30">
        <v>27</v>
      </c>
      <c r="G705" s="91">
        <v>45889</v>
      </c>
      <c r="H705" s="91"/>
      <c r="I705" s="90">
        <v>1</v>
      </c>
      <c r="J705" s="92">
        <v>254</v>
      </c>
      <c r="K705" s="90" t="s">
        <v>236</v>
      </c>
      <c r="L705" s="90"/>
    </row>
    <row r="706" spans="1:12" ht="15" customHeight="1" outlineLevel="1" x14ac:dyDescent="0.3">
      <c r="A706" s="101" t="s">
        <v>685</v>
      </c>
      <c r="B706" s="90" t="s">
        <v>746</v>
      </c>
      <c r="C706" s="90" t="s">
        <v>746</v>
      </c>
      <c r="D706" s="90" t="s">
        <v>137</v>
      </c>
      <c r="E706" s="91">
        <v>46151</v>
      </c>
      <c r="F706" s="30">
        <v>32</v>
      </c>
      <c r="G706" s="91">
        <v>45889</v>
      </c>
      <c r="H706" s="91"/>
      <c r="I706" s="90">
        <v>1</v>
      </c>
      <c r="J706" s="92">
        <v>262</v>
      </c>
      <c r="K706" s="90" t="s">
        <v>236</v>
      </c>
      <c r="L706" s="90"/>
    </row>
    <row r="707" spans="1:12" ht="15" customHeight="1" outlineLevel="1" x14ac:dyDescent="0.3">
      <c r="A707" s="101" t="s">
        <v>685</v>
      </c>
      <c r="B707" s="90" t="s">
        <v>746</v>
      </c>
      <c r="C707" s="90" t="s">
        <v>746</v>
      </c>
      <c r="D707" s="90" t="s">
        <v>137</v>
      </c>
      <c r="E707" s="91">
        <v>46160</v>
      </c>
      <c r="F707" s="30">
        <v>32</v>
      </c>
      <c r="G707" s="91">
        <v>45889</v>
      </c>
      <c r="H707" s="91"/>
      <c r="I707" s="90">
        <v>1</v>
      </c>
      <c r="J707" s="92">
        <v>271</v>
      </c>
      <c r="K707" s="90" t="s">
        <v>236</v>
      </c>
      <c r="L707" s="90"/>
    </row>
    <row r="708" spans="1:12" ht="15" customHeight="1" outlineLevel="1" x14ac:dyDescent="0.3">
      <c r="A708" s="101" t="s">
        <v>685</v>
      </c>
      <c r="B708" s="90" t="s">
        <v>746</v>
      </c>
      <c r="C708" s="90" t="s">
        <v>746</v>
      </c>
      <c r="D708" s="90" t="s">
        <v>137</v>
      </c>
      <c r="E708" s="91">
        <v>46186</v>
      </c>
      <c r="F708" s="30">
        <v>28</v>
      </c>
      <c r="G708" s="91">
        <v>45889</v>
      </c>
      <c r="H708" s="91"/>
      <c r="I708" s="90">
        <v>1</v>
      </c>
      <c r="J708" s="92">
        <v>297</v>
      </c>
      <c r="K708" s="90" t="s">
        <v>237</v>
      </c>
      <c r="L708" s="90"/>
    </row>
    <row r="709" spans="1:12" ht="15" customHeight="1" x14ac:dyDescent="0.3">
      <c r="A709" s="101" t="s">
        <v>686</v>
      </c>
      <c r="B709" s="90" t="s">
        <v>747</v>
      </c>
      <c r="C709" s="90" t="s">
        <v>747</v>
      </c>
      <c r="D709" s="90" t="s">
        <v>137</v>
      </c>
      <c r="E709" s="91">
        <v>46004</v>
      </c>
      <c r="F709" s="30">
        <v>21</v>
      </c>
      <c r="G709" s="91">
        <v>46079</v>
      </c>
      <c r="H709" s="91"/>
      <c r="I709" s="90">
        <v>1</v>
      </c>
      <c r="J709" s="92">
        <v>-75</v>
      </c>
      <c r="K709" s="90" t="s">
        <v>231</v>
      </c>
      <c r="L709" s="90"/>
    </row>
    <row r="710" spans="1:12" ht="15" customHeight="1" outlineLevel="1" x14ac:dyDescent="0.3">
      <c r="A710" s="101" t="s">
        <v>686</v>
      </c>
      <c r="B710" s="90" t="s">
        <v>747</v>
      </c>
      <c r="C710" s="90" t="s">
        <v>747</v>
      </c>
      <c r="D710" s="90" t="s">
        <v>137</v>
      </c>
      <c r="E710" s="91">
        <v>46012</v>
      </c>
      <c r="F710" s="30">
        <v>22</v>
      </c>
      <c r="G710" s="91">
        <v>46079</v>
      </c>
      <c r="H710" s="91"/>
      <c r="I710" s="90">
        <v>1</v>
      </c>
      <c r="J710" s="92">
        <v>-67</v>
      </c>
      <c r="K710" s="90" t="s">
        <v>231</v>
      </c>
      <c r="L710" s="90"/>
    </row>
    <row r="711" spans="1:12" ht="15" customHeight="1" outlineLevel="1" x14ac:dyDescent="0.3">
      <c r="A711" s="101" t="s">
        <v>686</v>
      </c>
      <c r="B711" s="90" t="s">
        <v>747</v>
      </c>
      <c r="C711" s="90" t="s">
        <v>747</v>
      </c>
      <c r="D711" s="90" t="s">
        <v>137</v>
      </c>
      <c r="E711" s="91">
        <v>46020</v>
      </c>
      <c r="F711" s="30">
        <v>21</v>
      </c>
      <c r="G711" s="91">
        <v>46079</v>
      </c>
      <c r="H711" s="91"/>
      <c r="I711" s="90">
        <v>1</v>
      </c>
      <c r="J711" s="92">
        <v>-59</v>
      </c>
      <c r="K711" s="90" t="s">
        <v>231</v>
      </c>
      <c r="L711" s="90"/>
    </row>
    <row r="712" spans="1:12" ht="15" customHeight="1" outlineLevel="1" x14ac:dyDescent="0.3">
      <c r="A712" s="101" t="s">
        <v>686</v>
      </c>
      <c r="B712" s="90" t="s">
        <v>747</v>
      </c>
      <c r="C712" s="90" t="s">
        <v>747</v>
      </c>
      <c r="D712" s="90" t="s">
        <v>137</v>
      </c>
      <c r="E712" s="91">
        <v>46026</v>
      </c>
      <c r="F712" s="30">
        <v>24</v>
      </c>
      <c r="G712" s="91">
        <v>46079</v>
      </c>
      <c r="H712" s="91"/>
      <c r="I712" s="90">
        <v>1</v>
      </c>
      <c r="J712" s="92">
        <v>-53</v>
      </c>
      <c r="K712" s="90" t="s">
        <v>232</v>
      </c>
      <c r="L712" s="90"/>
    </row>
    <row r="713" spans="1:12" ht="15" customHeight="1" outlineLevel="1" x14ac:dyDescent="0.3">
      <c r="A713" s="101" t="s">
        <v>686</v>
      </c>
      <c r="B713" s="90" t="s">
        <v>747</v>
      </c>
      <c r="C713" s="90" t="s">
        <v>747</v>
      </c>
      <c r="D713" s="90" t="s">
        <v>137</v>
      </c>
      <c r="E713" s="91">
        <v>46032</v>
      </c>
      <c r="F713" s="30">
        <v>23</v>
      </c>
      <c r="G713" s="91">
        <v>46079</v>
      </c>
      <c r="H713" s="91"/>
      <c r="I713" s="90">
        <v>1</v>
      </c>
      <c r="J713" s="92">
        <v>-47</v>
      </c>
      <c r="K713" s="90" t="s">
        <v>232</v>
      </c>
      <c r="L713" s="90"/>
    </row>
    <row r="714" spans="1:12" ht="15" customHeight="1" outlineLevel="1" x14ac:dyDescent="0.3">
      <c r="A714" s="101" t="s">
        <v>686</v>
      </c>
      <c r="B714" s="90" t="s">
        <v>747</v>
      </c>
      <c r="C714" s="90" t="s">
        <v>747</v>
      </c>
      <c r="D714" s="90" t="s">
        <v>137</v>
      </c>
      <c r="E714" s="91">
        <v>46038</v>
      </c>
      <c r="F714" s="30">
        <v>18</v>
      </c>
      <c r="G714" s="91">
        <v>46079</v>
      </c>
      <c r="H714" s="91"/>
      <c r="I714" s="90">
        <v>1</v>
      </c>
      <c r="J714" s="92">
        <v>-41</v>
      </c>
      <c r="K714" s="90" t="s">
        <v>232</v>
      </c>
      <c r="L714" s="90"/>
    </row>
    <row r="715" spans="1:12" ht="15" customHeight="1" outlineLevel="1" x14ac:dyDescent="0.3">
      <c r="A715" s="101" t="s">
        <v>686</v>
      </c>
      <c r="B715" s="90" t="s">
        <v>747</v>
      </c>
      <c r="C715" s="90" t="s">
        <v>747</v>
      </c>
      <c r="D715" s="90" t="s">
        <v>137</v>
      </c>
      <c r="E715" s="91">
        <v>46045</v>
      </c>
      <c r="F715" s="30">
        <v>19</v>
      </c>
      <c r="G715" s="91">
        <v>46079</v>
      </c>
      <c r="H715" s="91"/>
      <c r="I715" s="90">
        <v>1</v>
      </c>
      <c r="J715" s="92">
        <v>-34</v>
      </c>
      <c r="K715" s="90" t="s">
        <v>232</v>
      </c>
      <c r="L715" s="90"/>
    </row>
    <row r="716" spans="1:12" ht="15" customHeight="1" outlineLevel="1" x14ac:dyDescent="0.3">
      <c r="A716" s="101" t="s">
        <v>686</v>
      </c>
      <c r="B716" s="90" t="s">
        <v>747</v>
      </c>
      <c r="C716" s="90" t="s">
        <v>747</v>
      </c>
      <c r="D716" s="90" t="s">
        <v>137</v>
      </c>
      <c r="E716" s="91">
        <v>46052</v>
      </c>
      <c r="F716" s="30">
        <v>21</v>
      </c>
      <c r="G716" s="91">
        <v>46079</v>
      </c>
      <c r="H716" s="91"/>
      <c r="I716" s="90">
        <v>1</v>
      </c>
      <c r="J716" s="92">
        <v>-27</v>
      </c>
      <c r="K716" s="90" t="s">
        <v>232</v>
      </c>
      <c r="L716" s="90"/>
    </row>
    <row r="717" spans="1:12" ht="15" customHeight="1" outlineLevel="1" x14ac:dyDescent="0.3">
      <c r="A717" s="101" t="s">
        <v>686</v>
      </c>
      <c r="B717" s="90" t="s">
        <v>747</v>
      </c>
      <c r="C717" s="90" t="s">
        <v>747</v>
      </c>
      <c r="D717" s="90" t="s">
        <v>137</v>
      </c>
      <c r="E717" s="91">
        <v>46071</v>
      </c>
      <c r="F717" s="30">
        <v>19</v>
      </c>
      <c r="G717" s="91">
        <v>46079</v>
      </c>
      <c r="H717" s="91"/>
      <c r="I717" s="90">
        <v>1</v>
      </c>
      <c r="J717" s="92">
        <v>-8</v>
      </c>
      <c r="K717" s="90" t="s">
        <v>233</v>
      </c>
      <c r="L717" s="90"/>
    </row>
    <row r="718" spans="1:12" ht="15" customHeight="1" outlineLevel="1" x14ac:dyDescent="0.3">
      <c r="A718" s="101" t="s">
        <v>686</v>
      </c>
      <c r="B718" s="90" t="s">
        <v>747</v>
      </c>
      <c r="C718" s="90" t="s">
        <v>747</v>
      </c>
      <c r="D718" s="90" t="s">
        <v>137</v>
      </c>
      <c r="E718" s="91">
        <v>46102</v>
      </c>
      <c r="F718" s="30">
        <v>14</v>
      </c>
      <c r="G718" s="91">
        <v>46079</v>
      </c>
      <c r="H718" s="91"/>
      <c r="I718" s="90">
        <v>1</v>
      </c>
      <c r="J718" s="92">
        <v>23</v>
      </c>
      <c r="K718" s="90" t="s">
        <v>234</v>
      </c>
      <c r="L718" s="90"/>
    </row>
    <row r="719" spans="1:12" ht="15" customHeight="1" outlineLevel="1" x14ac:dyDescent="0.3">
      <c r="A719" s="101" t="s">
        <v>686</v>
      </c>
      <c r="B719" s="90" t="s">
        <v>747</v>
      </c>
      <c r="C719" s="90" t="s">
        <v>747</v>
      </c>
      <c r="D719" s="90" t="s">
        <v>137</v>
      </c>
      <c r="E719" s="91">
        <v>46116</v>
      </c>
      <c r="F719" s="30">
        <v>17</v>
      </c>
      <c r="G719" s="91">
        <v>46079</v>
      </c>
      <c r="H719" s="91"/>
      <c r="I719" s="90">
        <v>1</v>
      </c>
      <c r="J719" s="92">
        <v>37</v>
      </c>
      <c r="K719" s="90" t="s">
        <v>235</v>
      </c>
      <c r="L719" s="90"/>
    </row>
    <row r="720" spans="1:12" ht="15" customHeight="1" outlineLevel="1" x14ac:dyDescent="0.3">
      <c r="A720" s="101" t="s">
        <v>686</v>
      </c>
      <c r="B720" s="90" t="s">
        <v>747</v>
      </c>
      <c r="C720" s="90" t="s">
        <v>747</v>
      </c>
      <c r="D720" s="90" t="s">
        <v>137</v>
      </c>
      <c r="E720" s="91">
        <v>46129</v>
      </c>
      <c r="F720" s="30">
        <v>19</v>
      </c>
      <c r="G720" s="91">
        <v>46079</v>
      </c>
      <c r="H720" s="91"/>
      <c r="I720" s="90">
        <v>1</v>
      </c>
      <c r="J720" s="92">
        <v>50</v>
      </c>
      <c r="K720" s="90" t="s">
        <v>235</v>
      </c>
      <c r="L720" s="90"/>
    </row>
    <row r="721" spans="1:12" ht="15" customHeight="1" outlineLevel="1" x14ac:dyDescent="0.3">
      <c r="A721" s="101" t="s">
        <v>686</v>
      </c>
      <c r="B721" s="90" t="s">
        <v>747</v>
      </c>
      <c r="C721" s="90" t="s">
        <v>747</v>
      </c>
      <c r="D721" s="90" t="s">
        <v>137</v>
      </c>
      <c r="E721" s="91">
        <v>46143</v>
      </c>
      <c r="F721" s="30">
        <v>18</v>
      </c>
      <c r="G721" s="91">
        <v>46079</v>
      </c>
      <c r="H721" s="91"/>
      <c r="I721" s="90">
        <v>1</v>
      </c>
      <c r="J721" s="92">
        <v>64</v>
      </c>
      <c r="K721" s="90" t="s">
        <v>236</v>
      </c>
      <c r="L721" s="90"/>
    </row>
    <row r="722" spans="1:12" ht="15" customHeight="1" outlineLevel="1" x14ac:dyDescent="0.3">
      <c r="A722" s="101" t="s">
        <v>686</v>
      </c>
      <c r="B722" s="90" t="s">
        <v>747</v>
      </c>
      <c r="C722" s="90" t="s">
        <v>747</v>
      </c>
      <c r="D722" s="90" t="s">
        <v>137</v>
      </c>
      <c r="E722" s="91">
        <v>46151</v>
      </c>
      <c r="F722" s="30">
        <v>18</v>
      </c>
      <c r="G722" s="91">
        <v>46079</v>
      </c>
      <c r="H722" s="91"/>
      <c r="I722" s="90">
        <v>1</v>
      </c>
      <c r="J722" s="92">
        <v>72</v>
      </c>
      <c r="K722" s="90" t="s">
        <v>236</v>
      </c>
      <c r="L722" s="90"/>
    </row>
    <row r="723" spans="1:12" ht="15" customHeight="1" outlineLevel="1" x14ac:dyDescent="0.3">
      <c r="A723" s="101" t="s">
        <v>686</v>
      </c>
      <c r="B723" s="90" t="s">
        <v>747</v>
      </c>
      <c r="C723" s="90" t="s">
        <v>747</v>
      </c>
      <c r="D723" s="90" t="s">
        <v>137</v>
      </c>
      <c r="E723" s="91">
        <v>46160</v>
      </c>
      <c r="F723" s="30">
        <v>14</v>
      </c>
      <c r="G723" s="91">
        <v>46079</v>
      </c>
      <c r="H723" s="91"/>
      <c r="I723" s="90">
        <v>1</v>
      </c>
      <c r="J723" s="92">
        <v>81</v>
      </c>
      <c r="K723" s="90" t="s">
        <v>236</v>
      </c>
      <c r="L723" s="90"/>
    </row>
    <row r="724" spans="1:12" ht="15" customHeight="1" outlineLevel="1" x14ac:dyDescent="0.3">
      <c r="A724" s="101" t="s">
        <v>686</v>
      </c>
      <c r="B724" s="90" t="s">
        <v>747</v>
      </c>
      <c r="C724" s="90" t="s">
        <v>747</v>
      </c>
      <c r="D724" s="90" t="s">
        <v>137</v>
      </c>
      <c r="E724" s="91">
        <v>46186</v>
      </c>
      <c r="F724" s="30">
        <v>16</v>
      </c>
      <c r="G724" s="91">
        <v>46079</v>
      </c>
      <c r="H724" s="91"/>
      <c r="I724" s="90">
        <v>1</v>
      </c>
      <c r="J724" s="92">
        <v>107</v>
      </c>
      <c r="K724" s="90" t="s">
        <v>237</v>
      </c>
      <c r="L724" s="90"/>
    </row>
    <row r="725" spans="1:12" ht="15" customHeight="1" x14ac:dyDescent="0.3">
      <c r="A725" s="101" t="s">
        <v>687</v>
      </c>
      <c r="B725" s="90" t="s">
        <v>748</v>
      </c>
      <c r="C725" s="90" t="s">
        <v>748</v>
      </c>
      <c r="D725" s="90" t="s">
        <v>137</v>
      </c>
      <c r="E725" s="91">
        <v>46004</v>
      </c>
      <c r="F725" s="30">
        <v>23</v>
      </c>
      <c r="G725" s="91">
        <v>45879</v>
      </c>
      <c r="H725" s="91"/>
      <c r="I725" s="90">
        <v>1</v>
      </c>
      <c r="J725" s="92">
        <v>125</v>
      </c>
      <c r="K725" s="90" t="s">
        <v>231</v>
      </c>
      <c r="L725" s="90"/>
    </row>
    <row r="726" spans="1:12" ht="15" customHeight="1" outlineLevel="1" x14ac:dyDescent="0.3">
      <c r="A726" s="101" t="s">
        <v>687</v>
      </c>
      <c r="B726" s="90" t="s">
        <v>748</v>
      </c>
      <c r="C726" s="90" t="s">
        <v>748</v>
      </c>
      <c r="D726" s="90" t="s">
        <v>137</v>
      </c>
      <c r="E726" s="91">
        <v>46012</v>
      </c>
      <c r="F726" s="30">
        <v>24</v>
      </c>
      <c r="G726" s="91">
        <v>45879</v>
      </c>
      <c r="H726" s="91"/>
      <c r="I726" s="90">
        <v>1</v>
      </c>
      <c r="J726" s="92">
        <v>133</v>
      </c>
      <c r="K726" s="90" t="s">
        <v>231</v>
      </c>
      <c r="L726" s="90"/>
    </row>
    <row r="727" spans="1:12" ht="15" customHeight="1" outlineLevel="1" x14ac:dyDescent="0.3">
      <c r="A727" s="101" t="s">
        <v>687</v>
      </c>
      <c r="B727" s="90" t="s">
        <v>748</v>
      </c>
      <c r="C727" s="90" t="s">
        <v>748</v>
      </c>
      <c r="D727" s="90" t="s">
        <v>137</v>
      </c>
      <c r="E727" s="91">
        <v>46020</v>
      </c>
      <c r="F727" s="30">
        <v>23</v>
      </c>
      <c r="G727" s="91">
        <v>45879</v>
      </c>
      <c r="H727" s="91"/>
      <c r="I727" s="90">
        <v>1</v>
      </c>
      <c r="J727" s="92">
        <v>141</v>
      </c>
      <c r="K727" s="90" t="s">
        <v>231</v>
      </c>
      <c r="L727" s="90"/>
    </row>
    <row r="728" spans="1:12" ht="15" customHeight="1" outlineLevel="1" x14ac:dyDescent="0.3">
      <c r="A728" s="101" t="s">
        <v>687</v>
      </c>
      <c r="B728" s="90" t="s">
        <v>748</v>
      </c>
      <c r="C728" s="90" t="s">
        <v>748</v>
      </c>
      <c r="D728" s="90" t="s">
        <v>137</v>
      </c>
      <c r="E728" s="91">
        <v>46026</v>
      </c>
      <c r="F728" s="30">
        <v>21</v>
      </c>
      <c r="G728" s="91">
        <v>45879</v>
      </c>
      <c r="H728" s="91"/>
      <c r="I728" s="90">
        <v>1</v>
      </c>
      <c r="J728" s="92">
        <v>147</v>
      </c>
      <c r="K728" s="90" t="s">
        <v>232</v>
      </c>
      <c r="L728" s="90"/>
    </row>
    <row r="729" spans="1:12" ht="15" customHeight="1" outlineLevel="1" x14ac:dyDescent="0.3">
      <c r="A729" s="101" t="s">
        <v>687</v>
      </c>
      <c r="B729" s="90" t="s">
        <v>748</v>
      </c>
      <c r="C729" s="90" t="s">
        <v>748</v>
      </c>
      <c r="D729" s="90" t="s">
        <v>137</v>
      </c>
      <c r="E729" s="91">
        <v>46032</v>
      </c>
      <c r="F729" s="30">
        <v>25</v>
      </c>
      <c r="G729" s="91">
        <v>45879</v>
      </c>
      <c r="H729" s="91"/>
      <c r="I729" s="90">
        <v>1</v>
      </c>
      <c r="J729" s="92">
        <v>153</v>
      </c>
      <c r="K729" s="90" t="s">
        <v>232</v>
      </c>
      <c r="L729" s="90"/>
    </row>
    <row r="730" spans="1:12" ht="15" customHeight="1" outlineLevel="1" x14ac:dyDescent="0.3">
      <c r="A730" s="101" t="s">
        <v>687</v>
      </c>
      <c r="B730" s="90" t="s">
        <v>748</v>
      </c>
      <c r="C730" s="90" t="s">
        <v>748</v>
      </c>
      <c r="D730" s="90" t="s">
        <v>137</v>
      </c>
      <c r="E730" s="91">
        <v>46038</v>
      </c>
      <c r="F730" s="30">
        <v>20</v>
      </c>
      <c r="G730" s="91">
        <v>45879</v>
      </c>
      <c r="H730" s="91"/>
      <c r="I730" s="90">
        <v>1</v>
      </c>
      <c r="J730" s="92">
        <v>159</v>
      </c>
      <c r="K730" s="90" t="s">
        <v>232</v>
      </c>
      <c r="L730" s="90"/>
    </row>
    <row r="731" spans="1:12" ht="15" customHeight="1" outlineLevel="1" x14ac:dyDescent="0.3">
      <c r="A731" s="101" t="s">
        <v>687</v>
      </c>
      <c r="B731" s="90" t="s">
        <v>748</v>
      </c>
      <c r="C731" s="90" t="s">
        <v>748</v>
      </c>
      <c r="D731" s="90" t="s">
        <v>137</v>
      </c>
      <c r="E731" s="91">
        <v>46045</v>
      </c>
      <c r="F731" s="30">
        <v>23</v>
      </c>
      <c r="G731" s="91">
        <v>45879</v>
      </c>
      <c r="H731" s="91"/>
      <c r="I731" s="90">
        <v>1</v>
      </c>
      <c r="J731" s="92">
        <v>166</v>
      </c>
      <c r="K731" s="90" t="s">
        <v>232</v>
      </c>
      <c r="L731" s="90"/>
    </row>
    <row r="732" spans="1:12" ht="15" customHeight="1" outlineLevel="1" x14ac:dyDescent="0.3">
      <c r="A732" s="101" t="s">
        <v>687</v>
      </c>
      <c r="B732" s="90" t="s">
        <v>748</v>
      </c>
      <c r="C732" s="90" t="s">
        <v>748</v>
      </c>
      <c r="D732" s="90" t="s">
        <v>137</v>
      </c>
      <c r="E732" s="91">
        <v>46052</v>
      </c>
      <c r="F732" s="30">
        <v>23</v>
      </c>
      <c r="G732" s="91">
        <v>45879</v>
      </c>
      <c r="H732" s="91"/>
      <c r="I732" s="90">
        <v>1</v>
      </c>
      <c r="J732" s="92">
        <v>173</v>
      </c>
      <c r="K732" s="90" t="s">
        <v>232</v>
      </c>
      <c r="L732" s="90"/>
    </row>
    <row r="733" spans="1:12" ht="15" customHeight="1" outlineLevel="1" x14ac:dyDescent="0.3">
      <c r="A733" s="101" t="s">
        <v>687</v>
      </c>
      <c r="B733" s="90" t="s">
        <v>748</v>
      </c>
      <c r="C733" s="90" t="s">
        <v>748</v>
      </c>
      <c r="D733" s="90" t="s">
        <v>137</v>
      </c>
      <c r="E733" s="91">
        <v>46071</v>
      </c>
      <c r="F733" s="30">
        <v>25</v>
      </c>
      <c r="G733" s="91">
        <v>45879</v>
      </c>
      <c r="H733" s="91"/>
      <c r="I733" s="90">
        <v>1</v>
      </c>
      <c r="J733" s="92">
        <v>192</v>
      </c>
      <c r="K733" s="90" t="s">
        <v>233</v>
      </c>
      <c r="L733" s="90"/>
    </row>
    <row r="734" spans="1:12" ht="15" customHeight="1" outlineLevel="1" x14ac:dyDescent="0.3">
      <c r="A734" s="101" t="s">
        <v>687</v>
      </c>
      <c r="B734" s="90" t="s">
        <v>748</v>
      </c>
      <c r="C734" s="90" t="s">
        <v>748</v>
      </c>
      <c r="D734" s="90" t="s">
        <v>137</v>
      </c>
      <c r="E734" s="91">
        <v>46102</v>
      </c>
      <c r="F734" s="30">
        <v>20</v>
      </c>
      <c r="G734" s="91">
        <v>45879</v>
      </c>
      <c r="H734" s="91"/>
      <c r="I734" s="90">
        <v>1</v>
      </c>
      <c r="J734" s="92">
        <v>223</v>
      </c>
      <c r="K734" s="90" t="s">
        <v>234</v>
      </c>
      <c r="L734" s="90"/>
    </row>
    <row r="735" spans="1:12" ht="15" customHeight="1" outlineLevel="1" x14ac:dyDescent="0.3">
      <c r="A735" s="101" t="s">
        <v>687</v>
      </c>
      <c r="B735" s="90" t="s">
        <v>748</v>
      </c>
      <c r="C735" s="90" t="s">
        <v>748</v>
      </c>
      <c r="D735" s="90" t="s">
        <v>137</v>
      </c>
      <c r="E735" s="91">
        <v>46116</v>
      </c>
      <c r="F735" s="30">
        <v>12</v>
      </c>
      <c r="G735" s="91">
        <v>45879</v>
      </c>
      <c r="H735" s="91"/>
      <c r="I735" s="90">
        <v>1</v>
      </c>
      <c r="J735" s="92">
        <v>237</v>
      </c>
      <c r="K735" s="90" t="s">
        <v>235</v>
      </c>
      <c r="L735" s="90"/>
    </row>
    <row r="736" spans="1:12" ht="15" customHeight="1" outlineLevel="1" x14ac:dyDescent="0.3">
      <c r="A736" s="101" t="s">
        <v>687</v>
      </c>
      <c r="B736" s="90" t="s">
        <v>748</v>
      </c>
      <c r="C736" s="90" t="s">
        <v>748</v>
      </c>
      <c r="D736" s="90" t="s">
        <v>137</v>
      </c>
      <c r="E736" s="91">
        <v>46129</v>
      </c>
      <c r="F736" s="30">
        <v>17</v>
      </c>
      <c r="G736" s="91">
        <v>45879</v>
      </c>
      <c r="H736" s="91"/>
      <c r="I736" s="90">
        <v>1</v>
      </c>
      <c r="J736" s="92">
        <v>250</v>
      </c>
      <c r="K736" s="90" t="s">
        <v>235</v>
      </c>
      <c r="L736" s="90"/>
    </row>
    <row r="737" spans="1:12" ht="15" customHeight="1" outlineLevel="1" x14ac:dyDescent="0.3">
      <c r="A737" s="101" t="s">
        <v>687</v>
      </c>
      <c r="B737" s="90" t="s">
        <v>748</v>
      </c>
      <c r="C737" s="90" t="s">
        <v>748</v>
      </c>
      <c r="D737" s="90" t="s">
        <v>137</v>
      </c>
      <c r="E737" s="91">
        <v>46143</v>
      </c>
      <c r="F737" s="30">
        <v>19</v>
      </c>
      <c r="G737" s="91">
        <v>45879</v>
      </c>
      <c r="H737" s="91"/>
      <c r="I737" s="90">
        <v>1</v>
      </c>
      <c r="J737" s="92">
        <v>264</v>
      </c>
      <c r="K737" s="90" t="s">
        <v>236</v>
      </c>
      <c r="L737" s="90"/>
    </row>
    <row r="738" spans="1:12" ht="15" customHeight="1" outlineLevel="1" x14ac:dyDescent="0.3">
      <c r="A738" s="101" t="s">
        <v>687</v>
      </c>
      <c r="B738" s="90" t="s">
        <v>748</v>
      </c>
      <c r="C738" s="90" t="s">
        <v>748</v>
      </c>
      <c r="D738" s="90" t="s">
        <v>137</v>
      </c>
      <c r="E738" s="91">
        <v>46151</v>
      </c>
      <c r="F738" s="30">
        <v>25</v>
      </c>
      <c r="G738" s="91">
        <v>45879</v>
      </c>
      <c r="H738" s="91"/>
      <c r="I738" s="90">
        <v>1</v>
      </c>
      <c r="J738" s="92">
        <v>272</v>
      </c>
      <c r="K738" s="90" t="s">
        <v>236</v>
      </c>
      <c r="L738" s="90"/>
    </row>
    <row r="739" spans="1:12" ht="15" customHeight="1" outlineLevel="1" x14ac:dyDescent="0.3">
      <c r="A739" s="101" t="s">
        <v>687</v>
      </c>
      <c r="B739" s="90" t="s">
        <v>748</v>
      </c>
      <c r="C739" s="90" t="s">
        <v>748</v>
      </c>
      <c r="D739" s="90" t="s">
        <v>137</v>
      </c>
      <c r="E739" s="91">
        <v>46160</v>
      </c>
      <c r="F739" s="30">
        <v>24</v>
      </c>
      <c r="G739" s="91">
        <v>45879</v>
      </c>
      <c r="H739" s="91"/>
      <c r="I739" s="90">
        <v>1</v>
      </c>
      <c r="J739" s="92">
        <v>281</v>
      </c>
      <c r="K739" s="90" t="s">
        <v>236</v>
      </c>
      <c r="L739" s="90"/>
    </row>
    <row r="740" spans="1:12" ht="15" customHeight="1" outlineLevel="1" x14ac:dyDescent="0.3">
      <c r="A740" s="101" t="s">
        <v>687</v>
      </c>
      <c r="B740" s="90" t="s">
        <v>748</v>
      </c>
      <c r="C740" s="90" t="s">
        <v>748</v>
      </c>
      <c r="D740" s="90" t="s">
        <v>137</v>
      </c>
      <c r="E740" s="91">
        <v>46186</v>
      </c>
      <c r="F740" s="30">
        <v>24</v>
      </c>
      <c r="G740" s="91">
        <v>45879</v>
      </c>
      <c r="H740" s="91"/>
      <c r="I740" s="90">
        <v>1</v>
      </c>
      <c r="J740" s="92">
        <v>307</v>
      </c>
      <c r="K740" s="90" t="s">
        <v>237</v>
      </c>
      <c r="L740" s="90"/>
    </row>
    <row r="741" spans="1:12" ht="15" customHeight="1" x14ac:dyDescent="0.3">
      <c r="A741" s="101" t="s">
        <v>688</v>
      </c>
      <c r="B741" s="90" t="s">
        <v>749</v>
      </c>
      <c r="C741" s="90" t="s">
        <v>749</v>
      </c>
      <c r="D741" s="90" t="s">
        <v>137</v>
      </c>
      <c r="E741" s="91">
        <v>46004</v>
      </c>
      <c r="F741" s="30">
        <v>27.5</v>
      </c>
      <c r="G741" s="91">
        <v>45804</v>
      </c>
      <c r="H741" s="91"/>
      <c r="I741" s="90">
        <v>1</v>
      </c>
      <c r="J741" s="92">
        <v>200</v>
      </c>
      <c r="K741" s="90" t="s">
        <v>231</v>
      </c>
      <c r="L741" s="90"/>
    </row>
    <row r="742" spans="1:12" ht="15" customHeight="1" outlineLevel="1" x14ac:dyDescent="0.3">
      <c r="A742" s="101" t="s">
        <v>688</v>
      </c>
      <c r="B742" s="90" t="s">
        <v>749</v>
      </c>
      <c r="C742" s="90" t="s">
        <v>749</v>
      </c>
      <c r="D742" s="90" t="s">
        <v>137</v>
      </c>
      <c r="E742" s="91">
        <v>46012</v>
      </c>
      <c r="F742" s="30">
        <v>23</v>
      </c>
      <c r="G742" s="91">
        <v>45804</v>
      </c>
      <c r="H742" s="91"/>
      <c r="I742" s="90">
        <v>1</v>
      </c>
      <c r="J742" s="92">
        <v>208</v>
      </c>
      <c r="K742" s="90" t="s">
        <v>231</v>
      </c>
      <c r="L742" s="90"/>
    </row>
    <row r="743" spans="1:12" ht="15" customHeight="1" outlineLevel="1" x14ac:dyDescent="0.3">
      <c r="A743" s="101" t="s">
        <v>688</v>
      </c>
      <c r="B743" s="90" t="s">
        <v>749</v>
      </c>
      <c r="C743" s="90" t="s">
        <v>749</v>
      </c>
      <c r="D743" s="90" t="s">
        <v>137</v>
      </c>
      <c r="E743" s="91">
        <v>46020</v>
      </c>
      <c r="F743" s="30">
        <v>27.4</v>
      </c>
      <c r="G743" s="91">
        <v>45804</v>
      </c>
      <c r="H743" s="91"/>
      <c r="I743" s="90">
        <v>1</v>
      </c>
      <c r="J743" s="92">
        <v>216</v>
      </c>
      <c r="K743" s="90" t="s">
        <v>231</v>
      </c>
      <c r="L743" s="90"/>
    </row>
    <row r="744" spans="1:12" ht="15" customHeight="1" outlineLevel="1" x14ac:dyDescent="0.3">
      <c r="A744" s="101" t="s">
        <v>688</v>
      </c>
      <c r="B744" s="90" t="s">
        <v>749</v>
      </c>
      <c r="C744" s="90" t="s">
        <v>749</v>
      </c>
      <c r="D744" s="90" t="s">
        <v>137</v>
      </c>
      <c r="E744" s="91">
        <v>46026</v>
      </c>
      <c r="F744" s="30">
        <v>27</v>
      </c>
      <c r="G744" s="91">
        <v>45804</v>
      </c>
      <c r="H744" s="91"/>
      <c r="I744" s="90">
        <v>1</v>
      </c>
      <c r="J744" s="92">
        <v>222</v>
      </c>
      <c r="K744" s="90" t="s">
        <v>232</v>
      </c>
      <c r="L744" s="90"/>
    </row>
    <row r="745" spans="1:12" ht="15" customHeight="1" outlineLevel="1" x14ac:dyDescent="0.3">
      <c r="A745" s="101" t="s">
        <v>688</v>
      </c>
      <c r="B745" s="90" t="s">
        <v>749</v>
      </c>
      <c r="C745" s="90" t="s">
        <v>749</v>
      </c>
      <c r="D745" s="90" t="s">
        <v>137</v>
      </c>
      <c r="E745" s="91">
        <v>46032</v>
      </c>
      <c r="F745" s="30">
        <v>23</v>
      </c>
      <c r="G745" s="91">
        <v>45804</v>
      </c>
      <c r="H745" s="91"/>
      <c r="I745" s="90">
        <v>1</v>
      </c>
      <c r="J745" s="92">
        <v>228</v>
      </c>
      <c r="K745" s="90" t="s">
        <v>232</v>
      </c>
      <c r="L745" s="90"/>
    </row>
    <row r="746" spans="1:12" ht="15" customHeight="1" outlineLevel="1" x14ac:dyDescent="0.3">
      <c r="A746" s="101" t="s">
        <v>688</v>
      </c>
      <c r="B746" s="90" t="s">
        <v>749</v>
      </c>
      <c r="C746" s="90" t="s">
        <v>749</v>
      </c>
      <c r="D746" s="90" t="s">
        <v>137</v>
      </c>
      <c r="E746" s="91">
        <v>46038</v>
      </c>
      <c r="F746" s="30">
        <v>24</v>
      </c>
      <c r="G746" s="91">
        <v>45804</v>
      </c>
      <c r="H746" s="91"/>
      <c r="I746" s="90">
        <v>1</v>
      </c>
      <c r="J746" s="92">
        <v>234</v>
      </c>
      <c r="K746" s="90" t="s">
        <v>232</v>
      </c>
      <c r="L746" s="90"/>
    </row>
    <row r="747" spans="1:12" ht="15" customHeight="1" outlineLevel="1" x14ac:dyDescent="0.3">
      <c r="A747" s="101" t="s">
        <v>688</v>
      </c>
      <c r="B747" s="90" t="s">
        <v>749</v>
      </c>
      <c r="C747" s="90" t="s">
        <v>749</v>
      </c>
      <c r="D747" s="90" t="s">
        <v>137</v>
      </c>
      <c r="E747" s="91">
        <v>46045</v>
      </c>
      <c r="F747" s="30">
        <v>24</v>
      </c>
      <c r="G747" s="91">
        <v>45804</v>
      </c>
      <c r="H747" s="91"/>
      <c r="I747" s="90">
        <v>1</v>
      </c>
      <c r="J747" s="92">
        <v>241</v>
      </c>
      <c r="K747" s="90" t="s">
        <v>232</v>
      </c>
      <c r="L747" s="90"/>
    </row>
    <row r="748" spans="1:12" ht="15" customHeight="1" outlineLevel="1" x14ac:dyDescent="0.3">
      <c r="A748" s="101" t="s">
        <v>688</v>
      </c>
      <c r="B748" s="90" t="s">
        <v>749</v>
      </c>
      <c r="C748" s="90" t="s">
        <v>749</v>
      </c>
      <c r="D748" s="90" t="s">
        <v>137</v>
      </c>
      <c r="E748" s="91">
        <v>46052</v>
      </c>
      <c r="F748" s="30">
        <v>23</v>
      </c>
      <c r="G748" s="91">
        <v>45804</v>
      </c>
      <c r="H748" s="91"/>
      <c r="I748" s="90">
        <v>1</v>
      </c>
      <c r="J748" s="92">
        <v>248</v>
      </c>
      <c r="K748" s="90" t="s">
        <v>232</v>
      </c>
      <c r="L748" s="90"/>
    </row>
    <row r="749" spans="1:12" ht="15" customHeight="1" outlineLevel="1" x14ac:dyDescent="0.3">
      <c r="A749" s="101" t="s">
        <v>688</v>
      </c>
      <c r="B749" s="90" t="s">
        <v>749</v>
      </c>
      <c r="C749" s="90" t="s">
        <v>749</v>
      </c>
      <c r="D749" s="90" t="s">
        <v>137</v>
      </c>
      <c r="E749" s="91">
        <v>46071</v>
      </c>
      <c r="F749" s="30">
        <v>27</v>
      </c>
      <c r="G749" s="91">
        <v>45804</v>
      </c>
      <c r="H749" s="91"/>
      <c r="I749" s="90">
        <v>1</v>
      </c>
      <c r="J749" s="92">
        <v>267</v>
      </c>
      <c r="K749" s="90" t="s">
        <v>233</v>
      </c>
      <c r="L749" s="90"/>
    </row>
    <row r="750" spans="1:12" ht="15" customHeight="1" outlineLevel="1" x14ac:dyDescent="0.3">
      <c r="A750" s="101" t="s">
        <v>688</v>
      </c>
      <c r="B750" s="90" t="s">
        <v>749</v>
      </c>
      <c r="C750" s="90" t="s">
        <v>749</v>
      </c>
      <c r="D750" s="90" t="s">
        <v>137</v>
      </c>
      <c r="E750" s="91">
        <v>46102</v>
      </c>
      <c r="F750" s="30">
        <v>25</v>
      </c>
      <c r="G750" s="91">
        <v>45804</v>
      </c>
      <c r="H750" s="91"/>
      <c r="I750" s="90">
        <v>1</v>
      </c>
      <c r="J750" s="92">
        <v>298</v>
      </c>
      <c r="K750" s="90" t="s">
        <v>234</v>
      </c>
      <c r="L750" s="90"/>
    </row>
    <row r="751" spans="1:12" ht="15" customHeight="1" outlineLevel="1" x14ac:dyDescent="0.3">
      <c r="A751" s="101" t="s">
        <v>688</v>
      </c>
      <c r="B751" s="90" t="s">
        <v>749</v>
      </c>
      <c r="C751" s="90" t="s">
        <v>749</v>
      </c>
      <c r="D751" s="90" t="s">
        <v>137</v>
      </c>
      <c r="E751" s="91">
        <v>46116</v>
      </c>
      <c r="F751" s="30">
        <v>25</v>
      </c>
      <c r="G751" s="91">
        <v>45804</v>
      </c>
      <c r="H751" s="91"/>
      <c r="I751" s="90">
        <v>1</v>
      </c>
      <c r="J751" s="92">
        <v>312</v>
      </c>
      <c r="K751" s="90" t="s">
        <v>235</v>
      </c>
      <c r="L751" s="90"/>
    </row>
    <row r="752" spans="1:12" ht="15" customHeight="1" outlineLevel="1" x14ac:dyDescent="0.3">
      <c r="A752" s="101" t="s">
        <v>688</v>
      </c>
      <c r="B752" s="90" t="s">
        <v>749</v>
      </c>
      <c r="C752" s="90" t="s">
        <v>749</v>
      </c>
      <c r="D752" s="90" t="s">
        <v>137</v>
      </c>
      <c r="E752" s="91">
        <v>46129</v>
      </c>
      <c r="F752" s="30">
        <v>24</v>
      </c>
      <c r="G752" s="91">
        <v>45804</v>
      </c>
      <c r="H752" s="91"/>
      <c r="I752" s="90">
        <v>1</v>
      </c>
      <c r="J752" s="92">
        <v>325</v>
      </c>
      <c r="K752" s="90" t="s">
        <v>235</v>
      </c>
      <c r="L752" s="90"/>
    </row>
    <row r="753" spans="1:12" ht="15" customHeight="1" outlineLevel="1" x14ac:dyDescent="0.3">
      <c r="A753" s="101" t="s">
        <v>688</v>
      </c>
      <c r="B753" s="90" t="s">
        <v>749</v>
      </c>
      <c r="C753" s="90" t="s">
        <v>749</v>
      </c>
      <c r="D753" s="90" t="s">
        <v>137</v>
      </c>
      <c r="E753" s="91">
        <v>46143</v>
      </c>
      <c r="F753" s="30">
        <v>24</v>
      </c>
      <c r="G753" s="91">
        <v>45804</v>
      </c>
      <c r="H753" s="91"/>
      <c r="I753" s="90">
        <v>1</v>
      </c>
      <c r="J753" s="92">
        <v>339</v>
      </c>
      <c r="K753" s="90" t="s">
        <v>236</v>
      </c>
      <c r="L753" s="90"/>
    </row>
    <row r="754" spans="1:12" ht="15" customHeight="1" outlineLevel="1" x14ac:dyDescent="0.3">
      <c r="A754" s="101" t="s">
        <v>688</v>
      </c>
      <c r="B754" s="90" t="s">
        <v>749</v>
      </c>
      <c r="C754" s="90" t="s">
        <v>749</v>
      </c>
      <c r="D754" s="90" t="s">
        <v>137</v>
      </c>
      <c r="E754" s="91">
        <v>46151</v>
      </c>
      <c r="F754" s="30">
        <v>27</v>
      </c>
      <c r="G754" s="91">
        <v>45804</v>
      </c>
      <c r="H754" s="91"/>
      <c r="I754" s="90">
        <v>1</v>
      </c>
      <c r="J754" s="92">
        <v>347</v>
      </c>
      <c r="K754" s="90" t="s">
        <v>236</v>
      </c>
      <c r="L754" s="90"/>
    </row>
    <row r="755" spans="1:12" ht="15" customHeight="1" outlineLevel="1" x14ac:dyDescent="0.3">
      <c r="A755" s="101" t="s">
        <v>688</v>
      </c>
      <c r="B755" s="90" t="s">
        <v>749</v>
      </c>
      <c r="C755" s="90" t="s">
        <v>749</v>
      </c>
      <c r="D755" s="90" t="s">
        <v>137</v>
      </c>
      <c r="E755" s="91">
        <v>46160</v>
      </c>
      <c r="F755" s="30">
        <v>25</v>
      </c>
      <c r="G755" s="91">
        <v>45804</v>
      </c>
      <c r="H755" s="91"/>
      <c r="I755" s="90">
        <v>1</v>
      </c>
      <c r="J755" s="92">
        <v>356</v>
      </c>
      <c r="K755" s="90" t="s">
        <v>236</v>
      </c>
      <c r="L755" s="90"/>
    </row>
    <row r="756" spans="1:12" ht="15" customHeight="1" outlineLevel="1" x14ac:dyDescent="0.3">
      <c r="A756" s="101" t="s">
        <v>688</v>
      </c>
      <c r="B756" s="90" t="s">
        <v>749</v>
      </c>
      <c r="C756" s="90" t="s">
        <v>749</v>
      </c>
      <c r="D756" s="90" t="s">
        <v>137</v>
      </c>
      <c r="E756" s="91">
        <v>46186</v>
      </c>
      <c r="F756" s="30">
        <v>27</v>
      </c>
      <c r="G756" s="91">
        <v>45804</v>
      </c>
      <c r="H756" s="91"/>
      <c r="I756" s="90">
        <v>1</v>
      </c>
      <c r="J756" s="92">
        <v>382</v>
      </c>
      <c r="K756" s="90" t="s">
        <v>237</v>
      </c>
      <c r="L756" s="90"/>
    </row>
    <row r="757" spans="1:12" ht="15" customHeight="1" x14ac:dyDescent="0.3">
      <c r="A757" s="101" t="s">
        <v>689</v>
      </c>
      <c r="B757" s="90" t="s">
        <v>750</v>
      </c>
      <c r="C757" s="90" t="s">
        <v>750</v>
      </c>
      <c r="D757" s="90" t="s">
        <v>137</v>
      </c>
      <c r="E757" s="91">
        <v>46004</v>
      </c>
      <c r="F757" s="30">
        <v>23</v>
      </c>
      <c r="G757" s="91">
        <v>46162</v>
      </c>
      <c r="H757" s="91"/>
      <c r="I757" s="90">
        <v>1</v>
      </c>
      <c r="J757" s="92">
        <v>-158</v>
      </c>
      <c r="K757" s="90" t="s">
        <v>231</v>
      </c>
      <c r="L757" s="90"/>
    </row>
    <row r="758" spans="1:12" ht="15" customHeight="1" outlineLevel="1" x14ac:dyDescent="0.3">
      <c r="A758" s="101" t="s">
        <v>689</v>
      </c>
      <c r="B758" s="90" t="s">
        <v>750</v>
      </c>
      <c r="C758" s="90" t="s">
        <v>750</v>
      </c>
      <c r="D758" s="90" t="s">
        <v>137</v>
      </c>
      <c r="E758" s="91">
        <v>46012</v>
      </c>
      <c r="F758" s="30">
        <v>25</v>
      </c>
      <c r="G758" s="91">
        <v>46162</v>
      </c>
      <c r="H758" s="91"/>
      <c r="I758" s="90">
        <v>1</v>
      </c>
      <c r="J758" s="92">
        <v>-150</v>
      </c>
      <c r="K758" s="90" t="s">
        <v>231</v>
      </c>
      <c r="L758" s="90"/>
    </row>
    <row r="759" spans="1:12" ht="15" customHeight="1" outlineLevel="1" x14ac:dyDescent="0.3">
      <c r="A759" s="101" t="s">
        <v>689</v>
      </c>
      <c r="B759" s="90" t="s">
        <v>750</v>
      </c>
      <c r="C759" s="90" t="s">
        <v>750</v>
      </c>
      <c r="D759" s="90" t="s">
        <v>137</v>
      </c>
      <c r="E759" s="91">
        <v>46020</v>
      </c>
      <c r="F759" s="30">
        <v>19</v>
      </c>
      <c r="G759" s="91">
        <v>46162</v>
      </c>
      <c r="H759" s="91"/>
      <c r="I759" s="90">
        <v>1</v>
      </c>
      <c r="J759" s="92">
        <v>-142</v>
      </c>
      <c r="K759" s="90" t="s">
        <v>231</v>
      </c>
      <c r="L759" s="90"/>
    </row>
    <row r="760" spans="1:12" ht="15" customHeight="1" outlineLevel="1" x14ac:dyDescent="0.3">
      <c r="A760" s="101" t="s">
        <v>689</v>
      </c>
      <c r="B760" s="90" t="s">
        <v>750</v>
      </c>
      <c r="C760" s="90" t="s">
        <v>750</v>
      </c>
      <c r="D760" s="90" t="s">
        <v>137</v>
      </c>
      <c r="E760" s="91">
        <v>46026</v>
      </c>
      <c r="F760" s="30">
        <v>25</v>
      </c>
      <c r="G760" s="91">
        <v>46162</v>
      </c>
      <c r="H760" s="91"/>
      <c r="I760" s="90">
        <v>1</v>
      </c>
      <c r="J760" s="92">
        <v>-136</v>
      </c>
      <c r="K760" s="90" t="s">
        <v>232</v>
      </c>
      <c r="L760" s="90"/>
    </row>
    <row r="761" spans="1:12" ht="15" customHeight="1" outlineLevel="1" x14ac:dyDescent="0.3">
      <c r="A761" s="101" t="s">
        <v>689</v>
      </c>
      <c r="B761" s="90" t="s">
        <v>750</v>
      </c>
      <c r="C761" s="90" t="s">
        <v>750</v>
      </c>
      <c r="D761" s="90" t="s">
        <v>137</v>
      </c>
      <c r="E761" s="91">
        <v>46032</v>
      </c>
      <c r="F761" s="30">
        <v>24</v>
      </c>
      <c r="G761" s="91">
        <v>46162</v>
      </c>
      <c r="H761" s="91"/>
      <c r="I761" s="90">
        <v>1</v>
      </c>
      <c r="J761" s="92">
        <v>-130</v>
      </c>
      <c r="K761" s="90" t="s">
        <v>232</v>
      </c>
      <c r="L761" s="90"/>
    </row>
    <row r="762" spans="1:12" ht="15" customHeight="1" outlineLevel="1" x14ac:dyDescent="0.3">
      <c r="A762" s="101" t="s">
        <v>689</v>
      </c>
      <c r="B762" s="90" t="s">
        <v>750</v>
      </c>
      <c r="C762" s="90" t="s">
        <v>750</v>
      </c>
      <c r="D762" s="90" t="s">
        <v>137</v>
      </c>
      <c r="E762" s="91">
        <v>46038</v>
      </c>
      <c r="F762" s="30">
        <v>19</v>
      </c>
      <c r="G762" s="91">
        <v>46162</v>
      </c>
      <c r="H762" s="91"/>
      <c r="I762" s="90">
        <v>1</v>
      </c>
      <c r="J762" s="92">
        <v>-124</v>
      </c>
      <c r="K762" s="90" t="s">
        <v>232</v>
      </c>
      <c r="L762" s="90"/>
    </row>
    <row r="763" spans="1:12" ht="15" customHeight="1" outlineLevel="1" x14ac:dyDescent="0.3">
      <c r="A763" s="101" t="s">
        <v>689</v>
      </c>
      <c r="B763" s="90" t="s">
        <v>750</v>
      </c>
      <c r="C763" s="90" t="s">
        <v>750</v>
      </c>
      <c r="D763" s="90" t="s">
        <v>137</v>
      </c>
      <c r="E763" s="91">
        <v>46045</v>
      </c>
      <c r="F763" s="30">
        <v>21</v>
      </c>
      <c r="G763" s="91">
        <v>46162</v>
      </c>
      <c r="H763" s="91"/>
      <c r="I763" s="90">
        <v>1</v>
      </c>
      <c r="J763" s="92">
        <v>-117</v>
      </c>
      <c r="K763" s="90" t="s">
        <v>232</v>
      </c>
      <c r="L763" s="90"/>
    </row>
    <row r="764" spans="1:12" ht="15" customHeight="1" outlineLevel="1" x14ac:dyDescent="0.3">
      <c r="A764" s="101" t="s">
        <v>689</v>
      </c>
      <c r="B764" s="90" t="s">
        <v>750</v>
      </c>
      <c r="C764" s="90" t="s">
        <v>750</v>
      </c>
      <c r="D764" s="90" t="s">
        <v>137</v>
      </c>
      <c r="E764" s="91">
        <v>46052</v>
      </c>
      <c r="F764" s="30">
        <v>21</v>
      </c>
      <c r="G764" s="91">
        <v>46162</v>
      </c>
      <c r="H764" s="91"/>
      <c r="I764" s="90">
        <v>1</v>
      </c>
      <c r="J764" s="92">
        <v>-110</v>
      </c>
      <c r="K764" s="90" t="s">
        <v>232</v>
      </c>
      <c r="L764" s="90"/>
    </row>
    <row r="765" spans="1:12" ht="15" customHeight="1" outlineLevel="1" x14ac:dyDescent="0.3">
      <c r="A765" s="101" t="s">
        <v>689</v>
      </c>
      <c r="B765" s="90" t="s">
        <v>750</v>
      </c>
      <c r="C765" s="90" t="s">
        <v>750</v>
      </c>
      <c r="D765" s="90" t="s">
        <v>137</v>
      </c>
      <c r="E765" s="91">
        <v>46071</v>
      </c>
      <c r="F765" s="30">
        <v>21</v>
      </c>
      <c r="G765" s="91">
        <v>46162</v>
      </c>
      <c r="H765" s="91"/>
      <c r="I765" s="90">
        <v>1</v>
      </c>
      <c r="J765" s="92">
        <v>-91</v>
      </c>
      <c r="K765" s="90" t="s">
        <v>233</v>
      </c>
      <c r="L765" s="90"/>
    </row>
    <row r="766" spans="1:12" ht="15" customHeight="1" outlineLevel="1" x14ac:dyDescent="0.3">
      <c r="A766" s="101" t="s">
        <v>689</v>
      </c>
      <c r="B766" s="90" t="s">
        <v>750</v>
      </c>
      <c r="C766" s="90" t="s">
        <v>750</v>
      </c>
      <c r="D766" s="90" t="s">
        <v>137</v>
      </c>
      <c r="E766" s="91">
        <v>46102</v>
      </c>
      <c r="F766" s="30">
        <v>19</v>
      </c>
      <c r="G766" s="91">
        <v>46162</v>
      </c>
      <c r="H766" s="91"/>
      <c r="I766" s="90">
        <v>1</v>
      </c>
      <c r="J766" s="92">
        <v>-60</v>
      </c>
      <c r="K766" s="90" t="s">
        <v>234</v>
      </c>
      <c r="L766" s="90"/>
    </row>
    <row r="767" spans="1:12" ht="15" customHeight="1" outlineLevel="1" x14ac:dyDescent="0.3">
      <c r="A767" s="101" t="s">
        <v>689</v>
      </c>
      <c r="B767" s="90" t="s">
        <v>750</v>
      </c>
      <c r="C767" s="90" t="s">
        <v>750</v>
      </c>
      <c r="D767" s="90" t="s">
        <v>137</v>
      </c>
      <c r="E767" s="91">
        <v>46186</v>
      </c>
      <c r="F767" s="30">
        <v>35</v>
      </c>
      <c r="G767" s="91">
        <v>46162</v>
      </c>
      <c r="H767" s="91"/>
      <c r="I767" s="90">
        <v>1</v>
      </c>
      <c r="J767" s="92">
        <v>24</v>
      </c>
      <c r="K767" s="90" t="s">
        <v>237</v>
      </c>
      <c r="L767" s="90"/>
    </row>
    <row r="768" spans="1:12" ht="15" customHeight="1" x14ac:dyDescent="0.3">
      <c r="A768" s="101" t="s">
        <v>694</v>
      </c>
      <c r="B768" s="90" t="s">
        <v>694</v>
      </c>
      <c r="C768" s="90" t="s">
        <v>694</v>
      </c>
      <c r="D768" s="90" t="s">
        <v>137</v>
      </c>
      <c r="E768" s="91">
        <v>45646</v>
      </c>
      <c r="F768" s="30">
        <v>24</v>
      </c>
      <c r="G768" s="91">
        <v>45486</v>
      </c>
      <c r="H768" s="91">
        <v>45995</v>
      </c>
      <c r="I768" s="90">
        <v>0</v>
      </c>
      <c r="J768" s="92">
        <v>160</v>
      </c>
      <c r="K768" s="90" t="s">
        <v>220</v>
      </c>
      <c r="L768" s="90"/>
    </row>
    <row r="769" spans="1:12" ht="15" customHeight="1" outlineLevel="1" x14ac:dyDescent="0.3">
      <c r="A769" s="101" t="s">
        <v>694</v>
      </c>
      <c r="B769" s="90" t="s">
        <v>694</v>
      </c>
      <c r="C769" s="90" t="s">
        <v>694</v>
      </c>
      <c r="D769" s="90" t="s">
        <v>137</v>
      </c>
      <c r="E769" s="91">
        <v>45652</v>
      </c>
      <c r="F769" s="30">
        <v>25</v>
      </c>
      <c r="G769" s="91">
        <v>45486</v>
      </c>
      <c r="H769" s="91">
        <v>45995</v>
      </c>
      <c r="I769" s="90">
        <v>0</v>
      </c>
      <c r="J769" s="92">
        <v>166</v>
      </c>
      <c r="K769" s="90" t="s">
        <v>220</v>
      </c>
      <c r="L769" s="90"/>
    </row>
    <row r="770" spans="1:12" ht="15" customHeight="1" outlineLevel="1" x14ac:dyDescent="0.3">
      <c r="A770" s="101" t="s">
        <v>694</v>
      </c>
      <c r="B770" s="90" t="s">
        <v>694</v>
      </c>
      <c r="C770" s="90" t="s">
        <v>694</v>
      </c>
      <c r="D770" s="90" t="s">
        <v>137</v>
      </c>
      <c r="E770" s="91">
        <v>45675</v>
      </c>
      <c r="F770" s="30">
        <v>25</v>
      </c>
      <c r="G770" s="91">
        <v>45486</v>
      </c>
      <c r="H770" s="91">
        <v>45995</v>
      </c>
      <c r="I770" s="90">
        <v>0</v>
      </c>
      <c r="J770" s="92">
        <v>189</v>
      </c>
      <c r="K770" s="90" t="s">
        <v>221</v>
      </c>
      <c r="L770" s="90"/>
    </row>
    <row r="771" spans="1:12" ht="15" customHeight="1" outlineLevel="1" x14ac:dyDescent="0.3">
      <c r="A771" s="101" t="s">
        <v>694</v>
      </c>
      <c r="B771" s="90" t="s">
        <v>694</v>
      </c>
      <c r="C771" s="90" t="s">
        <v>694</v>
      </c>
      <c r="D771" s="90" t="s">
        <v>137</v>
      </c>
      <c r="E771" s="91">
        <v>45692</v>
      </c>
      <c r="F771" s="30">
        <v>30</v>
      </c>
      <c r="G771" s="91">
        <v>45486</v>
      </c>
      <c r="H771" s="91">
        <v>45995</v>
      </c>
      <c r="I771" s="90">
        <v>0</v>
      </c>
      <c r="J771" s="92">
        <v>206</v>
      </c>
      <c r="K771" s="90" t="s">
        <v>222</v>
      </c>
      <c r="L771" s="90"/>
    </row>
    <row r="772" spans="1:12" ht="15" customHeight="1" outlineLevel="1" x14ac:dyDescent="0.3">
      <c r="A772" s="101" t="s">
        <v>694</v>
      </c>
      <c r="B772" s="90" t="s">
        <v>694</v>
      </c>
      <c r="C772" s="90" t="s">
        <v>694</v>
      </c>
      <c r="D772" s="90" t="s">
        <v>137</v>
      </c>
      <c r="E772" s="91">
        <v>45724</v>
      </c>
      <c r="F772" s="30">
        <v>20</v>
      </c>
      <c r="G772" s="91">
        <v>45486</v>
      </c>
      <c r="H772" s="91">
        <v>45995</v>
      </c>
      <c r="I772" s="90">
        <v>0</v>
      </c>
      <c r="J772" s="92">
        <v>238</v>
      </c>
      <c r="K772" s="90" t="s">
        <v>223</v>
      </c>
      <c r="L772" s="90"/>
    </row>
    <row r="773" spans="1:12" ht="15" customHeight="1" outlineLevel="1" x14ac:dyDescent="0.3">
      <c r="A773" s="101" t="s">
        <v>694</v>
      </c>
      <c r="B773" s="90" t="s">
        <v>694</v>
      </c>
      <c r="C773" s="90" t="s">
        <v>694</v>
      </c>
      <c r="D773" s="90" t="s">
        <v>137</v>
      </c>
      <c r="E773" s="91">
        <v>45731</v>
      </c>
      <c r="F773" s="30">
        <v>21</v>
      </c>
      <c r="G773" s="91">
        <v>45486</v>
      </c>
      <c r="H773" s="91">
        <v>45995</v>
      </c>
      <c r="I773" s="90">
        <v>0</v>
      </c>
      <c r="J773" s="92">
        <v>245</v>
      </c>
      <c r="K773" s="90" t="s">
        <v>223</v>
      </c>
      <c r="L773" s="90"/>
    </row>
    <row r="774" spans="1:12" ht="15" customHeight="1" outlineLevel="1" x14ac:dyDescent="0.3">
      <c r="A774" s="101" t="s">
        <v>694</v>
      </c>
      <c r="B774" s="90" t="s">
        <v>694</v>
      </c>
      <c r="C774" s="90" t="s">
        <v>694</v>
      </c>
      <c r="D774" s="90" t="s">
        <v>137</v>
      </c>
      <c r="E774" s="91">
        <v>45766</v>
      </c>
      <c r="F774" s="30">
        <v>21.2</v>
      </c>
      <c r="G774" s="91">
        <v>45486</v>
      </c>
      <c r="H774" s="91">
        <v>45995</v>
      </c>
      <c r="I774" s="90">
        <v>0</v>
      </c>
      <c r="J774" s="92">
        <v>280</v>
      </c>
      <c r="K774" s="90" t="s">
        <v>224</v>
      </c>
      <c r="L774" s="90"/>
    </row>
    <row r="775" spans="1:12" ht="15" customHeight="1" outlineLevel="1" x14ac:dyDescent="0.3">
      <c r="A775" s="101" t="s">
        <v>694</v>
      </c>
      <c r="B775" s="90" t="s">
        <v>694</v>
      </c>
      <c r="C775" s="90" t="s">
        <v>694</v>
      </c>
      <c r="D775" s="90" t="s">
        <v>137</v>
      </c>
      <c r="E775" s="91">
        <v>45858</v>
      </c>
      <c r="F775" s="30">
        <v>15</v>
      </c>
      <c r="G775" s="91">
        <v>45486</v>
      </c>
      <c r="H775" s="91">
        <v>45995</v>
      </c>
      <c r="I775" s="90">
        <v>0</v>
      </c>
      <c r="J775" s="92">
        <v>372</v>
      </c>
      <c r="K775" s="90" t="s">
        <v>226</v>
      </c>
      <c r="L775" s="90"/>
    </row>
    <row r="776" spans="1:12" ht="15" customHeight="1" outlineLevel="1" x14ac:dyDescent="0.3">
      <c r="A776" s="101" t="s">
        <v>694</v>
      </c>
      <c r="B776" s="90" t="s">
        <v>694</v>
      </c>
      <c r="C776" s="90" t="s">
        <v>694</v>
      </c>
      <c r="D776" s="90" t="s">
        <v>137</v>
      </c>
      <c r="E776" s="91">
        <v>45882</v>
      </c>
      <c r="F776" s="30">
        <v>5</v>
      </c>
      <c r="G776" s="91">
        <v>45486</v>
      </c>
      <c r="H776" s="91">
        <v>45995</v>
      </c>
      <c r="I776" s="90">
        <v>0</v>
      </c>
      <c r="J776" s="92">
        <v>396</v>
      </c>
      <c r="K776" s="90" t="s">
        <v>227</v>
      </c>
      <c r="L776" s="90"/>
    </row>
    <row r="777" spans="1:12" ht="15" customHeight="1" outlineLevel="1" x14ac:dyDescent="0.3">
      <c r="A777" s="101" t="s">
        <v>694</v>
      </c>
      <c r="B777" s="90" t="s">
        <v>694</v>
      </c>
      <c r="C777" s="90" t="s">
        <v>694</v>
      </c>
      <c r="D777" s="90" t="s">
        <v>137</v>
      </c>
      <c r="E777" s="91">
        <v>45893</v>
      </c>
      <c r="F777" s="30">
        <v>3</v>
      </c>
      <c r="G777" s="91">
        <v>45486</v>
      </c>
      <c r="H777" s="91">
        <v>45995</v>
      </c>
      <c r="I777" s="90">
        <v>0</v>
      </c>
      <c r="J777" s="92">
        <v>407</v>
      </c>
      <c r="K777" s="90" t="s">
        <v>227</v>
      </c>
      <c r="L777" s="90"/>
    </row>
    <row r="778" spans="1:12" ht="15" customHeight="1" x14ac:dyDescent="0.3">
      <c r="A778" s="101" t="s">
        <v>697</v>
      </c>
      <c r="B778" s="90">
        <v>472</v>
      </c>
      <c r="C778" s="90" t="s">
        <v>751</v>
      </c>
      <c r="D778" s="90" t="s">
        <v>137</v>
      </c>
      <c r="E778" s="91">
        <v>45646</v>
      </c>
      <c r="F778" s="30">
        <v>36.4</v>
      </c>
      <c r="G778" s="91">
        <v>45989</v>
      </c>
      <c r="H778" s="91">
        <v>46177</v>
      </c>
      <c r="I778" s="90">
        <v>0</v>
      </c>
      <c r="J778" s="92">
        <v>-343</v>
      </c>
      <c r="K778" s="90" t="s">
        <v>220</v>
      </c>
      <c r="L778" s="90"/>
    </row>
    <row r="779" spans="1:12" ht="15" customHeight="1" outlineLevel="1" x14ac:dyDescent="0.3">
      <c r="A779" s="101" t="s">
        <v>697</v>
      </c>
      <c r="B779" s="90">
        <v>472</v>
      </c>
      <c r="C779" s="90" t="s">
        <v>751</v>
      </c>
      <c r="D779" s="90" t="s">
        <v>137</v>
      </c>
      <c r="E779" s="91">
        <v>45652</v>
      </c>
      <c r="F779" s="30">
        <v>30</v>
      </c>
      <c r="G779" s="91">
        <v>45989</v>
      </c>
      <c r="H779" s="91">
        <v>46177</v>
      </c>
      <c r="I779" s="90">
        <v>0</v>
      </c>
      <c r="J779" s="92">
        <v>-337</v>
      </c>
      <c r="K779" s="90" t="s">
        <v>220</v>
      </c>
      <c r="L779" s="90"/>
    </row>
    <row r="780" spans="1:12" ht="15" customHeight="1" outlineLevel="1" x14ac:dyDescent="0.3">
      <c r="A780" s="101" t="s">
        <v>697</v>
      </c>
      <c r="B780" s="90">
        <v>472</v>
      </c>
      <c r="C780" s="90" t="s">
        <v>751</v>
      </c>
      <c r="D780" s="90" t="s">
        <v>137</v>
      </c>
      <c r="E780" s="91">
        <v>45675</v>
      </c>
      <c r="F780" s="30">
        <v>37</v>
      </c>
      <c r="G780" s="91">
        <v>45989</v>
      </c>
      <c r="H780" s="91">
        <v>46177</v>
      </c>
      <c r="I780" s="90">
        <v>0</v>
      </c>
      <c r="J780" s="92">
        <v>-314</v>
      </c>
      <c r="K780" s="90" t="s">
        <v>221</v>
      </c>
      <c r="L780" s="90"/>
    </row>
    <row r="781" spans="1:12" ht="15" customHeight="1" outlineLevel="1" x14ac:dyDescent="0.3">
      <c r="A781" s="101" t="s">
        <v>697</v>
      </c>
      <c r="B781" s="90">
        <v>472</v>
      </c>
      <c r="C781" s="90" t="s">
        <v>751</v>
      </c>
      <c r="D781" s="90" t="s">
        <v>137</v>
      </c>
      <c r="E781" s="91">
        <v>45692</v>
      </c>
      <c r="F781" s="30">
        <v>30</v>
      </c>
      <c r="G781" s="91">
        <v>45989</v>
      </c>
      <c r="H781" s="91">
        <v>46177</v>
      </c>
      <c r="I781" s="90">
        <v>0</v>
      </c>
      <c r="J781" s="92">
        <v>-297</v>
      </c>
      <c r="K781" s="90" t="s">
        <v>222</v>
      </c>
      <c r="L781" s="90"/>
    </row>
    <row r="782" spans="1:12" ht="15" customHeight="1" outlineLevel="1" x14ac:dyDescent="0.3">
      <c r="A782" s="101" t="s">
        <v>697</v>
      </c>
      <c r="B782" s="90">
        <v>472</v>
      </c>
      <c r="C782" s="90" t="s">
        <v>751</v>
      </c>
      <c r="D782" s="90" t="s">
        <v>137</v>
      </c>
      <c r="E782" s="91">
        <v>45724</v>
      </c>
      <c r="F782" s="30">
        <v>27</v>
      </c>
      <c r="G782" s="91">
        <v>45989</v>
      </c>
      <c r="H782" s="91">
        <v>46177</v>
      </c>
      <c r="I782" s="90">
        <v>0</v>
      </c>
      <c r="J782" s="92">
        <v>-265</v>
      </c>
      <c r="K782" s="90" t="s">
        <v>223</v>
      </c>
      <c r="L782" s="90"/>
    </row>
    <row r="783" spans="1:12" ht="15" customHeight="1" outlineLevel="1" x14ac:dyDescent="0.3">
      <c r="A783" s="101" t="s">
        <v>697</v>
      </c>
      <c r="B783" s="90">
        <v>472</v>
      </c>
      <c r="C783" s="90" t="s">
        <v>751</v>
      </c>
      <c r="D783" s="90" t="s">
        <v>137</v>
      </c>
      <c r="E783" s="91">
        <v>45731</v>
      </c>
      <c r="F783" s="30">
        <v>33</v>
      </c>
      <c r="G783" s="91">
        <v>45989</v>
      </c>
      <c r="H783" s="91">
        <v>46177</v>
      </c>
      <c r="I783" s="90">
        <v>0</v>
      </c>
      <c r="J783" s="92">
        <v>-258</v>
      </c>
      <c r="K783" s="90" t="s">
        <v>223</v>
      </c>
      <c r="L783" s="90"/>
    </row>
    <row r="784" spans="1:12" ht="15" customHeight="1" outlineLevel="1" x14ac:dyDescent="0.3">
      <c r="A784" s="101" t="s">
        <v>697</v>
      </c>
      <c r="B784" s="90">
        <v>472</v>
      </c>
      <c r="C784" s="90" t="s">
        <v>751</v>
      </c>
      <c r="D784" s="90" t="s">
        <v>137</v>
      </c>
      <c r="E784" s="91">
        <v>45766</v>
      </c>
      <c r="F784" s="30">
        <v>31</v>
      </c>
      <c r="G784" s="91">
        <v>45989</v>
      </c>
      <c r="H784" s="91">
        <v>46177</v>
      </c>
      <c r="I784" s="90">
        <v>0</v>
      </c>
      <c r="J784" s="92">
        <v>-223</v>
      </c>
      <c r="K784" s="90" t="s">
        <v>224</v>
      </c>
      <c r="L784" s="90"/>
    </row>
    <row r="785" spans="1:12" ht="15" customHeight="1" outlineLevel="1" x14ac:dyDescent="0.3">
      <c r="A785" s="101" t="s">
        <v>697</v>
      </c>
      <c r="B785" s="90">
        <v>472</v>
      </c>
      <c r="C785" s="90" t="s">
        <v>751</v>
      </c>
      <c r="D785" s="90" t="s">
        <v>137</v>
      </c>
      <c r="E785" s="91">
        <v>45858</v>
      </c>
      <c r="F785" s="30">
        <v>23</v>
      </c>
      <c r="G785" s="91">
        <v>45989</v>
      </c>
      <c r="H785" s="91">
        <v>46177</v>
      </c>
      <c r="I785" s="90">
        <v>0</v>
      </c>
      <c r="J785" s="92">
        <v>-131</v>
      </c>
      <c r="K785" s="90" t="s">
        <v>226</v>
      </c>
      <c r="L785" s="90"/>
    </row>
    <row r="786" spans="1:12" ht="15" customHeight="1" outlineLevel="1" x14ac:dyDescent="0.3">
      <c r="A786" s="101" t="s">
        <v>697</v>
      </c>
      <c r="B786" s="90">
        <v>472</v>
      </c>
      <c r="C786" s="90" t="s">
        <v>751</v>
      </c>
      <c r="D786" s="90" t="s">
        <v>137</v>
      </c>
      <c r="E786" s="91">
        <v>45882</v>
      </c>
      <c r="F786" s="30">
        <v>13.3</v>
      </c>
      <c r="G786" s="91">
        <v>45989</v>
      </c>
      <c r="H786" s="91">
        <v>46177</v>
      </c>
      <c r="I786" s="90">
        <v>0</v>
      </c>
      <c r="J786" s="92">
        <v>-107</v>
      </c>
      <c r="K786" s="90" t="s">
        <v>227</v>
      </c>
      <c r="L786" s="90"/>
    </row>
    <row r="787" spans="1:12" ht="15" customHeight="1" outlineLevel="1" x14ac:dyDescent="0.3">
      <c r="A787" s="101" t="s">
        <v>697</v>
      </c>
      <c r="B787" s="90">
        <v>472</v>
      </c>
      <c r="C787" s="90" t="s">
        <v>751</v>
      </c>
      <c r="D787" s="90" t="s">
        <v>137</v>
      </c>
      <c r="E787" s="91">
        <v>45893</v>
      </c>
      <c r="F787" s="30">
        <v>11</v>
      </c>
      <c r="G787" s="91">
        <v>45989</v>
      </c>
      <c r="H787" s="91">
        <v>46177</v>
      </c>
      <c r="I787" s="90">
        <v>0</v>
      </c>
      <c r="J787" s="92">
        <v>-96</v>
      </c>
      <c r="K787" s="90" t="s">
        <v>227</v>
      </c>
      <c r="L787" s="90"/>
    </row>
    <row r="788" spans="1:12" ht="15" customHeight="1" outlineLevel="1" x14ac:dyDescent="0.3">
      <c r="A788" s="101" t="s">
        <v>697</v>
      </c>
      <c r="B788" s="90">
        <v>472</v>
      </c>
      <c r="C788" s="90" t="s">
        <v>751</v>
      </c>
      <c r="D788" s="90" t="s">
        <v>137</v>
      </c>
      <c r="E788" s="91">
        <v>45922</v>
      </c>
      <c r="F788" s="30">
        <v>9</v>
      </c>
      <c r="G788" s="91">
        <v>45989</v>
      </c>
      <c r="H788" s="91">
        <v>46177</v>
      </c>
      <c r="I788" s="90">
        <v>0</v>
      </c>
      <c r="J788" s="92">
        <v>-67</v>
      </c>
      <c r="K788" s="90" t="s">
        <v>228</v>
      </c>
      <c r="L788" s="90"/>
    </row>
    <row r="789" spans="1:12" ht="15" customHeight="1" outlineLevel="1" x14ac:dyDescent="0.3">
      <c r="A789" s="101" t="s">
        <v>697</v>
      </c>
      <c r="B789" s="90">
        <v>472</v>
      </c>
      <c r="C789" s="90" t="s">
        <v>751</v>
      </c>
      <c r="D789" s="90" t="s">
        <v>137</v>
      </c>
      <c r="E789" s="91">
        <v>45990</v>
      </c>
      <c r="F789" s="30">
        <v>23</v>
      </c>
      <c r="G789" s="91">
        <v>45989</v>
      </c>
      <c r="H789" s="91">
        <v>46177</v>
      </c>
      <c r="I789" s="90">
        <v>0</v>
      </c>
      <c r="J789" s="92">
        <v>1</v>
      </c>
      <c r="K789" s="90" t="s">
        <v>230</v>
      </c>
      <c r="L789" s="90"/>
    </row>
    <row r="790" spans="1:12" ht="15" customHeight="1" outlineLevel="1" x14ac:dyDescent="0.3">
      <c r="A790" s="101" t="s">
        <v>697</v>
      </c>
      <c r="B790" s="90">
        <v>472</v>
      </c>
      <c r="C790" s="90" t="s">
        <v>751</v>
      </c>
      <c r="D790" s="90" t="s">
        <v>137</v>
      </c>
      <c r="E790" s="91">
        <v>46004</v>
      </c>
      <c r="F790" s="30">
        <v>20</v>
      </c>
      <c r="G790" s="91">
        <v>45989</v>
      </c>
      <c r="H790" s="91">
        <v>46177</v>
      </c>
      <c r="I790" s="90">
        <v>0</v>
      </c>
      <c r="J790" s="92">
        <v>15</v>
      </c>
      <c r="K790" s="90" t="s">
        <v>231</v>
      </c>
      <c r="L790" s="90"/>
    </row>
    <row r="791" spans="1:12" ht="15" customHeight="1" outlineLevel="1" x14ac:dyDescent="0.3">
      <c r="A791" s="101" t="s">
        <v>697</v>
      </c>
      <c r="B791" s="90">
        <v>472</v>
      </c>
      <c r="C791" s="90" t="s">
        <v>751</v>
      </c>
      <c r="D791" s="90" t="s">
        <v>137</v>
      </c>
      <c r="E791" s="91">
        <v>46012</v>
      </c>
      <c r="F791" s="30">
        <v>25</v>
      </c>
      <c r="G791" s="91">
        <v>45989</v>
      </c>
      <c r="H791" s="91">
        <v>46177</v>
      </c>
      <c r="I791" s="90">
        <v>0</v>
      </c>
      <c r="J791" s="92">
        <v>23</v>
      </c>
      <c r="K791" s="90" t="s">
        <v>231</v>
      </c>
      <c r="L791" s="90"/>
    </row>
    <row r="792" spans="1:12" ht="15" customHeight="1" outlineLevel="1" x14ac:dyDescent="0.3">
      <c r="A792" s="101" t="s">
        <v>697</v>
      </c>
      <c r="B792" s="90">
        <v>472</v>
      </c>
      <c r="C792" s="90" t="s">
        <v>751</v>
      </c>
      <c r="D792" s="90" t="s">
        <v>137</v>
      </c>
      <c r="E792" s="91">
        <v>46020</v>
      </c>
      <c r="F792" s="30">
        <v>29</v>
      </c>
      <c r="G792" s="91">
        <v>45989</v>
      </c>
      <c r="H792" s="91">
        <v>46177</v>
      </c>
      <c r="I792" s="90">
        <v>0</v>
      </c>
      <c r="J792" s="92">
        <v>31</v>
      </c>
      <c r="K792" s="90" t="s">
        <v>231</v>
      </c>
      <c r="L792" s="90"/>
    </row>
    <row r="793" spans="1:12" ht="15" customHeight="1" outlineLevel="1" x14ac:dyDescent="0.3">
      <c r="A793" s="101" t="s">
        <v>697</v>
      </c>
      <c r="B793" s="90">
        <v>472</v>
      </c>
      <c r="C793" s="90" t="s">
        <v>751</v>
      </c>
      <c r="D793" s="90" t="s">
        <v>137</v>
      </c>
      <c r="E793" s="91">
        <v>46026</v>
      </c>
      <c r="F793" s="30">
        <v>29</v>
      </c>
      <c r="G793" s="91">
        <v>45989</v>
      </c>
      <c r="H793" s="91">
        <v>46177</v>
      </c>
      <c r="I793" s="90">
        <v>0</v>
      </c>
      <c r="J793" s="92">
        <v>37</v>
      </c>
      <c r="K793" s="90" t="s">
        <v>232</v>
      </c>
      <c r="L793" s="90"/>
    </row>
    <row r="794" spans="1:12" ht="15" customHeight="1" outlineLevel="1" x14ac:dyDescent="0.3">
      <c r="A794" s="101" t="s">
        <v>697</v>
      </c>
      <c r="B794" s="90">
        <v>472</v>
      </c>
      <c r="C794" s="90" t="s">
        <v>751</v>
      </c>
      <c r="D794" s="90" t="s">
        <v>137</v>
      </c>
      <c r="E794" s="91">
        <v>46032</v>
      </c>
      <c r="F794" s="30">
        <v>29</v>
      </c>
      <c r="G794" s="91">
        <v>45989</v>
      </c>
      <c r="H794" s="91">
        <v>46177</v>
      </c>
      <c r="I794" s="90">
        <v>0</v>
      </c>
      <c r="J794" s="92">
        <v>43</v>
      </c>
      <c r="K794" s="90" t="s">
        <v>232</v>
      </c>
      <c r="L794" s="90"/>
    </row>
    <row r="795" spans="1:12" ht="15" customHeight="1" outlineLevel="1" x14ac:dyDescent="0.3">
      <c r="A795" s="101" t="s">
        <v>697</v>
      </c>
      <c r="B795" s="90">
        <v>472</v>
      </c>
      <c r="C795" s="90" t="s">
        <v>751</v>
      </c>
      <c r="D795" s="90" t="s">
        <v>137</v>
      </c>
      <c r="E795" s="91">
        <v>46038</v>
      </c>
      <c r="F795" s="30">
        <v>29</v>
      </c>
      <c r="G795" s="91">
        <v>45989</v>
      </c>
      <c r="H795" s="91">
        <v>46177</v>
      </c>
      <c r="I795" s="90">
        <v>0</v>
      </c>
      <c r="J795" s="92">
        <v>49</v>
      </c>
      <c r="K795" s="90" t="s">
        <v>232</v>
      </c>
      <c r="L795" s="90"/>
    </row>
    <row r="796" spans="1:12" ht="15" customHeight="1" outlineLevel="1" x14ac:dyDescent="0.3">
      <c r="A796" s="101" t="s">
        <v>697</v>
      </c>
      <c r="B796" s="90">
        <v>472</v>
      </c>
      <c r="C796" s="90" t="s">
        <v>751</v>
      </c>
      <c r="D796" s="90" t="s">
        <v>137</v>
      </c>
      <c r="E796" s="91">
        <v>46045</v>
      </c>
      <c r="F796" s="30">
        <v>26</v>
      </c>
      <c r="G796" s="91">
        <v>45989</v>
      </c>
      <c r="H796" s="91">
        <v>46177</v>
      </c>
      <c r="I796" s="90">
        <v>0</v>
      </c>
      <c r="J796" s="92">
        <v>56</v>
      </c>
      <c r="K796" s="90" t="s">
        <v>232</v>
      </c>
      <c r="L796" s="90"/>
    </row>
    <row r="797" spans="1:12" ht="15" customHeight="1" outlineLevel="1" x14ac:dyDescent="0.3">
      <c r="A797" s="101" t="s">
        <v>697</v>
      </c>
      <c r="B797" s="90">
        <v>472</v>
      </c>
      <c r="C797" s="90" t="s">
        <v>751</v>
      </c>
      <c r="D797" s="90" t="s">
        <v>137</v>
      </c>
      <c r="E797" s="91">
        <v>46052</v>
      </c>
      <c r="F797" s="30">
        <v>28</v>
      </c>
      <c r="G797" s="91">
        <v>45989</v>
      </c>
      <c r="H797" s="91">
        <v>46177</v>
      </c>
      <c r="I797" s="90">
        <v>0</v>
      </c>
      <c r="J797" s="92">
        <v>63</v>
      </c>
      <c r="K797" s="90" t="s">
        <v>232</v>
      </c>
      <c r="L797" s="90"/>
    </row>
    <row r="798" spans="1:12" ht="15" customHeight="1" outlineLevel="1" x14ac:dyDescent="0.3">
      <c r="A798" s="101" t="s">
        <v>697</v>
      </c>
      <c r="B798" s="90">
        <v>472</v>
      </c>
      <c r="C798" s="90" t="s">
        <v>751</v>
      </c>
      <c r="D798" s="90" t="s">
        <v>137</v>
      </c>
      <c r="E798" s="91">
        <v>46071</v>
      </c>
      <c r="F798" s="30">
        <v>31</v>
      </c>
      <c r="G798" s="91">
        <v>45989</v>
      </c>
      <c r="H798" s="91">
        <v>46177</v>
      </c>
      <c r="I798" s="90">
        <v>0</v>
      </c>
      <c r="J798" s="92">
        <v>82</v>
      </c>
      <c r="K798" s="90" t="s">
        <v>233</v>
      </c>
      <c r="L798" s="90"/>
    </row>
    <row r="799" spans="1:12" ht="15" customHeight="1" outlineLevel="1" x14ac:dyDescent="0.3">
      <c r="A799" s="101" t="s">
        <v>697</v>
      </c>
      <c r="B799" s="90">
        <v>472</v>
      </c>
      <c r="C799" s="90" t="s">
        <v>751</v>
      </c>
      <c r="D799" s="90" t="s">
        <v>137</v>
      </c>
      <c r="E799" s="91">
        <v>46102</v>
      </c>
      <c r="F799" s="30">
        <v>26</v>
      </c>
      <c r="G799" s="91">
        <v>45989</v>
      </c>
      <c r="H799" s="91">
        <v>46177</v>
      </c>
      <c r="I799" s="90">
        <v>0</v>
      </c>
      <c r="J799" s="92">
        <v>113</v>
      </c>
      <c r="K799" s="90" t="s">
        <v>234</v>
      </c>
      <c r="L799" s="90"/>
    </row>
    <row r="800" spans="1:12" ht="15" customHeight="1" outlineLevel="1" x14ac:dyDescent="0.3">
      <c r="A800" s="101" t="s">
        <v>697</v>
      </c>
      <c r="B800" s="90">
        <v>472</v>
      </c>
      <c r="C800" s="90" t="s">
        <v>751</v>
      </c>
      <c r="D800" s="90" t="s">
        <v>137</v>
      </c>
      <c r="E800" s="91">
        <v>46116</v>
      </c>
      <c r="F800" s="30">
        <v>24</v>
      </c>
      <c r="G800" s="91">
        <v>45989</v>
      </c>
      <c r="H800" s="91">
        <v>46177</v>
      </c>
      <c r="I800" s="90">
        <v>0</v>
      </c>
      <c r="J800" s="92">
        <v>127</v>
      </c>
      <c r="K800" s="90" t="s">
        <v>235</v>
      </c>
      <c r="L800" s="90"/>
    </row>
    <row r="801" spans="1:12" ht="15" customHeight="1" outlineLevel="1" x14ac:dyDescent="0.3">
      <c r="A801" s="101" t="s">
        <v>697</v>
      </c>
      <c r="B801" s="90">
        <v>472</v>
      </c>
      <c r="C801" s="90" t="s">
        <v>751</v>
      </c>
      <c r="D801" s="90" t="s">
        <v>137</v>
      </c>
      <c r="E801" s="91">
        <v>46129</v>
      </c>
      <c r="F801" s="30">
        <v>23</v>
      </c>
      <c r="G801" s="91">
        <v>45989</v>
      </c>
      <c r="H801" s="91">
        <v>46177</v>
      </c>
      <c r="I801" s="90">
        <v>0</v>
      </c>
      <c r="J801" s="92">
        <v>140</v>
      </c>
      <c r="K801" s="90" t="s">
        <v>235</v>
      </c>
      <c r="L801" s="90"/>
    </row>
    <row r="802" spans="1:12" ht="15" customHeight="1" outlineLevel="1" x14ac:dyDescent="0.3">
      <c r="A802" s="101" t="s">
        <v>697</v>
      </c>
      <c r="B802" s="90">
        <v>472</v>
      </c>
      <c r="C802" s="90" t="s">
        <v>751</v>
      </c>
      <c r="D802" s="90" t="s">
        <v>137</v>
      </c>
      <c r="E802" s="91">
        <v>46143</v>
      </c>
      <c r="F802" s="30">
        <v>20</v>
      </c>
      <c r="G802" s="91">
        <v>45989</v>
      </c>
      <c r="H802" s="91">
        <v>46177</v>
      </c>
      <c r="I802" s="90">
        <v>0</v>
      </c>
      <c r="J802" s="92">
        <v>154</v>
      </c>
      <c r="K802" s="90" t="s">
        <v>236</v>
      </c>
      <c r="L802" s="90"/>
    </row>
    <row r="803" spans="1:12" ht="15" customHeight="1" outlineLevel="1" x14ac:dyDescent="0.3">
      <c r="A803" s="101" t="s">
        <v>697</v>
      </c>
      <c r="B803" s="90">
        <v>472</v>
      </c>
      <c r="C803" s="90" t="s">
        <v>751</v>
      </c>
      <c r="D803" s="90" t="s">
        <v>137</v>
      </c>
      <c r="E803" s="91">
        <v>46151</v>
      </c>
      <c r="F803" s="30">
        <v>25</v>
      </c>
      <c r="G803" s="91">
        <v>45989</v>
      </c>
      <c r="H803" s="91">
        <v>46177</v>
      </c>
      <c r="I803" s="90">
        <v>0</v>
      </c>
      <c r="J803" s="92">
        <v>162</v>
      </c>
      <c r="K803" s="90" t="s">
        <v>236</v>
      </c>
      <c r="L803" s="90"/>
    </row>
    <row r="804" spans="1:12" ht="15" customHeight="1" outlineLevel="1" x14ac:dyDescent="0.3">
      <c r="A804" s="101" t="s">
        <v>697</v>
      </c>
      <c r="B804" s="90">
        <v>472</v>
      </c>
      <c r="C804" s="90" t="s">
        <v>751</v>
      </c>
      <c r="D804" s="90" t="s">
        <v>137</v>
      </c>
      <c r="E804" s="91">
        <v>46160</v>
      </c>
      <c r="F804" s="30">
        <v>27</v>
      </c>
      <c r="G804" s="91">
        <v>45989</v>
      </c>
      <c r="H804" s="91">
        <v>46177</v>
      </c>
      <c r="I804" s="90">
        <v>0</v>
      </c>
      <c r="J804" s="92">
        <v>171</v>
      </c>
      <c r="K804" s="90" t="s">
        <v>236</v>
      </c>
      <c r="L804" s="90"/>
    </row>
    <row r="805" spans="1:12" ht="15" customHeight="1" x14ac:dyDescent="0.3">
      <c r="A805" s="101" t="s">
        <v>698</v>
      </c>
      <c r="B805" s="90" t="s">
        <v>698</v>
      </c>
      <c r="C805" s="90" t="s">
        <v>698</v>
      </c>
      <c r="D805" s="90" t="s">
        <v>137</v>
      </c>
      <c r="E805" s="91">
        <v>45646</v>
      </c>
      <c r="F805" s="30">
        <v>25</v>
      </c>
      <c r="G805" s="91">
        <v>45527</v>
      </c>
      <c r="H805" s="91">
        <v>45995</v>
      </c>
      <c r="I805" s="90">
        <v>0</v>
      </c>
      <c r="J805" s="92">
        <v>119</v>
      </c>
      <c r="K805" s="90" t="s">
        <v>220</v>
      </c>
      <c r="L805" s="90"/>
    </row>
    <row r="806" spans="1:12" ht="15" customHeight="1" outlineLevel="1" x14ac:dyDescent="0.3">
      <c r="A806" s="101" t="s">
        <v>698</v>
      </c>
      <c r="B806" s="90" t="s">
        <v>698</v>
      </c>
      <c r="C806" s="90" t="s">
        <v>698</v>
      </c>
      <c r="D806" s="90" t="s">
        <v>137</v>
      </c>
      <c r="E806" s="91">
        <v>45652</v>
      </c>
      <c r="F806" s="30">
        <v>25.2</v>
      </c>
      <c r="G806" s="91">
        <v>45527</v>
      </c>
      <c r="H806" s="91">
        <v>45995</v>
      </c>
      <c r="I806" s="90">
        <v>0</v>
      </c>
      <c r="J806" s="92">
        <v>125</v>
      </c>
      <c r="K806" s="90" t="s">
        <v>220</v>
      </c>
      <c r="L806" s="90"/>
    </row>
    <row r="807" spans="1:12" ht="15" customHeight="1" outlineLevel="1" x14ac:dyDescent="0.3">
      <c r="A807" s="101" t="s">
        <v>698</v>
      </c>
      <c r="B807" s="90" t="s">
        <v>698</v>
      </c>
      <c r="C807" s="90" t="s">
        <v>698</v>
      </c>
      <c r="D807" s="90" t="s">
        <v>137</v>
      </c>
      <c r="E807" s="91">
        <v>45675</v>
      </c>
      <c r="F807" s="30">
        <v>31.3</v>
      </c>
      <c r="G807" s="91">
        <v>45527</v>
      </c>
      <c r="H807" s="91">
        <v>45995</v>
      </c>
      <c r="I807" s="90">
        <v>0</v>
      </c>
      <c r="J807" s="92">
        <v>148</v>
      </c>
      <c r="K807" s="90" t="s">
        <v>221</v>
      </c>
      <c r="L807" s="90"/>
    </row>
    <row r="808" spans="1:12" ht="15" customHeight="1" outlineLevel="1" x14ac:dyDescent="0.3">
      <c r="A808" s="101" t="s">
        <v>698</v>
      </c>
      <c r="B808" s="90" t="s">
        <v>698</v>
      </c>
      <c r="C808" s="90" t="s">
        <v>698</v>
      </c>
      <c r="D808" s="90" t="s">
        <v>137</v>
      </c>
      <c r="E808" s="91">
        <v>45692</v>
      </c>
      <c r="F808" s="30">
        <v>26</v>
      </c>
      <c r="G808" s="91">
        <v>45527</v>
      </c>
      <c r="H808" s="91">
        <v>45995</v>
      </c>
      <c r="I808" s="90">
        <v>0</v>
      </c>
      <c r="J808" s="92">
        <v>165</v>
      </c>
      <c r="K808" s="90" t="s">
        <v>222</v>
      </c>
      <c r="L808" s="90"/>
    </row>
    <row r="809" spans="1:12" ht="15" customHeight="1" outlineLevel="1" x14ac:dyDescent="0.3">
      <c r="A809" s="101" t="s">
        <v>698</v>
      </c>
      <c r="B809" s="90" t="s">
        <v>698</v>
      </c>
      <c r="C809" s="90" t="s">
        <v>698</v>
      </c>
      <c r="D809" s="90" t="s">
        <v>137</v>
      </c>
      <c r="E809" s="91">
        <v>45724</v>
      </c>
      <c r="F809" s="30">
        <v>28.4</v>
      </c>
      <c r="G809" s="91">
        <v>45527</v>
      </c>
      <c r="H809" s="91">
        <v>45995</v>
      </c>
      <c r="I809" s="90">
        <v>0</v>
      </c>
      <c r="J809" s="92">
        <v>197</v>
      </c>
      <c r="K809" s="90" t="s">
        <v>223</v>
      </c>
      <c r="L809" s="90"/>
    </row>
    <row r="810" spans="1:12" ht="15" customHeight="1" outlineLevel="1" x14ac:dyDescent="0.3">
      <c r="A810" s="101" t="s">
        <v>698</v>
      </c>
      <c r="B810" s="90" t="s">
        <v>698</v>
      </c>
      <c r="C810" s="90" t="s">
        <v>698</v>
      </c>
      <c r="D810" s="90" t="s">
        <v>137</v>
      </c>
      <c r="E810" s="91">
        <v>45731</v>
      </c>
      <c r="F810" s="30">
        <v>26</v>
      </c>
      <c r="G810" s="91">
        <v>45527</v>
      </c>
      <c r="H810" s="91">
        <v>45995</v>
      </c>
      <c r="I810" s="90">
        <v>0</v>
      </c>
      <c r="J810" s="92">
        <v>204</v>
      </c>
      <c r="K810" s="90" t="s">
        <v>223</v>
      </c>
      <c r="L810" s="90"/>
    </row>
    <row r="811" spans="1:12" ht="15" customHeight="1" outlineLevel="1" x14ac:dyDescent="0.3">
      <c r="A811" s="101" t="s">
        <v>698</v>
      </c>
      <c r="B811" s="90" t="s">
        <v>698</v>
      </c>
      <c r="C811" s="90" t="s">
        <v>698</v>
      </c>
      <c r="D811" s="90" t="s">
        <v>137</v>
      </c>
      <c r="E811" s="91">
        <v>45766</v>
      </c>
      <c r="F811" s="30">
        <v>20</v>
      </c>
      <c r="G811" s="91">
        <v>45527</v>
      </c>
      <c r="H811" s="91">
        <v>45995</v>
      </c>
      <c r="I811" s="90">
        <v>0</v>
      </c>
      <c r="J811" s="92">
        <v>239</v>
      </c>
      <c r="K811" s="90" t="s">
        <v>224</v>
      </c>
      <c r="L811" s="90"/>
    </row>
    <row r="812" spans="1:12" ht="15" customHeight="1" outlineLevel="1" x14ac:dyDescent="0.3">
      <c r="A812" s="101" t="s">
        <v>698</v>
      </c>
      <c r="B812" s="90" t="s">
        <v>698</v>
      </c>
      <c r="C812" s="90" t="s">
        <v>698</v>
      </c>
      <c r="D812" s="90" t="s">
        <v>137</v>
      </c>
      <c r="E812" s="91">
        <v>45858</v>
      </c>
      <c r="F812" s="30">
        <v>24</v>
      </c>
      <c r="G812" s="91">
        <v>45527</v>
      </c>
      <c r="H812" s="91">
        <v>45995</v>
      </c>
      <c r="I812" s="90">
        <v>0</v>
      </c>
      <c r="J812" s="92">
        <v>331</v>
      </c>
      <c r="K812" s="90" t="s">
        <v>226</v>
      </c>
      <c r="L812" s="90"/>
    </row>
    <row r="813" spans="1:12" ht="15" customHeight="1" outlineLevel="1" x14ac:dyDescent="0.3">
      <c r="A813" s="101" t="s">
        <v>698</v>
      </c>
      <c r="B813" s="90" t="s">
        <v>698</v>
      </c>
      <c r="C813" s="90" t="s">
        <v>698</v>
      </c>
      <c r="D813" s="90" t="s">
        <v>137</v>
      </c>
      <c r="E813" s="91">
        <v>45882</v>
      </c>
      <c r="F813" s="30">
        <v>19</v>
      </c>
      <c r="G813" s="91">
        <v>45527</v>
      </c>
      <c r="H813" s="91">
        <v>45995</v>
      </c>
      <c r="I813" s="90">
        <v>0</v>
      </c>
      <c r="J813" s="92">
        <v>355</v>
      </c>
      <c r="K813" s="90" t="s">
        <v>227</v>
      </c>
      <c r="L813" s="90"/>
    </row>
    <row r="814" spans="1:12" ht="15" customHeight="1" outlineLevel="1" x14ac:dyDescent="0.3">
      <c r="A814" s="101" t="s">
        <v>698</v>
      </c>
      <c r="B814" s="90" t="s">
        <v>698</v>
      </c>
      <c r="C814" s="90" t="s">
        <v>698</v>
      </c>
      <c r="D814" s="90" t="s">
        <v>137</v>
      </c>
      <c r="E814" s="91">
        <v>45893</v>
      </c>
      <c r="F814" s="30">
        <v>19.3</v>
      </c>
      <c r="G814" s="91">
        <v>45527</v>
      </c>
      <c r="H814" s="91">
        <v>45995</v>
      </c>
      <c r="I814" s="90">
        <v>0</v>
      </c>
      <c r="J814" s="92">
        <v>366</v>
      </c>
      <c r="K814" s="90" t="s">
        <v>227</v>
      </c>
      <c r="L814" s="90"/>
    </row>
    <row r="815" spans="1:12" ht="15" customHeight="1" outlineLevel="1" x14ac:dyDescent="0.3">
      <c r="A815" s="101" t="s">
        <v>698</v>
      </c>
      <c r="B815" s="90" t="s">
        <v>698</v>
      </c>
      <c r="C815" s="90" t="s">
        <v>698</v>
      </c>
      <c r="D815" s="90" t="s">
        <v>137</v>
      </c>
      <c r="E815" s="91">
        <v>45922</v>
      </c>
      <c r="F815" s="30">
        <v>22</v>
      </c>
      <c r="G815" s="91">
        <v>45527</v>
      </c>
      <c r="H815" s="91">
        <v>45995</v>
      </c>
      <c r="I815" s="90">
        <v>0</v>
      </c>
      <c r="J815" s="92">
        <v>395</v>
      </c>
      <c r="K815" s="90" t="s">
        <v>228</v>
      </c>
      <c r="L815" s="90"/>
    </row>
    <row r="816" spans="1:12" ht="15" customHeight="1" x14ac:dyDescent="0.3">
      <c r="A816" s="101" t="s">
        <v>699</v>
      </c>
      <c r="B816" s="90">
        <v>603</v>
      </c>
      <c r="C816" s="90" t="s">
        <v>752</v>
      </c>
      <c r="D816" s="90" t="s">
        <v>137</v>
      </c>
      <c r="E816" s="91">
        <v>45646</v>
      </c>
      <c r="F816" s="30">
        <v>25.2</v>
      </c>
      <c r="G816" s="91">
        <v>45982</v>
      </c>
      <c r="H816" s="91"/>
      <c r="I816" s="90">
        <v>1</v>
      </c>
      <c r="J816" s="92">
        <v>-336</v>
      </c>
      <c r="K816" s="90" t="s">
        <v>220</v>
      </c>
      <c r="L816" s="90"/>
    </row>
    <row r="817" spans="1:12" ht="15" customHeight="1" outlineLevel="1" x14ac:dyDescent="0.3">
      <c r="A817" s="101" t="s">
        <v>699</v>
      </c>
      <c r="B817" s="90">
        <v>603</v>
      </c>
      <c r="C817" s="90" t="s">
        <v>752</v>
      </c>
      <c r="D817" s="90" t="s">
        <v>137</v>
      </c>
      <c r="E817" s="91">
        <v>45652</v>
      </c>
      <c r="F817" s="30">
        <v>30.4</v>
      </c>
      <c r="G817" s="91">
        <v>45982</v>
      </c>
      <c r="H817" s="91"/>
      <c r="I817" s="90">
        <v>1</v>
      </c>
      <c r="J817" s="92">
        <v>-330</v>
      </c>
      <c r="K817" s="90" t="s">
        <v>220</v>
      </c>
      <c r="L817" s="90"/>
    </row>
    <row r="818" spans="1:12" ht="15" customHeight="1" outlineLevel="1" x14ac:dyDescent="0.3">
      <c r="A818" s="101" t="s">
        <v>699</v>
      </c>
      <c r="B818" s="90">
        <v>603</v>
      </c>
      <c r="C818" s="90" t="s">
        <v>752</v>
      </c>
      <c r="D818" s="90" t="s">
        <v>137</v>
      </c>
      <c r="E818" s="91">
        <v>45675</v>
      </c>
      <c r="F818" s="30">
        <v>41.1</v>
      </c>
      <c r="G818" s="91">
        <v>45982</v>
      </c>
      <c r="H818" s="91"/>
      <c r="I818" s="90">
        <v>1</v>
      </c>
      <c r="J818" s="92">
        <v>-307</v>
      </c>
      <c r="K818" s="90" t="s">
        <v>221</v>
      </c>
      <c r="L818" s="90"/>
    </row>
    <row r="819" spans="1:12" ht="15" customHeight="1" outlineLevel="1" x14ac:dyDescent="0.3">
      <c r="A819" s="101" t="s">
        <v>699</v>
      </c>
      <c r="B819" s="90">
        <v>603</v>
      </c>
      <c r="C819" s="90" t="s">
        <v>752</v>
      </c>
      <c r="D819" s="90" t="s">
        <v>137</v>
      </c>
      <c r="E819" s="91">
        <v>45692</v>
      </c>
      <c r="F819" s="30">
        <v>40</v>
      </c>
      <c r="G819" s="91">
        <v>45982</v>
      </c>
      <c r="H819" s="91"/>
      <c r="I819" s="90">
        <v>1</v>
      </c>
      <c r="J819" s="92">
        <v>-290</v>
      </c>
      <c r="K819" s="90" t="s">
        <v>222</v>
      </c>
      <c r="L819" s="90"/>
    </row>
    <row r="820" spans="1:12" ht="15" customHeight="1" outlineLevel="1" x14ac:dyDescent="0.3">
      <c r="A820" s="101" t="s">
        <v>699</v>
      </c>
      <c r="B820" s="90">
        <v>603</v>
      </c>
      <c r="C820" s="90" t="s">
        <v>752</v>
      </c>
      <c r="D820" s="90" t="s">
        <v>137</v>
      </c>
      <c r="E820" s="91">
        <v>45724</v>
      </c>
      <c r="F820" s="30">
        <v>35</v>
      </c>
      <c r="G820" s="91">
        <v>45982</v>
      </c>
      <c r="H820" s="91"/>
      <c r="I820" s="90">
        <v>1</v>
      </c>
      <c r="J820" s="92">
        <v>-258</v>
      </c>
      <c r="K820" s="90" t="s">
        <v>223</v>
      </c>
      <c r="L820" s="90"/>
    </row>
    <row r="821" spans="1:12" ht="15" customHeight="1" outlineLevel="1" x14ac:dyDescent="0.3">
      <c r="A821" s="101" t="s">
        <v>699</v>
      </c>
      <c r="B821" s="90">
        <v>603</v>
      </c>
      <c r="C821" s="90" t="s">
        <v>752</v>
      </c>
      <c r="D821" s="90" t="s">
        <v>137</v>
      </c>
      <c r="E821" s="91">
        <v>45731</v>
      </c>
      <c r="F821" s="30">
        <v>39</v>
      </c>
      <c r="G821" s="91">
        <v>45982</v>
      </c>
      <c r="H821" s="91"/>
      <c r="I821" s="90">
        <v>1</v>
      </c>
      <c r="J821" s="92">
        <v>-251</v>
      </c>
      <c r="K821" s="90" t="s">
        <v>223</v>
      </c>
      <c r="L821" s="90"/>
    </row>
    <row r="822" spans="1:12" ht="15" customHeight="1" outlineLevel="1" x14ac:dyDescent="0.3">
      <c r="A822" s="101" t="s">
        <v>699</v>
      </c>
      <c r="B822" s="90">
        <v>603</v>
      </c>
      <c r="C822" s="90" t="s">
        <v>752</v>
      </c>
      <c r="D822" s="90" t="s">
        <v>137</v>
      </c>
      <c r="E822" s="91">
        <v>45766</v>
      </c>
      <c r="F822" s="30">
        <v>37.200000000000003</v>
      </c>
      <c r="G822" s="91">
        <v>45982</v>
      </c>
      <c r="H822" s="91"/>
      <c r="I822" s="90">
        <v>1</v>
      </c>
      <c r="J822" s="92">
        <v>-216</v>
      </c>
      <c r="K822" s="90" t="s">
        <v>224</v>
      </c>
      <c r="L822" s="90"/>
    </row>
    <row r="823" spans="1:12" ht="15" customHeight="1" outlineLevel="1" x14ac:dyDescent="0.3">
      <c r="A823" s="101" t="s">
        <v>699</v>
      </c>
      <c r="B823" s="90">
        <v>603</v>
      </c>
      <c r="C823" s="90" t="s">
        <v>752</v>
      </c>
      <c r="D823" s="90" t="s">
        <v>137</v>
      </c>
      <c r="E823" s="91">
        <v>45858</v>
      </c>
      <c r="F823" s="30">
        <v>20.2</v>
      </c>
      <c r="G823" s="91">
        <v>45982</v>
      </c>
      <c r="H823" s="91"/>
      <c r="I823" s="90">
        <v>1</v>
      </c>
      <c r="J823" s="92">
        <v>-124</v>
      </c>
      <c r="K823" s="90" t="s">
        <v>226</v>
      </c>
      <c r="L823" s="90"/>
    </row>
    <row r="824" spans="1:12" ht="15" customHeight="1" outlineLevel="1" x14ac:dyDescent="0.3">
      <c r="A824" s="101" t="s">
        <v>699</v>
      </c>
      <c r="B824" s="90">
        <v>603</v>
      </c>
      <c r="C824" s="90" t="s">
        <v>752</v>
      </c>
      <c r="D824" s="90" t="s">
        <v>137</v>
      </c>
      <c r="E824" s="91">
        <v>45882</v>
      </c>
      <c r="F824" s="30">
        <v>24</v>
      </c>
      <c r="G824" s="91">
        <v>45982</v>
      </c>
      <c r="H824" s="91"/>
      <c r="I824" s="90">
        <v>1</v>
      </c>
      <c r="J824" s="92">
        <v>-100</v>
      </c>
      <c r="K824" s="90" t="s">
        <v>227</v>
      </c>
      <c r="L824" s="90"/>
    </row>
    <row r="825" spans="1:12" ht="15" customHeight="1" outlineLevel="1" x14ac:dyDescent="0.3">
      <c r="A825" s="101" t="s">
        <v>699</v>
      </c>
      <c r="B825" s="90">
        <v>603</v>
      </c>
      <c r="C825" s="90" t="s">
        <v>752</v>
      </c>
      <c r="D825" s="90" t="s">
        <v>137</v>
      </c>
      <c r="E825" s="91">
        <v>45893</v>
      </c>
      <c r="F825" s="30">
        <v>22</v>
      </c>
      <c r="G825" s="91">
        <v>45982</v>
      </c>
      <c r="H825" s="91"/>
      <c r="I825" s="90">
        <v>1</v>
      </c>
      <c r="J825" s="92">
        <v>-89</v>
      </c>
      <c r="K825" s="90" t="s">
        <v>227</v>
      </c>
      <c r="L825" s="90"/>
    </row>
    <row r="826" spans="1:12" ht="15" customHeight="1" outlineLevel="1" x14ac:dyDescent="0.3">
      <c r="A826" s="101" t="s">
        <v>699</v>
      </c>
      <c r="B826" s="90">
        <v>603</v>
      </c>
      <c r="C826" s="90" t="s">
        <v>752</v>
      </c>
      <c r="D826" s="90" t="s">
        <v>137</v>
      </c>
      <c r="E826" s="91">
        <v>45922</v>
      </c>
      <c r="F826" s="30">
        <v>27</v>
      </c>
      <c r="G826" s="91">
        <v>45982</v>
      </c>
      <c r="H826" s="91"/>
      <c r="I826" s="90">
        <v>1</v>
      </c>
      <c r="J826" s="92">
        <v>-60</v>
      </c>
      <c r="K826" s="90" t="s">
        <v>228</v>
      </c>
      <c r="L826" s="90"/>
    </row>
    <row r="827" spans="1:12" ht="15" customHeight="1" outlineLevel="1" x14ac:dyDescent="0.3">
      <c r="A827" s="101" t="s">
        <v>699</v>
      </c>
      <c r="B827" s="90">
        <v>603</v>
      </c>
      <c r="C827" s="90" t="s">
        <v>752</v>
      </c>
      <c r="D827" s="90" t="s">
        <v>137</v>
      </c>
      <c r="E827" s="91">
        <v>45932</v>
      </c>
      <c r="F827" s="30">
        <v>17.399999999999999</v>
      </c>
      <c r="G827" s="91">
        <v>45982</v>
      </c>
      <c r="H827" s="91"/>
      <c r="I827" s="90">
        <v>1</v>
      </c>
      <c r="J827" s="92">
        <v>-50</v>
      </c>
      <c r="K827" s="90" t="s">
        <v>229</v>
      </c>
      <c r="L827" s="90"/>
    </row>
    <row r="828" spans="1:12" ht="15" customHeight="1" outlineLevel="1" x14ac:dyDescent="0.3">
      <c r="A828" s="101" t="s">
        <v>699</v>
      </c>
      <c r="B828" s="90">
        <v>603</v>
      </c>
      <c r="C828" s="90" t="s">
        <v>752</v>
      </c>
      <c r="D828" s="90" t="s">
        <v>137</v>
      </c>
      <c r="E828" s="91">
        <v>45947</v>
      </c>
      <c r="F828" s="30">
        <v>16</v>
      </c>
      <c r="G828" s="91">
        <v>45982</v>
      </c>
      <c r="H828" s="91"/>
      <c r="I828" s="90">
        <v>1</v>
      </c>
      <c r="J828" s="92">
        <v>-35</v>
      </c>
      <c r="K828" s="90" t="s">
        <v>229</v>
      </c>
      <c r="L828" s="90"/>
    </row>
    <row r="829" spans="1:12" ht="15" customHeight="1" outlineLevel="1" x14ac:dyDescent="0.3">
      <c r="A829" s="101" t="s">
        <v>699</v>
      </c>
      <c r="B829" s="90">
        <v>603</v>
      </c>
      <c r="C829" s="90" t="s">
        <v>752</v>
      </c>
      <c r="D829" s="90" t="s">
        <v>137</v>
      </c>
      <c r="E829" s="91">
        <v>45979</v>
      </c>
      <c r="F829" s="30">
        <v>11</v>
      </c>
      <c r="G829" s="91">
        <v>45982</v>
      </c>
      <c r="H829" s="91"/>
      <c r="I829" s="90">
        <v>1</v>
      </c>
      <c r="J829" s="92">
        <v>-3</v>
      </c>
      <c r="K829" s="90" t="s">
        <v>230</v>
      </c>
      <c r="L829" s="90"/>
    </row>
    <row r="830" spans="1:12" ht="15" customHeight="1" outlineLevel="1" x14ac:dyDescent="0.3">
      <c r="A830" s="101" t="s">
        <v>699</v>
      </c>
      <c r="B830" s="90">
        <v>603</v>
      </c>
      <c r="C830" s="90" t="s">
        <v>752</v>
      </c>
      <c r="D830" s="90" t="s">
        <v>137</v>
      </c>
      <c r="E830" s="91">
        <v>45985</v>
      </c>
      <c r="F830" s="30">
        <v>15</v>
      </c>
      <c r="G830" s="91">
        <v>45982</v>
      </c>
      <c r="H830" s="91"/>
      <c r="I830" s="90">
        <v>1</v>
      </c>
      <c r="J830" s="92">
        <v>3</v>
      </c>
      <c r="K830" s="90" t="s">
        <v>230</v>
      </c>
      <c r="L830" s="90"/>
    </row>
    <row r="831" spans="1:12" ht="15" customHeight="1" outlineLevel="1" x14ac:dyDescent="0.3">
      <c r="A831" s="101" t="s">
        <v>699</v>
      </c>
      <c r="B831" s="90">
        <v>603</v>
      </c>
      <c r="C831" s="90" t="s">
        <v>752</v>
      </c>
      <c r="D831" s="90" t="s">
        <v>137</v>
      </c>
      <c r="E831" s="91">
        <v>45990</v>
      </c>
      <c r="F831" s="30">
        <v>20</v>
      </c>
      <c r="G831" s="91">
        <v>45982</v>
      </c>
      <c r="H831" s="91"/>
      <c r="I831" s="90">
        <v>1</v>
      </c>
      <c r="J831" s="92">
        <v>8</v>
      </c>
      <c r="K831" s="90" t="s">
        <v>230</v>
      </c>
      <c r="L831" s="90"/>
    </row>
    <row r="832" spans="1:12" ht="15" customHeight="1" outlineLevel="1" x14ac:dyDescent="0.3">
      <c r="A832" s="101" t="s">
        <v>699</v>
      </c>
      <c r="B832" s="90">
        <v>603</v>
      </c>
      <c r="C832" s="90" t="s">
        <v>752</v>
      </c>
      <c r="D832" s="90" t="s">
        <v>137</v>
      </c>
      <c r="E832" s="91">
        <v>46004</v>
      </c>
      <c r="F832" s="30">
        <v>21</v>
      </c>
      <c r="G832" s="91">
        <v>45982</v>
      </c>
      <c r="H832" s="91"/>
      <c r="I832" s="90">
        <v>1</v>
      </c>
      <c r="J832" s="92">
        <v>22</v>
      </c>
      <c r="K832" s="90" t="s">
        <v>231</v>
      </c>
      <c r="L832" s="90"/>
    </row>
    <row r="833" spans="1:12" ht="15" customHeight="1" outlineLevel="1" x14ac:dyDescent="0.3">
      <c r="A833" s="101" t="s">
        <v>699</v>
      </c>
      <c r="B833" s="90">
        <v>603</v>
      </c>
      <c r="C833" s="90" t="s">
        <v>752</v>
      </c>
      <c r="D833" s="90" t="s">
        <v>137</v>
      </c>
      <c r="E833" s="91">
        <v>46012</v>
      </c>
      <c r="F833" s="30">
        <v>22</v>
      </c>
      <c r="G833" s="91">
        <v>45982</v>
      </c>
      <c r="H833" s="91"/>
      <c r="I833" s="90">
        <v>1</v>
      </c>
      <c r="J833" s="92">
        <v>30</v>
      </c>
      <c r="K833" s="90" t="s">
        <v>231</v>
      </c>
      <c r="L833" s="90"/>
    </row>
    <row r="834" spans="1:12" ht="15" customHeight="1" outlineLevel="1" x14ac:dyDescent="0.3">
      <c r="A834" s="101" t="s">
        <v>699</v>
      </c>
      <c r="B834" s="90">
        <v>603</v>
      </c>
      <c r="C834" s="90" t="s">
        <v>752</v>
      </c>
      <c r="D834" s="90" t="s">
        <v>137</v>
      </c>
      <c r="E834" s="91">
        <v>46020</v>
      </c>
      <c r="F834" s="30">
        <v>20</v>
      </c>
      <c r="G834" s="91">
        <v>45982</v>
      </c>
      <c r="H834" s="91"/>
      <c r="I834" s="90">
        <v>1</v>
      </c>
      <c r="J834" s="92">
        <v>38</v>
      </c>
      <c r="K834" s="90" t="s">
        <v>231</v>
      </c>
      <c r="L834" s="90"/>
    </row>
    <row r="835" spans="1:12" ht="15" customHeight="1" outlineLevel="1" x14ac:dyDescent="0.3">
      <c r="A835" s="101" t="s">
        <v>699</v>
      </c>
      <c r="B835" s="90">
        <v>603</v>
      </c>
      <c r="C835" s="90" t="s">
        <v>752</v>
      </c>
      <c r="D835" s="90" t="s">
        <v>137</v>
      </c>
      <c r="E835" s="91">
        <v>46026</v>
      </c>
      <c r="F835" s="30">
        <v>22</v>
      </c>
      <c r="G835" s="91">
        <v>45982</v>
      </c>
      <c r="H835" s="91"/>
      <c r="I835" s="90">
        <v>1</v>
      </c>
      <c r="J835" s="92">
        <v>44</v>
      </c>
      <c r="K835" s="90" t="s">
        <v>232</v>
      </c>
      <c r="L835" s="90"/>
    </row>
    <row r="836" spans="1:12" ht="15" customHeight="1" outlineLevel="1" x14ac:dyDescent="0.3">
      <c r="A836" s="101" t="s">
        <v>699</v>
      </c>
      <c r="B836" s="90">
        <v>603</v>
      </c>
      <c r="C836" s="90" t="s">
        <v>752</v>
      </c>
      <c r="D836" s="90" t="s">
        <v>137</v>
      </c>
      <c r="E836" s="91">
        <v>46032</v>
      </c>
      <c r="F836" s="30">
        <v>23</v>
      </c>
      <c r="G836" s="91">
        <v>45982</v>
      </c>
      <c r="H836" s="91"/>
      <c r="I836" s="90">
        <v>1</v>
      </c>
      <c r="J836" s="92">
        <v>50</v>
      </c>
      <c r="K836" s="90" t="s">
        <v>232</v>
      </c>
      <c r="L836" s="90"/>
    </row>
    <row r="837" spans="1:12" ht="15" customHeight="1" outlineLevel="1" x14ac:dyDescent="0.3">
      <c r="A837" s="101" t="s">
        <v>699</v>
      </c>
      <c r="B837" s="90">
        <v>603</v>
      </c>
      <c r="C837" s="90" t="s">
        <v>752</v>
      </c>
      <c r="D837" s="90" t="s">
        <v>137</v>
      </c>
      <c r="E837" s="91">
        <v>46038</v>
      </c>
      <c r="F837" s="30">
        <v>19</v>
      </c>
      <c r="G837" s="91">
        <v>45982</v>
      </c>
      <c r="H837" s="91"/>
      <c r="I837" s="90">
        <v>1</v>
      </c>
      <c r="J837" s="92">
        <v>56</v>
      </c>
      <c r="K837" s="90" t="s">
        <v>232</v>
      </c>
      <c r="L837" s="90"/>
    </row>
    <row r="838" spans="1:12" ht="15" customHeight="1" outlineLevel="1" x14ac:dyDescent="0.3">
      <c r="A838" s="101" t="s">
        <v>699</v>
      </c>
      <c r="B838" s="90">
        <v>603</v>
      </c>
      <c r="C838" s="90" t="s">
        <v>752</v>
      </c>
      <c r="D838" s="90" t="s">
        <v>137</v>
      </c>
      <c r="E838" s="91">
        <v>46045</v>
      </c>
      <c r="F838" s="30">
        <v>22</v>
      </c>
      <c r="G838" s="91">
        <v>45982</v>
      </c>
      <c r="H838" s="91"/>
      <c r="I838" s="90">
        <v>1</v>
      </c>
      <c r="J838" s="92">
        <v>63</v>
      </c>
      <c r="K838" s="90" t="s">
        <v>232</v>
      </c>
      <c r="L838" s="90"/>
    </row>
    <row r="839" spans="1:12" ht="15" customHeight="1" outlineLevel="1" x14ac:dyDescent="0.3">
      <c r="A839" s="101" t="s">
        <v>699</v>
      </c>
      <c r="B839" s="90">
        <v>603</v>
      </c>
      <c r="C839" s="90" t="s">
        <v>752</v>
      </c>
      <c r="D839" s="90" t="s">
        <v>137</v>
      </c>
      <c r="E839" s="91">
        <v>46052</v>
      </c>
      <c r="F839" s="30">
        <v>23</v>
      </c>
      <c r="G839" s="91">
        <v>45982</v>
      </c>
      <c r="H839" s="91"/>
      <c r="I839" s="90">
        <v>1</v>
      </c>
      <c r="J839" s="92">
        <v>70</v>
      </c>
      <c r="K839" s="90" t="s">
        <v>232</v>
      </c>
      <c r="L839" s="90"/>
    </row>
    <row r="840" spans="1:12" ht="15" customHeight="1" outlineLevel="1" x14ac:dyDescent="0.3">
      <c r="A840" s="101" t="s">
        <v>699</v>
      </c>
      <c r="B840" s="90">
        <v>603</v>
      </c>
      <c r="C840" s="90" t="s">
        <v>752</v>
      </c>
      <c r="D840" s="90" t="s">
        <v>137</v>
      </c>
      <c r="E840" s="91">
        <v>46071</v>
      </c>
      <c r="F840" s="30">
        <v>23</v>
      </c>
      <c r="G840" s="91">
        <v>45982</v>
      </c>
      <c r="H840" s="91"/>
      <c r="I840" s="90">
        <v>1</v>
      </c>
      <c r="J840" s="92">
        <v>89</v>
      </c>
      <c r="K840" s="90" t="s">
        <v>233</v>
      </c>
      <c r="L840" s="90"/>
    </row>
    <row r="841" spans="1:12" ht="15" customHeight="1" outlineLevel="1" x14ac:dyDescent="0.3">
      <c r="A841" s="101" t="s">
        <v>699</v>
      </c>
      <c r="B841" s="90">
        <v>603</v>
      </c>
      <c r="C841" s="90" t="s">
        <v>752</v>
      </c>
      <c r="D841" s="90" t="s">
        <v>137</v>
      </c>
      <c r="E841" s="91">
        <v>46102</v>
      </c>
      <c r="F841" s="30">
        <v>23</v>
      </c>
      <c r="G841" s="91">
        <v>45982</v>
      </c>
      <c r="H841" s="91"/>
      <c r="I841" s="90">
        <v>1</v>
      </c>
      <c r="J841" s="92">
        <v>120</v>
      </c>
      <c r="K841" s="90" t="s">
        <v>234</v>
      </c>
      <c r="L841" s="90"/>
    </row>
    <row r="842" spans="1:12" ht="15" customHeight="1" outlineLevel="1" x14ac:dyDescent="0.3">
      <c r="A842" s="101" t="s">
        <v>699</v>
      </c>
      <c r="B842" s="90">
        <v>603</v>
      </c>
      <c r="C842" s="90" t="s">
        <v>752</v>
      </c>
      <c r="D842" s="90" t="s">
        <v>137</v>
      </c>
      <c r="E842" s="91">
        <v>46116</v>
      </c>
      <c r="F842" s="30">
        <v>19</v>
      </c>
      <c r="G842" s="91">
        <v>45982</v>
      </c>
      <c r="H842" s="91"/>
      <c r="I842" s="90">
        <v>1</v>
      </c>
      <c r="J842" s="92">
        <v>134</v>
      </c>
      <c r="K842" s="90" t="s">
        <v>235</v>
      </c>
      <c r="L842" s="90"/>
    </row>
    <row r="843" spans="1:12" ht="15" customHeight="1" outlineLevel="1" x14ac:dyDescent="0.3">
      <c r="A843" s="101" t="s">
        <v>699</v>
      </c>
      <c r="B843" s="90">
        <v>603</v>
      </c>
      <c r="C843" s="90" t="s">
        <v>752</v>
      </c>
      <c r="D843" s="90" t="s">
        <v>137</v>
      </c>
      <c r="E843" s="91">
        <v>46129</v>
      </c>
      <c r="F843" s="30">
        <v>21</v>
      </c>
      <c r="G843" s="91">
        <v>45982</v>
      </c>
      <c r="H843" s="91"/>
      <c r="I843" s="90">
        <v>1</v>
      </c>
      <c r="J843" s="92">
        <v>147</v>
      </c>
      <c r="K843" s="90" t="s">
        <v>235</v>
      </c>
      <c r="L843" s="90"/>
    </row>
    <row r="844" spans="1:12" ht="15" customHeight="1" outlineLevel="1" x14ac:dyDescent="0.3">
      <c r="A844" s="101" t="s">
        <v>699</v>
      </c>
      <c r="B844" s="90">
        <v>603</v>
      </c>
      <c r="C844" s="90" t="s">
        <v>752</v>
      </c>
      <c r="D844" s="90" t="s">
        <v>137</v>
      </c>
      <c r="E844" s="91">
        <v>46143</v>
      </c>
      <c r="F844" s="30">
        <v>14</v>
      </c>
      <c r="G844" s="91">
        <v>45982</v>
      </c>
      <c r="H844" s="91"/>
      <c r="I844" s="90">
        <v>1</v>
      </c>
      <c r="J844" s="92">
        <v>161</v>
      </c>
      <c r="K844" s="90" t="s">
        <v>236</v>
      </c>
      <c r="L844" s="90"/>
    </row>
    <row r="845" spans="1:12" ht="15" customHeight="1" outlineLevel="1" x14ac:dyDescent="0.3">
      <c r="A845" s="101" t="s">
        <v>699</v>
      </c>
      <c r="B845" s="90">
        <v>603</v>
      </c>
      <c r="C845" s="90" t="s">
        <v>752</v>
      </c>
      <c r="D845" s="90" t="s">
        <v>137</v>
      </c>
      <c r="E845" s="91">
        <v>46151</v>
      </c>
      <c r="F845" s="30">
        <v>21</v>
      </c>
      <c r="G845" s="91">
        <v>45982</v>
      </c>
      <c r="H845" s="91"/>
      <c r="I845" s="90">
        <v>1</v>
      </c>
      <c r="J845" s="92">
        <v>169</v>
      </c>
      <c r="K845" s="90" t="s">
        <v>236</v>
      </c>
      <c r="L845" s="90"/>
    </row>
    <row r="846" spans="1:12" ht="15" customHeight="1" outlineLevel="1" x14ac:dyDescent="0.3">
      <c r="A846" s="101" t="s">
        <v>699</v>
      </c>
      <c r="B846" s="90">
        <v>603</v>
      </c>
      <c r="C846" s="90" t="s">
        <v>752</v>
      </c>
      <c r="D846" s="90" t="s">
        <v>137</v>
      </c>
      <c r="E846" s="91">
        <v>46160</v>
      </c>
      <c r="F846" s="30">
        <v>14</v>
      </c>
      <c r="G846" s="91">
        <v>45982</v>
      </c>
      <c r="H846" s="91"/>
      <c r="I846" s="90">
        <v>1</v>
      </c>
      <c r="J846" s="92">
        <v>178</v>
      </c>
      <c r="K846" s="90" t="s">
        <v>236</v>
      </c>
      <c r="L846" s="90"/>
    </row>
    <row r="847" spans="1:12" ht="15" customHeight="1" outlineLevel="1" x14ac:dyDescent="0.3">
      <c r="A847" s="101" t="s">
        <v>699</v>
      </c>
      <c r="B847" s="90">
        <v>603</v>
      </c>
      <c r="C847" s="90" t="s">
        <v>752</v>
      </c>
      <c r="D847" s="90" t="s">
        <v>137</v>
      </c>
      <c r="E847" s="91">
        <v>46186</v>
      </c>
      <c r="F847" s="30">
        <v>15</v>
      </c>
      <c r="G847" s="91">
        <v>45982</v>
      </c>
      <c r="H847" s="91"/>
      <c r="I847" s="90">
        <v>1</v>
      </c>
      <c r="J847" s="92">
        <v>204</v>
      </c>
      <c r="K847" s="90" t="s">
        <v>237</v>
      </c>
      <c r="L847" s="90"/>
    </row>
    <row r="848" spans="1:12" ht="15" customHeight="1" x14ac:dyDescent="0.3">
      <c r="A848" s="101" t="s">
        <v>700</v>
      </c>
      <c r="B848" s="90" t="s">
        <v>753</v>
      </c>
      <c r="C848" s="90" t="s">
        <v>700</v>
      </c>
      <c r="D848" s="90" t="s">
        <v>137</v>
      </c>
      <c r="E848" s="91">
        <v>45646</v>
      </c>
      <c r="F848" s="30">
        <v>31.2</v>
      </c>
      <c r="G848" s="91">
        <v>45527</v>
      </c>
      <c r="H848" s="91">
        <v>46019</v>
      </c>
      <c r="I848" s="90">
        <v>0</v>
      </c>
      <c r="J848" s="92">
        <v>119</v>
      </c>
      <c r="K848" s="90" t="s">
        <v>220</v>
      </c>
      <c r="L848" s="90"/>
    </row>
    <row r="849" spans="1:12" ht="15" customHeight="1" outlineLevel="1" x14ac:dyDescent="0.3">
      <c r="A849" s="101" t="s">
        <v>700</v>
      </c>
      <c r="B849" s="90" t="s">
        <v>753</v>
      </c>
      <c r="C849" s="90" t="s">
        <v>700</v>
      </c>
      <c r="D849" s="90" t="s">
        <v>137</v>
      </c>
      <c r="E849" s="91">
        <v>45652</v>
      </c>
      <c r="F849" s="30">
        <v>32.4</v>
      </c>
      <c r="G849" s="91">
        <v>45527</v>
      </c>
      <c r="H849" s="91">
        <v>46019</v>
      </c>
      <c r="I849" s="90">
        <v>0</v>
      </c>
      <c r="J849" s="92">
        <v>125</v>
      </c>
      <c r="K849" s="90" t="s">
        <v>220</v>
      </c>
      <c r="L849" s="90"/>
    </row>
    <row r="850" spans="1:12" ht="15" customHeight="1" outlineLevel="1" x14ac:dyDescent="0.3">
      <c r="A850" s="101" t="s">
        <v>700</v>
      </c>
      <c r="B850" s="90" t="s">
        <v>753</v>
      </c>
      <c r="C850" s="90" t="s">
        <v>700</v>
      </c>
      <c r="D850" s="90" t="s">
        <v>137</v>
      </c>
      <c r="E850" s="91">
        <v>45675</v>
      </c>
      <c r="F850" s="30">
        <v>28.3</v>
      </c>
      <c r="G850" s="91">
        <v>45527</v>
      </c>
      <c r="H850" s="91">
        <v>46019</v>
      </c>
      <c r="I850" s="90">
        <v>0</v>
      </c>
      <c r="J850" s="92">
        <v>148</v>
      </c>
      <c r="K850" s="90" t="s">
        <v>221</v>
      </c>
      <c r="L850" s="90"/>
    </row>
    <row r="851" spans="1:12" ht="15" customHeight="1" outlineLevel="1" x14ac:dyDescent="0.3">
      <c r="A851" s="101" t="s">
        <v>700</v>
      </c>
      <c r="B851" s="90" t="s">
        <v>753</v>
      </c>
      <c r="C851" s="90" t="s">
        <v>700</v>
      </c>
      <c r="D851" s="90" t="s">
        <v>137</v>
      </c>
      <c r="E851" s="91">
        <v>45692</v>
      </c>
      <c r="F851" s="30">
        <v>25</v>
      </c>
      <c r="G851" s="91">
        <v>45527</v>
      </c>
      <c r="H851" s="91">
        <v>46019</v>
      </c>
      <c r="I851" s="90">
        <v>0</v>
      </c>
      <c r="J851" s="92">
        <v>165</v>
      </c>
      <c r="K851" s="90" t="s">
        <v>222</v>
      </c>
      <c r="L851" s="90"/>
    </row>
    <row r="852" spans="1:12" ht="15" customHeight="1" outlineLevel="1" x14ac:dyDescent="0.3">
      <c r="A852" s="101" t="s">
        <v>700</v>
      </c>
      <c r="B852" s="90" t="s">
        <v>753</v>
      </c>
      <c r="C852" s="90" t="s">
        <v>700</v>
      </c>
      <c r="D852" s="90" t="s">
        <v>137</v>
      </c>
      <c r="E852" s="91">
        <v>45724</v>
      </c>
      <c r="F852" s="30">
        <v>23</v>
      </c>
      <c r="G852" s="91">
        <v>45527</v>
      </c>
      <c r="H852" s="91">
        <v>46019</v>
      </c>
      <c r="I852" s="90">
        <v>0</v>
      </c>
      <c r="J852" s="92">
        <v>197</v>
      </c>
      <c r="K852" s="90" t="s">
        <v>223</v>
      </c>
      <c r="L852" s="90"/>
    </row>
    <row r="853" spans="1:12" ht="15" customHeight="1" outlineLevel="1" x14ac:dyDescent="0.3">
      <c r="A853" s="101" t="s">
        <v>700</v>
      </c>
      <c r="B853" s="90" t="s">
        <v>753</v>
      </c>
      <c r="C853" s="90" t="s">
        <v>700</v>
      </c>
      <c r="D853" s="90" t="s">
        <v>137</v>
      </c>
      <c r="E853" s="91">
        <v>45731</v>
      </c>
      <c r="F853" s="30">
        <v>26</v>
      </c>
      <c r="G853" s="91">
        <v>45527</v>
      </c>
      <c r="H853" s="91">
        <v>46019</v>
      </c>
      <c r="I853" s="90">
        <v>0</v>
      </c>
      <c r="J853" s="92">
        <v>204</v>
      </c>
      <c r="K853" s="90" t="s">
        <v>223</v>
      </c>
      <c r="L853" s="90"/>
    </row>
    <row r="854" spans="1:12" ht="15" customHeight="1" outlineLevel="1" x14ac:dyDescent="0.3">
      <c r="A854" s="101" t="s">
        <v>700</v>
      </c>
      <c r="B854" s="90" t="s">
        <v>753</v>
      </c>
      <c r="C854" s="90" t="s">
        <v>700</v>
      </c>
      <c r="D854" s="90" t="s">
        <v>137</v>
      </c>
      <c r="E854" s="91">
        <v>45766</v>
      </c>
      <c r="F854" s="30">
        <v>15</v>
      </c>
      <c r="G854" s="91">
        <v>45527</v>
      </c>
      <c r="H854" s="91">
        <v>46019</v>
      </c>
      <c r="I854" s="90">
        <v>0</v>
      </c>
      <c r="J854" s="92">
        <v>239</v>
      </c>
      <c r="K854" s="90" t="s">
        <v>224</v>
      </c>
      <c r="L854" s="90"/>
    </row>
    <row r="855" spans="1:12" ht="15" customHeight="1" outlineLevel="1" x14ac:dyDescent="0.3">
      <c r="A855" s="101" t="s">
        <v>700</v>
      </c>
      <c r="B855" s="90" t="s">
        <v>753</v>
      </c>
      <c r="C855" s="90" t="s">
        <v>700</v>
      </c>
      <c r="D855" s="90" t="s">
        <v>137</v>
      </c>
      <c r="E855" s="91">
        <v>45858</v>
      </c>
      <c r="F855" s="30">
        <v>13</v>
      </c>
      <c r="G855" s="91">
        <v>45527</v>
      </c>
      <c r="H855" s="91">
        <v>46019</v>
      </c>
      <c r="I855" s="90">
        <v>0</v>
      </c>
      <c r="J855" s="92">
        <v>331</v>
      </c>
      <c r="K855" s="90" t="s">
        <v>226</v>
      </c>
      <c r="L855" s="90"/>
    </row>
    <row r="856" spans="1:12" ht="15" customHeight="1" outlineLevel="1" x14ac:dyDescent="0.3">
      <c r="A856" s="101" t="s">
        <v>700</v>
      </c>
      <c r="B856" s="90" t="s">
        <v>753</v>
      </c>
      <c r="C856" s="90" t="s">
        <v>700</v>
      </c>
      <c r="D856" s="90" t="s">
        <v>137</v>
      </c>
      <c r="E856" s="91">
        <v>45882</v>
      </c>
      <c r="F856" s="30">
        <v>9</v>
      </c>
      <c r="G856" s="91">
        <v>45527</v>
      </c>
      <c r="H856" s="91">
        <v>46019</v>
      </c>
      <c r="I856" s="90">
        <v>0</v>
      </c>
      <c r="J856" s="92">
        <v>355</v>
      </c>
      <c r="K856" s="90" t="s">
        <v>227</v>
      </c>
      <c r="L856" s="90"/>
    </row>
    <row r="857" spans="1:12" ht="15" customHeight="1" outlineLevel="1" x14ac:dyDescent="0.3">
      <c r="A857" s="101" t="s">
        <v>700</v>
      </c>
      <c r="B857" s="90" t="s">
        <v>753</v>
      </c>
      <c r="C857" s="90" t="s">
        <v>700</v>
      </c>
      <c r="D857" s="90" t="s">
        <v>137</v>
      </c>
      <c r="E857" s="91">
        <v>45893</v>
      </c>
      <c r="F857" s="30">
        <v>9</v>
      </c>
      <c r="G857" s="91">
        <v>45527</v>
      </c>
      <c r="H857" s="91">
        <v>46019</v>
      </c>
      <c r="I857" s="90">
        <v>0</v>
      </c>
      <c r="J857" s="92">
        <v>366</v>
      </c>
      <c r="K857" s="90" t="s">
        <v>227</v>
      </c>
      <c r="L857" s="90"/>
    </row>
    <row r="858" spans="1:12" ht="15" customHeight="1" outlineLevel="1" x14ac:dyDescent="0.3">
      <c r="A858" s="101" t="s">
        <v>700</v>
      </c>
      <c r="B858" s="90" t="s">
        <v>753</v>
      </c>
      <c r="C858" s="90" t="s">
        <v>700</v>
      </c>
      <c r="D858" s="90" t="s">
        <v>137</v>
      </c>
      <c r="E858" s="91">
        <v>45922</v>
      </c>
      <c r="F858" s="30">
        <v>11</v>
      </c>
      <c r="G858" s="91">
        <v>45527</v>
      </c>
      <c r="H858" s="91">
        <v>46019</v>
      </c>
      <c r="I858" s="90">
        <v>0</v>
      </c>
      <c r="J858" s="92">
        <v>395</v>
      </c>
      <c r="K858" s="90" t="s">
        <v>228</v>
      </c>
      <c r="L858" s="90"/>
    </row>
    <row r="859" spans="1:12" ht="15" customHeight="1" outlineLevel="1" x14ac:dyDescent="0.3">
      <c r="A859" s="101" t="s">
        <v>700</v>
      </c>
      <c r="B859" s="90" t="s">
        <v>753</v>
      </c>
      <c r="C859" s="90" t="s">
        <v>700</v>
      </c>
      <c r="D859" s="90" t="s">
        <v>137</v>
      </c>
      <c r="E859" s="91">
        <v>45932</v>
      </c>
      <c r="F859" s="30">
        <v>10</v>
      </c>
      <c r="G859" s="91">
        <v>45527</v>
      </c>
      <c r="H859" s="91">
        <v>46019</v>
      </c>
      <c r="I859" s="90">
        <v>0</v>
      </c>
      <c r="J859" s="92">
        <v>405</v>
      </c>
      <c r="K859" s="90" t="s">
        <v>229</v>
      </c>
      <c r="L859" s="90"/>
    </row>
    <row r="860" spans="1:12" ht="15" customHeight="1" outlineLevel="1" x14ac:dyDescent="0.3">
      <c r="A860" s="101" t="s">
        <v>700</v>
      </c>
      <c r="B860" s="90" t="s">
        <v>753</v>
      </c>
      <c r="C860" s="90" t="s">
        <v>700</v>
      </c>
      <c r="D860" s="90" t="s">
        <v>137</v>
      </c>
      <c r="E860" s="91">
        <v>45947</v>
      </c>
      <c r="F860" s="30">
        <v>12</v>
      </c>
      <c r="G860" s="91">
        <v>45527</v>
      </c>
      <c r="H860" s="91">
        <v>46019</v>
      </c>
      <c r="I860" s="90">
        <v>0</v>
      </c>
      <c r="J860" s="92">
        <v>420</v>
      </c>
      <c r="K860" s="90" t="s">
        <v>229</v>
      </c>
      <c r="L860" s="90"/>
    </row>
    <row r="861" spans="1:12" ht="15" customHeight="1" x14ac:dyDescent="0.3">
      <c r="A861" s="101" t="s">
        <v>701</v>
      </c>
      <c r="B861" s="90" t="s">
        <v>754</v>
      </c>
      <c r="C861" s="90" t="s">
        <v>701</v>
      </c>
      <c r="D861" s="90" t="s">
        <v>137</v>
      </c>
      <c r="E861" s="91">
        <v>45766</v>
      </c>
      <c r="F861" s="30">
        <v>17.2</v>
      </c>
      <c r="G861" s="91">
        <v>45754</v>
      </c>
      <c r="H861" s="91">
        <v>45995</v>
      </c>
      <c r="I861" s="90">
        <v>0</v>
      </c>
      <c r="J861" s="92">
        <v>12</v>
      </c>
      <c r="K861" s="90" t="s">
        <v>224</v>
      </c>
      <c r="L861" s="90"/>
    </row>
    <row r="862" spans="1:12" ht="15" customHeight="1" outlineLevel="1" x14ac:dyDescent="0.3">
      <c r="A862" s="101" t="s">
        <v>701</v>
      </c>
      <c r="B862" s="90" t="s">
        <v>754</v>
      </c>
      <c r="C862" s="90" t="s">
        <v>701</v>
      </c>
      <c r="D862" s="90" t="s">
        <v>137</v>
      </c>
      <c r="E862" s="91">
        <v>45858</v>
      </c>
      <c r="F862" s="30">
        <v>11.2</v>
      </c>
      <c r="G862" s="91">
        <v>45754</v>
      </c>
      <c r="H862" s="91">
        <v>45995</v>
      </c>
      <c r="I862" s="90">
        <v>0</v>
      </c>
      <c r="J862" s="92">
        <v>104</v>
      </c>
      <c r="K862" s="90" t="s">
        <v>226</v>
      </c>
      <c r="L862" s="90"/>
    </row>
    <row r="863" spans="1:12" ht="15" customHeight="1" x14ac:dyDescent="0.3">
      <c r="A863" s="101" t="s">
        <v>702</v>
      </c>
      <c r="B863" s="90" t="s">
        <v>755</v>
      </c>
      <c r="C863" s="90" t="s">
        <v>702</v>
      </c>
      <c r="D863" s="90" t="s">
        <v>137</v>
      </c>
      <c r="E863" s="91">
        <v>46004</v>
      </c>
      <c r="F863" s="30">
        <v>10</v>
      </c>
      <c r="G863" s="91">
        <v>45610</v>
      </c>
      <c r="H863" s="91">
        <v>46019</v>
      </c>
      <c r="I863" s="90">
        <v>0</v>
      </c>
      <c r="J863" s="92">
        <v>394</v>
      </c>
      <c r="K863" s="90" t="s">
        <v>231</v>
      </c>
      <c r="L863" s="90"/>
    </row>
    <row r="864" spans="1:12" ht="15" customHeight="1" outlineLevel="1" x14ac:dyDescent="0.3">
      <c r="A864" s="101" t="s">
        <v>702</v>
      </c>
      <c r="B864" s="90" t="s">
        <v>755</v>
      </c>
      <c r="C864" s="90" t="s">
        <v>702</v>
      </c>
      <c r="D864" s="90" t="s">
        <v>137</v>
      </c>
      <c r="E864" s="91">
        <v>46012</v>
      </c>
      <c r="F864" s="30">
        <v>9</v>
      </c>
      <c r="G864" s="91">
        <v>45610</v>
      </c>
      <c r="H864" s="91">
        <v>46019</v>
      </c>
      <c r="I864" s="90">
        <v>0</v>
      </c>
      <c r="J864" s="92">
        <v>402</v>
      </c>
      <c r="K864" s="90" t="s">
        <v>231</v>
      </c>
      <c r="L864" s="90"/>
    </row>
    <row r="865" spans="1:12" ht="15" customHeight="1" x14ac:dyDescent="0.3">
      <c r="A865" s="101" t="s">
        <v>703</v>
      </c>
      <c r="B865" s="90">
        <v>861</v>
      </c>
      <c r="C865" s="90" t="s">
        <v>756</v>
      </c>
      <c r="D865" s="90" t="s">
        <v>130</v>
      </c>
      <c r="E865" s="91">
        <v>46143</v>
      </c>
      <c r="F865" s="30">
        <v>13</v>
      </c>
      <c r="G865" s="91">
        <v>46139</v>
      </c>
      <c r="H865" s="91"/>
      <c r="I865" s="90">
        <v>1</v>
      </c>
      <c r="J865" s="92">
        <v>4</v>
      </c>
      <c r="K865" s="90" t="s">
        <v>236</v>
      </c>
      <c r="L865" s="90"/>
    </row>
    <row r="866" spans="1:12" ht="15" customHeight="1" outlineLevel="1" x14ac:dyDescent="0.3">
      <c r="A866" s="101" t="s">
        <v>703</v>
      </c>
      <c r="B866" s="90">
        <v>861</v>
      </c>
      <c r="C866" s="90" t="s">
        <v>756</v>
      </c>
      <c r="D866" s="90" t="s">
        <v>130</v>
      </c>
      <c r="E866" s="91">
        <v>46151</v>
      </c>
      <c r="F866" s="30">
        <v>15</v>
      </c>
      <c r="G866" s="91">
        <v>46139</v>
      </c>
      <c r="H866" s="91"/>
      <c r="I866" s="90">
        <v>1</v>
      </c>
      <c r="J866" s="92">
        <v>12</v>
      </c>
      <c r="K866" s="90" t="s">
        <v>236</v>
      </c>
      <c r="L866" s="90"/>
    </row>
    <row r="867" spans="1:12" ht="15" customHeight="1" outlineLevel="1" x14ac:dyDescent="0.3">
      <c r="A867" s="101" t="s">
        <v>703</v>
      </c>
      <c r="B867" s="90">
        <v>861</v>
      </c>
      <c r="C867" s="90" t="s">
        <v>756</v>
      </c>
      <c r="D867" s="90" t="s">
        <v>130</v>
      </c>
      <c r="E867" s="91">
        <v>46160</v>
      </c>
      <c r="F867" s="30">
        <v>20</v>
      </c>
      <c r="G867" s="91">
        <v>46139</v>
      </c>
      <c r="H867" s="91"/>
      <c r="I867" s="90">
        <v>1</v>
      </c>
      <c r="J867" s="92">
        <v>21</v>
      </c>
      <c r="K867" s="90" t="s">
        <v>236</v>
      </c>
      <c r="L867" s="90"/>
    </row>
    <row r="868" spans="1:12" ht="15" customHeight="1" outlineLevel="1" x14ac:dyDescent="0.3">
      <c r="A868" s="101" t="s">
        <v>703</v>
      </c>
      <c r="B868" s="90">
        <v>861</v>
      </c>
      <c r="C868" s="90" t="s">
        <v>756</v>
      </c>
      <c r="D868" s="90" t="s">
        <v>130</v>
      </c>
      <c r="E868" s="91">
        <v>46186</v>
      </c>
      <c r="F868" s="30">
        <v>20</v>
      </c>
      <c r="G868" s="91">
        <v>46139</v>
      </c>
      <c r="H868" s="91"/>
      <c r="I868" s="90">
        <v>1</v>
      </c>
      <c r="J868" s="92">
        <v>47</v>
      </c>
      <c r="K868" s="90" t="s">
        <v>237</v>
      </c>
      <c r="L868" s="90"/>
    </row>
    <row r="869" spans="1:12" ht="15" customHeight="1" x14ac:dyDescent="0.3">
      <c r="A869" s="101" t="s">
        <v>710</v>
      </c>
      <c r="B869" s="90" t="s">
        <v>757</v>
      </c>
      <c r="C869" s="90" t="s">
        <v>758</v>
      </c>
      <c r="D869" s="90" t="s">
        <v>137</v>
      </c>
      <c r="E869" s="91">
        <v>45646</v>
      </c>
      <c r="F869" s="30">
        <v>9.3000000000000007</v>
      </c>
      <c r="G869" s="91">
        <v>45515</v>
      </c>
      <c r="H869" s="91">
        <v>45995</v>
      </c>
      <c r="I869" s="90">
        <v>0</v>
      </c>
      <c r="J869" s="92">
        <v>131</v>
      </c>
      <c r="K869" s="90" t="s">
        <v>220</v>
      </c>
      <c r="L869" s="90"/>
    </row>
    <row r="870" spans="1:12" ht="15" customHeight="1" outlineLevel="1" x14ac:dyDescent="0.3">
      <c r="A870" s="101" t="s">
        <v>710</v>
      </c>
      <c r="B870" s="90" t="s">
        <v>757</v>
      </c>
      <c r="C870" s="90" t="s">
        <v>758</v>
      </c>
      <c r="D870" s="90" t="s">
        <v>137</v>
      </c>
      <c r="E870" s="91">
        <v>45652</v>
      </c>
      <c r="F870" s="30">
        <v>9</v>
      </c>
      <c r="G870" s="91">
        <v>45515</v>
      </c>
      <c r="H870" s="91">
        <v>45995</v>
      </c>
      <c r="I870" s="90">
        <v>0</v>
      </c>
      <c r="J870" s="92">
        <v>137</v>
      </c>
      <c r="K870" s="90" t="s">
        <v>220</v>
      </c>
      <c r="L870" s="90"/>
    </row>
    <row r="871" spans="1:12" ht="15" customHeight="1" outlineLevel="1" x14ac:dyDescent="0.3">
      <c r="A871" s="101" t="s">
        <v>710</v>
      </c>
      <c r="B871" s="90" t="s">
        <v>757</v>
      </c>
      <c r="C871" s="90" t="s">
        <v>758</v>
      </c>
      <c r="D871" s="90" t="s">
        <v>137</v>
      </c>
      <c r="E871" s="91">
        <v>45675</v>
      </c>
      <c r="F871" s="30">
        <v>8</v>
      </c>
      <c r="G871" s="91">
        <v>45515</v>
      </c>
      <c r="H871" s="91">
        <v>45995</v>
      </c>
      <c r="I871" s="90">
        <v>0</v>
      </c>
      <c r="J871" s="92">
        <v>160</v>
      </c>
      <c r="K871" s="90" t="s">
        <v>221</v>
      </c>
      <c r="L871" s="90"/>
    </row>
    <row r="872" spans="1:12" ht="15" customHeight="1" outlineLevel="1" x14ac:dyDescent="0.3">
      <c r="A872" s="101" t="s">
        <v>710</v>
      </c>
      <c r="B872" s="90" t="s">
        <v>757</v>
      </c>
      <c r="C872" s="90" t="s">
        <v>758</v>
      </c>
      <c r="D872" s="90" t="s">
        <v>137</v>
      </c>
      <c r="E872" s="91">
        <v>45692</v>
      </c>
      <c r="F872" s="30">
        <v>8</v>
      </c>
      <c r="G872" s="91">
        <v>45515</v>
      </c>
      <c r="H872" s="91">
        <v>45995</v>
      </c>
      <c r="I872" s="90">
        <v>0</v>
      </c>
      <c r="J872" s="92">
        <v>177</v>
      </c>
      <c r="K872" s="90" t="s">
        <v>222</v>
      </c>
      <c r="L872" s="90"/>
    </row>
  </sheetData>
  <autoFilter ref="A1:L872" xr:uid="{00000000-0009-0000-0000-00000B000000}"/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>
    <tabColor rgb="FF808080"/>
  </sheetPr>
  <dimension ref="A1:Q129"/>
  <sheetViews>
    <sheetView topLeftCell="E1" zoomScaleNormal="100" workbookViewId="0">
      <pane ySplit="1" topLeftCell="A100" activePane="bottomLeft" state="frozen"/>
      <selection pane="bottomLeft" activeCell="Q129" sqref="Q129"/>
    </sheetView>
  </sheetViews>
  <sheetFormatPr defaultColWidth="8.6640625" defaultRowHeight="14.4" x14ac:dyDescent="0.3"/>
  <cols>
    <col min="1" max="1" width="11" customWidth="1"/>
    <col min="2" max="2" width="10" customWidth="1"/>
    <col min="3" max="3" width="14" customWidth="1"/>
    <col min="4" max="4" width="16" customWidth="1"/>
    <col min="5" max="5" width="21" customWidth="1"/>
    <col min="6" max="6" width="18" customWidth="1"/>
    <col min="7" max="8" width="10" customWidth="1"/>
    <col min="9" max="9" width="15" customWidth="1"/>
    <col min="10" max="10" width="13" customWidth="1"/>
    <col min="11" max="11" width="12" customWidth="1"/>
    <col min="12" max="12" width="17" customWidth="1"/>
    <col min="13" max="13" width="16" customWidth="1"/>
    <col min="14" max="14" width="21" customWidth="1"/>
    <col min="15" max="15" width="19" customWidth="1"/>
    <col min="16" max="16" width="14" customWidth="1"/>
    <col min="17" max="17" width="10" customWidth="1"/>
  </cols>
  <sheetData>
    <row r="1" spans="1:17" ht="15" customHeight="1" x14ac:dyDescent="0.3">
      <c r="A1" s="7" t="s">
        <v>759</v>
      </c>
      <c r="B1" s="7" t="s">
        <v>760</v>
      </c>
      <c r="C1" s="7" t="s">
        <v>761</v>
      </c>
      <c r="D1" s="7" t="s">
        <v>762</v>
      </c>
      <c r="E1" s="7" t="s">
        <v>763</v>
      </c>
      <c r="F1" s="7" t="s">
        <v>764</v>
      </c>
      <c r="G1" s="7" t="s">
        <v>765</v>
      </c>
      <c r="H1" s="7" t="s">
        <v>722</v>
      </c>
      <c r="I1" s="7" t="s">
        <v>766</v>
      </c>
      <c r="J1" s="7" t="s">
        <v>767</v>
      </c>
      <c r="K1" s="7" t="s">
        <v>768</v>
      </c>
      <c r="L1" s="7" t="s">
        <v>769</v>
      </c>
      <c r="M1" s="7" t="s">
        <v>770</v>
      </c>
      <c r="N1" s="7" t="s">
        <v>771</v>
      </c>
      <c r="O1" s="7" t="s">
        <v>772</v>
      </c>
      <c r="P1" s="7" t="s">
        <v>773</v>
      </c>
      <c r="Q1" s="7" t="s">
        <v>774</v>
      </c>
    </row>
    <row r="2" spans="1:17" ht="15" customHeight="1" x14ac:dyDescent="0.3">
      <c r="A2" s="90" t="s">
        <v>592</v>
      </c>
      <c r="B2" s="91">
        <v>45597</v>
      </c>
      <c r="C2" s="30">
        <v>19.5</v>
      </c>
      <c r="D2" s="90" t="s">
        <v>775</v>
      </c>
      <c r="E2" s="90" t="s">
        <v>776</v>
      </c>
      <c r="F2" s="90" t="s">
        <v>777</v>
      </c>
      <c r="G2" s="90" t="s">
        <v>778</v>
      </c>
      <c r="H2" s="92"/>
      <c r="I2" s="91"/>
      <c r="J2" s="30"/>
      <c r="K2" s="91"/>
      <c r="L2" s="30"/>
      <c r="M2" s="91"/>
      <c r="N2" s="30"/>
      <c r="O2" s="90"/>
      <c r="P2" s="91">
        <v>46141</v>
      </c>
      <c r="Q2" s="90" t="s">
        <v>779</v>
      </c>
    </row>
    <row r="3" spans="1:17" ht="15" customHeight="1" x14ac:dyDescent="0.3">
      <c r="A3" s="90" t="s">
        <v>594</v>
      </c>
      <c r="B3" s="91">
        <v>45590</v>
      </c>
      <c r="C3" s="30">
        <v>19.8</v>
      </c>
      <c r="D3" s="90" t="s">
        <v>780</v>
      </c>
      <c r="E3" s="90" t="s">
        <v>776</v>
      </c>
      <c r="F3" s="90" t="s">
        <v>777</v>
      </c>
      <c r="G3" s="90" t="s">
        <v>778</v>
      </c>
      <c r="H3" s="92"/>
      <c r="I3" s="91"/>
      <c r="J3" s="30"/>
      <c r="K3" s="91"/>
      <c r="L3" s="30"/>
      <c r="M3" s="91"/>
      <c r="N3" s="30"/>
      <c r="O3" s="90"/>
      <c r="P3" s="91">
        <v>46141</v>
      </c>
      <c r="Q3" s="90" t="s">
        <v>779</v>
      </c>
    </row>
    <row r="4" spans="1:17" ht="15" customHeight="1" x14ac:dyDescent="0.3">
      <c r="A4" s="90" t="s">
        <v>781</v>
      </c>
      <c r="B4" s="91">
        <v>45715</v>
      </c>
      <c r="C4" s="30">
        <v>15.7</v>
      </c>
      <c r="D4" s="90" t="s">
        <v>775</v>
      </c>
      <c r="E4" s="90" t="s">
        <v>782</v>
      </c>
      <c r="F4" s="90" t="s">
        <v>783</v>
      </c>
      <c r="G4" s="90" t="s">
        <v>784</v>
      </c>
      <c r="H4" s="92"/>
      <c r="I4" s="91"/>
      <c r="J4" s="30"/>
      <c r="K4" s="91"/>
      <c r="L4" s="30"/>
      <c r="M4" s="91"/>
      <c r="N4" s="30"/>
      <c r="O4" s="90"/>
      <c r="P4" s="91"/>
      <c r="Q4" s="90"/>
    </row>
    <row r="5" spans="1:17" ht="15" customHeight="1" x14ac:dyDescent="0.3">
      <c r="A5" s="90" t="s">
        <v>785</v>
      </c>
      <c r="B5" s="91">
        <v>46083</v>
      </c>
      <c r="C5" s="30">
        <v>3.6</v>
      </c>
      <c r="D5" s="90" t="s">
        <v>786</v>
      </c>
      <c r="E5" s="90" t="s">
        <v>787</v>
      </c>
      <c r="F5" s="90" t="s">
        <v>788</v>
      </c>
      <c r="G5" s="90"/>
      <c r="H5" s="92"/>
      <c r="I5" s="91"/>
      <c r="J5" s="30"/>
      <c r="K5" s="91"/>
      <c r="L5" s="30"/>
      <c r="M5" s="91"/>
      <c r="N5" s="30"/>
      <c r="O5" s="90"/>
      <c r="P5" s="91"/>
      <c r="Q5" s="90"/>
    </row>
    <row r="6" spans="1:17" ht="15" customHeight="1" x14ac:dyDescent="0.3">
      <c r="A6" s="90" t="s">
        <v>595</v>
      </c>
      <c r="B6" s="91">
        <v>45715</v>
      </c>
      <c r="C6" s="30">
        <v>15.7</v>
      </c>
      <c r="D6" s="90" t="s">
        <v>780</v>
      </c>
      <c r="E6" s="90" t="s">
        <v>776</v>
      </c>
      <c r="F6" s="90" t="s">
        <v>777</v>
      </c>
      <c r="G6" s="90" t="s">
        <v>778</v>
      </c>
      <c r="H6" s="92"/>
      <c r="I6" s="91"/>
      <c r="J6" s="30"/>
      <c r="K6" s="91"/>
      <c r="L6" s="30"/>
      <c r="M6" s="91"/>
      <c r="N6" s="30"/>
      <c r="O6" s="90"/>
      <c r="P6" s="91">
        <v>46185</v>
      </c>
      <c r="Q6" s="90" t="s">
        <v>779</v>
      </c>
    </row>
    <row r="7" spans="1:17" ht="15" customHeight="1" x14ac:dyDescent="0.3">
      <c r="A7" s="90" t="s">
        <v>789</v>
      </c>
      <c r="B7" s="91">
        <v>46137</v>
      </c>
      <c r="C7" s="30">
        <v>1.8</v>
      </c>
      <c r="D7" s="90" t="s">
        <v>790</v>
      </c>
      <c r="E7" s="90" t="s">
        <v>791</v>
      </c>
      <c r="F7" s="90" t="s">
        <v>792</v>
      </c>
      <c r="G7" s="90"/>
      <c r="H7" s="92"/>
      <c r="I7" s="91"/>
      <c r="J7" s="30"/>
      <c r="K7" s="91"/>
      <c r="L7" s="30"/>
      <c r="M7" s="91"/>
      <c r="N7" s="30"/>
      <c r="O7" s="90"/>
      <c r="P7" s="91"/>
      <c r="Q7" s="90"/>
    </row>
    <row r="8" spans="1:17" ht="15" customHeight="1" x14ac:dyDescent="0.3">
      <c r="A8" s="90" t="s">
        <v>597</v>
      </c>
      <c r="B8" s="91">
        <v>45606</v>
      </c>
      <c r="C8" s="30">
        <v>19.2</v>
      </c>
      <c r="D8" s="90" t="s">
        <v>780</v>
      </c>
      <c r="E8" s="90" t="s">
        <v>776</v>
      </c>
      <c r="F8" s="90" t="s">
        <v>777</v>
      </c>
      <c r="G8" s="90" t="s">
        <v>778</v>
      </c>
      <c r="H8" s="92"/>
      <c r="I8" s="91"/>
      <c r="J8" s="30"/>
      <c r="K8" s="91"/>
      <c r="L8" s="30"/>
      <c r="M8" s="91"/>
      <c r="N8" s="30"/>
      <c r="O8" s="90"/>
      <c r="P8" s="91">
        <v>46164</v>
      </c>
      <c r="Q8" s="90" t="s">
        <v>779</v>
      </c>
    </row>
    <row r="9" spans="1:17" ht="15" customHeight="1" x14ac:dyDescent="0.3">
      <c r="A9" s="90" t="s">
        <v>598</v>
      </c>
      <c r="B9" s="91">
        <v>45350</v>
      </c>
      <c r="C9" s="30">
        <v>27.6</v>
      </c>
      <c r="D9" s="90" t="s">
        <v>793</v>
      </c>
      <c r="E9" s="90" t="s">
        <v>794</v>
      </c>
      <c r="F9" s="90" t="s">
        <v>795</v>
      </c>
      <c r="G9" s="90" t="s">
        <v>796</v>
      </c>
      <c r="H9" s="92">
        <v>64</v>
      </c>
      <c r="I9" s="91">
        <v>46186</v>
      </c>
      <c r="J9" s="30">
        <v>22</v>
      </c>
      <c r="K9" s="91">
        <v>46160</v>
      </c>
      <c r="L9" s="30">
        <v>18</v>
      </c>
      <c r="M9" s="91">
        <v>46151</v>
      </c>
      <c r="N9" s="30">
        <v>14</v>
      </c>
      <c r="O9" s="90">
        <v>8</v>
      </c>
      <c r="P9" s="91">
        <v>45884</v>
      </c>
      <c r="Q9" s="90" t="s">
        <v>779</v>
      </c>
    </row>
    <row r="10" spans="1:17" ht="15" customHeight="1" x14ac:dyDescent="0.3">
      <c r="A10" s="90" t="s">
        <v>797</v>
      </c>
      <c r="B10" s="91">
        <v>46162</v>
      </c>
      <c r="C10" s="30">
        <v>1</v>
      </c>
      <c r="D10" s="90" t="s">
        <v>790</v>
      </c>
      <c r="E10" s="90" t="s">
        <v>791</v>
      </c>
      <c r="F10" s="90" t="s">
        <v>792</v>
      </c>
      <c r="G10" s="90"/>
      <c r="H10" s="92"/>
      <c r="I10" s="91"/>
      <c r="J10" s="30"/>
      <c r="K10" s="91"/>
      <c r="L10" s="30"/>
      <c r="M10" s="91"/>
      <c r="N10" s="30"/>
      <c r="O10" s="90"/>
      <c r="P10" s="91"/>
      <c r="Q10" s="90"/>
    </row>
    <row r="11" spans="1:17" ht="15" customHeight="1" x14ac:dyDescent="0.3">
      <c r="A11" s="90" t="s">
        <v>599</v>
      </c>
      <c r="B11" s="91">
        <v>45350</v>
      </c>
      <c r="C11" s="30">
        <v>27.6</v>
      </c>
      <c r="D11" s="90" t="s">
        <v>798</v>
      </c>
      <c r="E11" s="90" t="s">
        <v>799</v>
      </c>
      <c r="F11" s="90" t="s">
        <v>800</v>
      </c>
      <c r="G11" s="90" t="s">
        <v>801</v>
      </c>
      <c r="H11" s="92">
        <v>11</v>
      </c>
      <c r="I11" s="91">
        <v>46186</v>
      </c>
      <c r="J11" s="30">
        <v>11</v>
      </c>
      <c r="K11" s="91"/>
      <c r="L11" s="30"/>
      <c r="M11" s="91"/>
      <c r="N11" s="30"/>
      <c r="O11" s="90">
        <v>8</v>
      </c>
      <c r="P11" s="91">
        <v>45884</v>
      </c>
      <c r="Q11" s="90" t="s">
        <v>779</v>
      </c>
    </row>
    <row r="12" spans="1:17" ht="15" customHeight="1" x14ac:dyDescent="0.3">
      <c r="A12" s="90" t="s">
        <v>600</v>
      </c>
      <c r="B12" s="91">
        <v>45350</v>
      </c>
      <c r="C12" s="30">
        <v>27.6</v>
      </c>
      <c r="D12" s="90" t="s">
        <v>802</v>
      </c>
      <c r="E12" s="90" t="s">
        <v>803</v>
      </c>
      <c r="F12" s="90" t="s">
        <v>804</v>
      </c>
      <c r="G12" s="90" t="s">
        <v>784</v>
      </c>
      <c r="H12" s="92">
        <v>119</v>
      </c>
      <c r="I12" s="91">
        <v>46186</v>
      </c>
      <c r="J12" s="30">
        <v>11</v>
      </c>
      <c r="K12" s="91">
        <v>46160</v>
      </c>
      <c r="L12" s="30">
        <v>10</v>
      </c>
      <c r="M12" s="91">
        <v>46151</v>
      </c>
      <c r="N12" s="30">
        <v>15</v>
      </c>
      <c r="O12" s="90">
        <v>8</v>
      </c>
      <c r="P12" s="91">
        <v>46185</v>
      </c>
      <c r="Q12" s="90" t="s">
        <v>805</v>
      </c>
    </row>
    <row r="13" spans="1:17" ht="15" customHeight="1" x14ac:dyDescent="0.3">
      <c r="A13" s="90" t="s">
        <v>806</v>
      </c>
      <c r="B13" s="91">
        <v>46183</v>
      </c>
      <c r="C13" s="30">
        <v>0.3</v>
      </c>
      <c r="D13" s="90" t="s">
        <v>790</v>
      </c>
      <c r="E13" s="90" t="s">
        <v>791</v>
      </c>
      <c r="F13" s="90" t="s">
        <v>792</v>
      </c>
      <c r="G13" s="90"/>
      <c r="H13" s="92"/>
      <c r="I13" s="91"/>
      <c r="J13" s="30"/>
      <c r="K13" s="91"/>
      <c r="L13" s="30"/>
      <c r="M13" s="91"/>
      <c r="N13" s="30"/>
      <c r="O13" s="90"/>
      <c r="P13" s="91"/>
      <c r="Q13" s="90"/>
    </row>
    <row r="14" spans="1:17" ht="15" customHeight="1" x14ac:dyDescent="0.3">
      <c r="A14" s="90" t="s">
        <v>807</v>
      </c>
      <c r="B14" s="91">
        <v>45715</v>
      </c>
      <c r="C14" s="30">
        <v>15.7</v>
      </c>
      <c r="D14" s="90" t="s">
        <v>775</v>
      </c>
      <c r="E14" s="90" t="s">
        <v>808</v>
      </c>
      <c r="F14" s="90" t="s">
        <v>809</v>
      </c>
      <c r="G14" s="90" t="s">
        <v>784</v>
      </c>
      <c r="H14" s="92"/>
      <c r="I14" s="91"/>
      <c r="J14" s="30"/>
      <c r="K14" s="91"/>
      <c r="L14" s="30"/>
      <c r="M14" s="91"/>
      <c r="N14" s="30"/>
      <c r="O14" s="90"/>
      <c r="P14" s="91"/>
      <c r="Q14" s="90"/>
    </row>
    <row r="15" spans="1:17" ht="15" customHeight="1" x14ac:dyDescent="0.3">
      <c r="A15" s="90" t="s">
        <v>603</v>
      </c>
      <c r="B15" s="91">
        <v>45715</v>
      </c>
      <c r="C15" s="30">
        <v>15.7</v>
      </c>
      <c r="D15" s="90" t="s">
        <v>775</v>
      </c>
      <c r="E15" s="90" t="s">
        <v>782</v>
      </c>
      <c r="F15" s="90" t="s">
        <v>783</v>
      </c>
      <c r="G15" s="90" t="s">
        <v>784</v>
      </c>
      <c r="H15" s="92"/>
      <c r="I15" s="91"/>
      <c r="J15" s="30"/>
      <c r="K15" s="91"/>
      <c r="L15" s="30"/>
      <c r="M15" s="91"/>
      <c r="N15" s="30"/>
      <c r="O15" s="90"/>
      <c r="P15" s="91">
        <v>46179</v>
      </c>
      <c r="Q15" s="90" t="s">
        <v>805</v>
      </c>
    </row>
    <row r="16" spans="1:17" ht="15" customHeight="1" x14ac:dyDescent="0.3">
      <c r="A16" s="90" t="s">
        <v>604</v>
      </c>
      <c r="B16" s="91">
        <v>45597</v>
      </c>
      <c r="C16" s="30">
        <v>19.5</v>
      </c>
      <c r="D16" s="90" t="s">
        <v>780</v>
      </c>
      <c r="E16" s="90" t="s">
        <v>776</v>
      </c>
      <c r="F16" s="90" t="s">
        <v>777</v>
      </c>
      <c r="G16" s="90" t="s">
        <v>778</v>
      </c>
      <c r="H16" s="92"/>
      <c r="I16" s="91"/>
      <c r="J16" s="30"/>
      <c r="K16" s="91"/>
      <c r="L16" s="30"/>
      <c r="M16" s="91"/>
      <c r="N16" s="30"/>
      <c r="O16" s="90"/>
      <c r="P16" s="91">
        <v>46141</v>
      </c>
      <c r="Q16" s="90" t="s">
        <v>779</v>
      </c>
    </row>
    <row r="17" spans="1:17" ht="15" customHeight="1" x14ac:dyDescent="0.3">
      <c r="A17" s="90" t="s">
        <v>605</v>
      </c>
      <c r="B17" s="91">
        <v>45565</v>
      </c>
      <c r="C17" s="30">
        <v>20.6</v>
      </c>
      <c r="D17" s="90" t="s">
        <v>780</v>
      </c>
      <c r="E17" s="90" t="s">
        <v>776</v>
      </c>
      <c r="F17" s="90" t="s">
        <v>777</v>
      </c>
      <c r="G17" s="90" t="s">
        <v>778</v>
      </c>
      <c r="H17" s="92"/>
      <c r="I17" s="91"/>
      <c r="J17" s="30"/>
      <c r="K17" s="91"/>
      <c r="L17" s="30"/>
      <c r="M17" s="91"/>
      <c r="N17" s="30"/>
      <c r="O17" s="90"/>
      <c r="P17" s="91">
        <v>46141</v>
      </c>
      <c r="Q17" s="90" t="s">
        <v>779</v>
      </c>
    </row>
    <row r="18" spans="1:17" ht="15" customHeight="1" x14ac:dyDescent="0.3">
      <c r="A18" s="90" t="s">
        <v>606</v>
      </c>
      <c r="B18" s="91">
        <v>45444</v>
      </c>
      <c r="C18" s="30">
        <v>24.5</v>
      </c>
      <c r="D18" s="90" t="s">
        <v>780</v>
      </c>
      <c r="E18" s="90" t="s">
        <v>782</v>
      </c>
      <c r="F18" s="90" t="s">
        <v>783</v>
      </c>
      <c r="G18" s="90" t="s">
        <v>784</v>
      </c>
      <c r="H18" s="92"/>
      <c r="I18" s="91"/>
      <c r="J18" s="30"/>
      <c r="K18" s="91"/>
      <c r="L18" s="30"/>
      <c r="M18" s="91"/>
      <c r="N18" s="30"/>
      <c r="O18" s="90"/>
      <c r="P18" s="91">
        <v>46141</v>
      </c>
      <c r="Q18" s="90" t="s">
        <v>779</v>
      </c>
    </row>
    <row r="19" spans="1:17" ht="15" customHeight="1" x14ac:dyDescent="0.3">
      <c r="A19" s="90" t="s">
        <v>608</v>
      </c>
      <c r="B19" s="91">
        <v>45413</v>
      </c>
      <c r="C19" s="30">
        <v>25.6</v>
      </c>
      <c r="D19" s="90" t="s">
        <v>775</v>
      </c>
      <c r="E19" s="90" t="s">
        <v>776</v>
      </c>
      <c r="F19" s="90" t="s">
        <v>777</v>
      </c>
      <c r="G19" s="90" t="s">
        <v>778</v>
      </c>
      <c r="H19" s="92"/>
      <c r="I19" s="91"/>
      <c r="J19" s="30"/>
      <c r="K19" s="91"/>
      <c r="L19" s="30"/>
      <c r="M19" s="91"/>
      <c r="N19" s="30"/>
      <c r="O19" s="90"/>
      <c r="P19" s="91">
        <v>46164</v>
      </c>
      <c r="Q19" s="90" t="s">
        <v>779</v>
      </c>
    </row>
    <row r="20" spans="1:17" ht="15" customHeight="1" x14ac:dyDescent="0.3">
      <c r="A20" s="90" t="s">
        <v>810</v>
      </c>
      <c r="B20" s="91">
        <v>45349</v>
      </c>
      <c r="C20" s="30">
        <v>27.7</v>
      </c>
      <c r="D20" s="90" t="s">
        <v>811</v>
      </c>
      <c r="E20" s="90" t="s">
        <v>776</v>
      </c>
      <c r="F20" s="90" t="s">
        <v>777</v>
      </c>
      <c r="G20" s="90" t="s">
        <v>778</v>
      </c>
      <c r="H20" s="92"/>
      <c r="I20" s="91"/>
      <c r="J20" s="30"/>
      <c r="K20" s="91"/>
      <c r="L20" s="30"/>
      <c r="M20" s="91"/>
      <c r="N20" s="30"/>
      <c r="O20" s="90"/>
      <c r="P20" s="91">
        <v>46168</v>
      </c>
      <c r="Q20" s="90" t="s">
        <v>779</v>
      </c>
    </row>
    <row r="21" spans="1:17" ht="15" customHeight="1" x14ac:dyDescent="0.3">
      <c r="A21" s="90" t="s">
        <v>812</v>
      </c>
      <c r="B21" s="91">
        <v>45368</v>
      </c>
      <c r="C21" s="30">
        <v>27</v>
      </c>
      <c r="D21" s="90" t="s">
        <v>811</v>
      </c>
      <c r="E21" s="90" t="s">
        <v>776</v>
      </c>
      <c r="F21" s="90" t="s">
        <v>777</v>
      </c>
      <c r="G21" s="90" t="s">
        <v>778</v>
      </c>
      <c r="H21" s="92"/>
      <c r="I21" s="91"/>
      <c r="J21" s="30"/>
      <c r="K21" s="91"/>
      <c r="L21" s="30"/>
      <c r="M21" s="91"/>
      <c r="N21" s="30"/>
      <c r="O21" s="90"/>
      <c r="P21" s="91">
        <v>46052</v>
      </c>
      <c r="Q21" s="90" t="s">
        <v>779</v>
      </c>
    </row>
    <row r="22" spans="1:17" ht="15" customHeight="1" x14ac:dyDescent="0.3">
      <c r="A22" s="90" t="s">
        <v>813</v>
      </c>
      <c r="B22" s="91">
        <v>45370</v>
      </c>
      <c r="C22" s="30">
        <v>27</v>
      </c>
      <c r="D22" s="90" t="s">
        <v>811</v>
      </c>
      <c r="E22" s="90" t="s">
        <v>776</v>
      </c>
      <c r="F22" s="90" t="s">
        <v>777</v>
      </c>
      <c r="G22" s="90" t="s">
        <v>778</v>
      </c>
      <c r="H22" s="92"/>
      <c r="I22" s="91"/>
      <c r="J22" s="30"/>
      <c r="K22" s="91"/>
      <c r="L22" s="30"/>
      <c r="M22" s="91"/>
      <c r="N22" s="30"/>
      <c r="O22" s="90"/>
      <c r="P22" s="91">
        <v>46121</v>
      </c>
      <c r="Q22" s="90" t="s">
        <v>779</v>
      </c>
    </row>
    <row r="23" spans="1:17" ht="15" customHeight="1" x14ac:dyDescent="0.3">
      <c r="A23" s="90" t="s">
        <v>814</v>
      </c>
      <c r="B23" s="91">
        <v>45411</v>
      </c>
      <c r="C23" s="30">
        <v>25.6</v>
      </c>
      <c r="D23" s="90" t="s">
        <v>811</v>
      </c>
      <c r="E23" s="90" t="s">
        <v>776</v>
      </c>
      <c r="F23" s="90" t="s">
        <v>777</v>
      </c>
      <c r="G23" s="90" t="s">
        <v>778</v>
      </c>
      <c r="H23" s="92"/>
      <c r="I23" s="91"/>
      <c r="J23" s="30"/>
      <c r="K23" s="91"/>
      <c r="L23" s="30"/>
      <c r="M23" s="91"/>
      <c r="N23" s="30"/>
      <c r="O23" s="90"/>
      <c r="P23" s="91">
        <v>46052</v>
      </c>
      <c r="Q23" s="90" t="s">
        <v>779</v>
      </c>
    </row>
    <row r="24" spans="1:17" ht="15" customHeight="1" x14ac:dyDescent="0.3">
      <c r="A24" s="90" t="s">
        <v>609</v>
      </c>
      <c r="B24" s="91">
        <v>45350</v>
      </c>
      <c r="C24" s="30">
        <v>27.6</v>
      </c>
      <c r="D24" s="90" t="s">
        <v>793</v>
      </c>
      <c r="E24" s="90" t="s">
        <v>815</v>
      </c>
      <c r="F24" s="90" t="s">
        <v>816</v>
      </c>
      <c r="G24" s="90" t="s">
        <v>778</v>
      </c>
      <c r="H24" s="92">
        <v>166</v>
      </c>
      <c r="I24" s="91">
        <v>46186</v>
      </c>
      <c r="J24" s="30">
        <v>22</v>
      </c>
      <c r="K24" s="91">
        <v>46160</v>
      </c>
      <c r="L24" s="30">
        <v>23</v>
      </c>
      <c r="M24" s="91">
        <v>46151</v>
      </c>
      <c r="N24" s="30">
        <v>22</v>
      </c>
      <c r="O24" s="90">
        <v>8</v>
      </c>
      <c r="P24" s="91">
        <v>46164</v>
      </c>
      <c r="Q24" s="90" t="s">
        <v>779</v>
      </c>
    </row>
    <row r="25" spans="1:17" ht="15" customHeight="1" x14ac:dyDescent="0.3">
      <c r="A25" s="90" t="s">
        <v>817</v>
      </c>
      <c r="B25" s="91">
        <v>45422</v>
      </c>
      <c r="C25" s="30">
        <v>25.3</v>
      </c>
      <c r="D25" s="90" t="s">
        <v>811</v>
      </c>
      <c r="E25" s="90" t="s">
        <v>776</v>
      </c>
      <c r="F25" s="90" t="s">
        <v>777</v>
      </c>
      <c r="G25" s="90" t="s">
        <v>778</v>
      </c>
      <c r="H25" s="92"/>
      <c r="I25" s="91"/>
      <c r="J25" s="30"/>
      <c r="K25" s="91"/>
      <c r="L25" s="30"/>
      <c r="M25" s="91"/>
      <c r="N25" s="30"/>
      <c r="O25" s="90"/>
      <c r="P25" s="91">
        <v>46100</v>
      </c>
      <c r="Q25" s="90" t="s">
        <v>779</v>
      </c>
    </row>
    <row r="26" spans="1:17" ht="15" customHeight="1" x14ac:dyDescent="0.3">
      <c r="A26" s="90" t="s">
        <v>818</v>
      </c>
      <c r="B26" s="91">
        <v>45433</v>
      </c>
      <c r="C26" s="30">
        <v>24.9</v>
      </c>
      <c r="D26" s="90" t="s">
        <v>811</v>
      </c>
      <c r="E26" s="90" t="s">
        <v>776</v>
      </c>
      <c r="F26" s="90" t="s">
        <v>777</v>
      </c>
      <c r="G26" s="90" t="s">
        <v>778</v>
      </c>
      <c r="H26" s="92"/>
      <c r="I26" s="91"/>
      <c r="J26" s="30"/>
      <c r="K26" s="91"/>
      <c r="L26" s="30"/>
      <c r="M26" s="91"/>
      <c r="N26" s="30"/>
      <c r="O26" s="90"/>
      <c r="P26" s="91">
        <v>46121</v>
      </c>
      <c r="Q26" s="90" t="s">
        <v>779</v>
      </c>
    </row>
    <row r="27" spans="1:17" ht="15" customHeight="1" x14ac:dyDescent="0.3">
      <c r="A27" s="90" t="s">
        <v>819</v>
      </c>
      <c r="B27" s="91">
        <v>45435</v>
      </c>
      <c r="C27" s="30">
        <v>24.8</v>
      </c>
      <c r="D27" s="90" t="s">
        <v>811</v>
      </c>
      <c r="E27" s="90" t="s">
        <v>776</v>
      </c>
      <c r="F27" s="90" t="s">
        <v>777</v>
      </c>
      <c r="G27" s="90" t="s">
        <v>778</v>
      </c>
      <c r="H27" s="92"/>
      <c r="I27" s="91"/>
      <c r="J27" s="30"/>
      <c r="K27" s="91"/>
      <c r="L27" s="30"/>
      <c r="M27" s="91"/>
      <c r="N27" s="30"/>
      <c r="O27" s="90"/>
      <c r="P27" s="91">
        <v>46052</v>
      </c>
      <c r="Q27" s="90" t="s">
        <v>779</v>
      </c>
    </row>
    <row r="28" spans="1:17" ht="15" customHeight="1" x14ac:dyDescent="0.3">
      <c r="A28" s="90" t="s">
        <v>820</v>
      </c>
      <c r="B28" s="91">
        <v>45438</v>
      </c>
      <c r="C28" s="30">
        <v>24.7</v>
      </c>
      <c r="D28" s="90" t="s">
        <v>811</v>
      </c>
      <c r="E28" s="90" t="s">
        <v>776</v>
      </c>
      <c r="F28" s="90" t="s">
        <v>777</v>
      </c>
      <c r="G28" s="90" t="s">
        <v>778</v>
      </c>
      <c r="H28" s="92"/>
      <c r="I28" s="91"/>
      <c r="J28" s="30"/>
      <c r="K28" s="91"/>
      <c r="L28" s="30"/>
      <c r="M28" s="91"/>
      <c r="N28" s="30"/>
      <c r="O28" s="90"/>
      <c r="P28" s="91">
        <v>46079</v>
      </c>
      <c r="Q28" s="90" t="s">
        <v>779</v>
      </c>
    </row>
    <row r="29" spans="1:17" ht="15" customHeight="1" x14ac:dyDescent="0.3">
      <c r="A29" s="90" t="s">
        <v>821</v>
      </c>
      <c r="B29" s="91">
        <v>45439</v>
      </c>
      <c r="C29" s="30">
        <v>24.7</v>
      </c>
      <c r="D29" s="90" t="s">
        <v>811</v>
      </c>
      <c r="E29" s="90" t="s">
        <v>776</v>
      </c>
      <c r="F29" s="90" t="s">
        <v>777</v>
      </c>
      <c r="G29" s="90" t="s">
        <v>778</v>
      </c>
      <c r="H29" s="92"/>
      <c r="I29" s="91"/>
      <c r="J29" s="30"/>
      <c r="K29" s="91"/>
      <c r="L29" s="30"/>
      <c r="M29" s="91"/>
      <c r="N29" s="30"/>
      <c r="O29" s="90"/>
      <c r="P29" s="91">
        <v>46100</v>
      </c>
      <c r="Q29" s="90" t="s">
        <v>779</v>
      </c>
    </row>
    <row r="30" spans="1:17" ht="15" customHeight="1" x14ac:dyDescent="0.3">
      <c r="A30" s="90" t="s">
        <v>610</v>
      </c>
      <c r="B30" s="91">
        <v>45350</v>
      </c>
      <c r="C30" s="30">
        <v>27.6</v>
      </c>
      <c r="D30" s="90" t="s">
        <v>793</v>
      </c>
      <c r="E30" s="90" t="s">
        <v>822</v>
      </c>
      <c r="F30" s="90" t="s">
        <v>823</v>
      </c>
      <c r="G30" s="90" t="s">
        <v>824</v>
      </c>
      <c r="H30" s="92">
        <v>111</v>
      </c>
      <c r="I30" s="91">
        <v>46186</v>
      </c>
      <c r="J30" s="30">
        <v>21</v>
      </c>
      <c r="K30" s="91">
        <v>46160</v>
      </c>
      <c r="L30" s="30">
        <v>18</v>
      </c>
      <c r="M30" s="91">
        <v>46151</v>
      </c>
      <c r="N30" s="30">
        <v>20</v>
      </c>
      <c r="O30" s="90">
        <v>8</v>
      </c>
      <c r="P30" s="91">
        <v>46164</v>
      </c>
      <c r="Q30" s="90" t="s">
        <v>805</v>
      </c>
    </row>
    <row r="31" spans="1:17" ht="15" customHeight="1" x14ac:dyDescent="0.3">
      <c r="A31" s="90" t="s">
        <v>825</v>
      </c>
      <c r="B31" s="91">
        <v>45507</v>
      </c>
      <c r="C31" s="30">
        <v>22.5</v>
      </c>
      <c r="D31" s="90" t="s">
        <v>811</v>
      </c>
      <c r="E31" s="90" t="s">
        <v>776</v>
      </c>
      <c r="F31" s="90" t="s">
        <v>777</v>
      </c>
      <c r="G31" s="90" t="s">
        <v>778</v>
      </c>
      <c r="H31" s="92"/>
      <c r="I31" s="91"/>
      <c r="J31" s="30"/>
      <c r="K31" s="91"/>
      <c r="L31" s="30"/>
      <c r="M31" s="91"/>
      <c r="N31" s="30"/>
      <c r="O31" s="90"/>
      <c r="P31" s="91">
        <v>46079</v>
      </c>
      <c r="Q31" s="90" t="s">
        <v>779</v>
      </c>
    </row>
    <row r="32" spans="1:17" ht="15" customHeight="1" x14ac:dyDescent="0.3">
      <c r="A32" s="90" t="s">
        <v>826</v>
      </c>
      <c r="B32" s="91">
        <v>45518</v>
      </c>
      <c r="C32" s="30">
        <v>22.1</v>
      </c>
      <c r="D32" s="90" t="s">
        <v>811</v>
      </c>
      <c r="E32" s="90" t="s">
        <v>776</v>
      </c>
      <c r="F32" s="90" t="s">
        <v>777</v>
      </c>
      <c r="G32" s="90" t="s">
        <v>778</v>
      </c>
      <c r="H32" s="92"/>
      <c r="I32" s="91"/>
      <c r="J32" s="30"/>
      <c r="K32" s="91"/>
      <c r="L32" s="30"/>
      <c r="M32" s="91"/>
      <c r="N32" s="30"/>
      <c r="O32" s="90"/>
      <c r="P32" s="91">
        <v>46031</v>
      </c>
      <c r="Q32" s="90" t="s">
        <v>779</v>
      </c>
    </row>
    <row r="33" spans="1:17" ht="15" customHeight="1" x14ac:dyDescent="0.3">
      <c r="A33" s="90" t="s">
        <v>827</v>
      </c>
      <c r="B33" s="91">
        <v>45520</v>
      </c>
      <c r="C33" s="30">
        <v>22</v>
      </c>
      <c r="D33" s="90" t="s">
        <v>811</v>
      </c>
      <c r="E33" s="90" t="s">
        <v>776</v>
      </c>
      <c r="F33" s="90" t="s">
        <v>777</v>
      </c>
      <c r="G33" s="90" t="s">
        <v>778</v>
      </c>
      <c r="H33" s="92"/>
      <c r="I33" s="91"/>
      <c r="J33" s="30"/>
      <c r="K33" s="91"/>
      <c r="L33" s="30"/>
      <c r="M33" s="91"/>
      <c r="N33" s="30"/>
      <c r="O33" s="90"/>
      <c r="P33" s="91">
        <v>46052</v>
      </c>
      <c r="Q33" s="90" t="s">
        <v>779</v>
      </c>
    </row>
    <row r="34" spans="1:17" ht="15" customHeight="1" x14ac:dyDescent="0.3">
      <c r="A34" s="90" t="s">
        <v>828</v>
      </c>
      <c r="B34" s="91">
        <v>45526</v>
      </c>
      <c r="C34" s="30">
        <v>21.9</v>
      </c>
      <c r="D34" s="90" t="s">
        <v>811</v>
      </c>
      <c r="E34" s="90" t="s">
        <v>776</v>
      </c>
      <c r="F34" s="90" t="s">
        <v>777</v>
      </c>
      <c r="G34" s="90" t="s">
        <v>778</v>
      </c>
      <c r="H34" s="92"/>
      <c r="I34" s="91"/>
      <c r="J34" s="30"/>
      <c r="K34" s="91"/>
      <c r="L34" s="30"/>
      <c r="M34" s="91"/>
      <c r="N34" s="30"/>
      <c r="O34" s="90"/>
      <c r="P34" s="91">
        <v>46079</v>
      </c>
      <c r="Q34" s="90" t="s">
        <v>779</v>
      </c>
    </row>
    <row r="35" spans="1:17" ht="15" customHeight="1" x14ac:dyDescent="0.3">
      <c r="A35" s="90" t="s">
        <v>829</v>
      </c>
      <c r="B35" s="91">
        <v>45528</v>
      </c>
      <c r="C35" s="30">
        <v>21.8</v>
      </c>
      <c r="D35" s="90" t="s">
        <v>811</v>
      </c>
      <c r="E35" s="90" t="s">
        <v>776</v>
      </c>
      <c r="F35" s="90" t="s">
        <v>777</v>
      </c>
      <c r="G35" s="90" t="s">
        <v>778</v>
      </c>
      <c r="H35" s="92"/>
      <c r="I35" s="91"/>
      <c r="J35" s="30"/>
      <c r="K35" s="91"/>
      <c r="L35" s="30"/>
      <c r="M35" s="91"/>
      <c r="N35" s="30"/>
      <c r="O35" s="90"/>
      <c r="P35" s="91">
        <v>46052</v>
      </c>
      <c r="Q35" s="90" t="s">
        <v>779</v>
      </c>
    </row>
    <row r="36" spans="1:17" ht="15" customHeight="1" x14ac:dyDescent="0.3">
      <c r="A36" s="90" t="s">
        <v>830</v>
      </c>
      <c r="B36" s="91">
        <v>45531</v>
      </c>
      <c r="C36" s="30">
        <v>21.7</v>
      </c>
      <c r="D36" s="90" t="s">
        <v>811</v>
      </c>
      <c r="E36" s="90" t="s">
        <v>776</v>
      </c>
      <c r="F36" s="90" t="s">
        <v>777</v>
      </c>
      <c r="G36" s="90" t="s">
        <v>778</v>
      </c>
      <c r="H36" s="92"/>
      <c r="I36" s="91"/>
      <c r="J36" s="30"/>
      <c r="K36" s="91"/>
      <c r="L36" s="30"/>
      <c r="M36" s="91"/>
      <c r="N36" s="30"/>
      <c r="O36" s="90"/>
      <c r="P36" s="91">
        <v>46079</v>
      </c>
      <c r="Q36" s="90" t="s">
        <v>779</v>
      </c>
    </row>
    <row r="37" spans="1:17" ht="15" customHeight="1" x14ac:dyDescent="0.3">
      <c r="A37" s="90" t="s">
        <v>612</v>
      </c>
      <c r="B37" s="91">
        <v>45350</v>
      </c>
      <c r="C37" s="30">
        <v>27.6</v>
      </c>
      <c r="D37" s="90" t="s">
        <v>802</v>
      </c>
      <c r="E37" s="90" t="s">
        <v>822</v>
      </c>
      <c r="F37" s="90" t="s">
        <v>823</v>
      </c>
      <c r="G37" s="90" t="s">
        <v>824</v>
      </c>
      <c r="H37" s="92">
        <v>111</v>
      </c>
      <c r="I37" s="91">
        <v>46186</v>
      </c>
      <c r="J37" s="30">
        <v>7</v>
      </c>
      <c r="K37" s="91">
        <v>46160</v>
      </c>
      <c r="L37" s="30">
        <v>13</v>
      </c>
      <c r="M37" s="91">
        <v>46151</v>
      </c>
      <c r="N37" s="30">
        <v>17</v>
      </c>
      <c r="O37" s="90">
        <v>8</v>
      </c>
      <c r="P37" s="91">
        <v>45836</v>
      </c>
      <c r="Q37" s="90" t="s">
        <v>779</v>
      </c>
    </row>
    <row r="38" spans="1:17" ht="15" customHeight="1" x14ac:dyDescent="0.3">
      <c r="A38" s="90" t="s">
        <v>831</v>
      </c>
      <c r="B38" s="91">
        <v>45543</v>
      </c>
      <c r="C38" s="30">
        <v>21.3</v>
      </c>
      <c r="D38" s="90" t="s">
        <v>811</v>
      </c>
      <c r="E38" s="90" t="s">
        <v>776</v>
      </c>
      <c r="F38" s="90" t="s">
        <v>777</v>
      </c>
      <c r="G38" s="90" t="s">
        <v>778</v>
      </c>
      <c r="H38" s="92"/>
      <c r="I38" s="91"/>
      <c r="J38" s="30"/>
      <c r="K38" s="91"/>
      <c r="L38" s="30"/>
      <c r="M38" s="91"/>
      <c r="N38" s="30"/>
      <c r="O38" s="90"/>
      <c r="P38" s="91">
        <v>46100</v>
      </c>
      <c r="Q38" s="90" t="s">
        <v>779</v>
      </c>
    </row>
    <row r="39" spans="1:17" ht="15" customHeight="1" x14ac:dyDescent="0.3">
      <c r="A39" s="90" t="s">
        <v>832</v>
      </c>
      <c r="B39" s="91">
        <v>45580</v>
      </c>
      <c r="C39" s="30">
        <v>20.100000000000001</v>
      </c>
      <c r="D39" s="90" t="s">
        <v>811</v>
      </c>
      <c r="E39" s="90" t="s">
        <v>776</v>
      </c>
      <c r="F39" s="90" t="s">
        <v>777</v>
      </c>
      <c r="G39" s="90" t="s">
        <v>778</v>
      </c>
      <c r="H39" s="92"/>
      <c r="I39" s="91"/>
      <c r="J39" s="30"/>
      <c r="K39" s="91"/>
      <c r="L39" s="30"/>
      <c r="M39" s="91"/>
      <c r="N39" s="30"/>
      <c r="O39" s="90"/>
      <c r="P39" s="91">
        <v>46100</v>
      </c>
      <c r="Q39" s="90" t="s">
        <v>779</v>
      </c>
    </row>
    <row r="40" spans="1:17" ht="15" customHeight="1" x14ac:dyDescent="0.3">
      <c r="A40" s="90" t="s">
        <v>833</v>
      </c>
      <c r="B40" s="91">
        <v>45585</v>
      </c>
      <c r="C40" s="30">
        <v>19.899999999999999</v>
      </c>
      <c r="D40" s="90" t="s">
        <v>811</v>
      </c>
      <c r="E40" s="90" t="s">
        <v>776</v>
      </c>
      <c r="F40" s="90" t="s">
        <v>777</v>
      </c>
      <c r="G40" s="90" t="s">
        <v>778</v>
      </c>
      <c r="H40" s="92"/>
      <c r="I40" s="91"/>
      <c r="J40" s="30"/>
      <c r="K40" s="91"/>
      <c r="L40" s="30"/>
      <c r="M40" s="91"/>
      <c r="N40" s="30"/>
      <c r="O40" s="90"/>
      <c r="P40" s="91">
        <v>46100</v>
      </c>
      <c r="Q40" s="90" t="s">
        <v>779</v>
      </c>
    </row>
    <row r="41" spans="1:17" ht="15" customHeight="1" x14ac:dyDescent="0.3">
      <c r="A41" s="90" t="s">
        <v>834</v>
      </c>
      <c r="B41" s="91">
        <v>45590</v>
      </c>
      <c r="C41" s="30">
        <v>19.8</v>
      </c>
      <c r="D41" s="90" t="s">
        <v>811</v>
      </c>
      <c r="E41" s="90" t="s">
        <v>776</v>
      </c>
      <c r="F41" s="90" t="s">
        <v>777</v>
      </c>
      <c r="G41" s="90" t="s">
        <v>778</v>
      </c>
      <c r="H41" s="92"/>
      <c r="I41" s="91"/>
      <c r="J41" s="30"/>
      <c r="K41" s="91"/>
      <c r="L41" s="30"/>
      <c r="M41" s="91"/>
      <c r="N41" s="30"/>
      <c r="O41" s="90"/>
      <c r="P41" s="91">
        <v>46147</v>
      </c>
      <c r="Q41" s="90" t="s">
        <v>779</v>
      </c>
    </row>
    <row r="42" spans="1:17" ht="15" customHeight="1" x14ac:dyDescent="0.3">
      <c r="A42" s="90" t="s">
        <v>613</v>
      </c>
      <c r="B42" s="91">
        <v>45350</v>
      </c>
      <c r="C42" s="30">
        <v>27.6</v>
      </c>
      <c r="D42" s="90" t="s">
        <v>793</v>
      </c>
      <c r="E42" s="90" t="s">
        <v>822</v>
      </c>
      <c r="F42" s="90" t="s">
        <v>823</v>
      </c>
      <c r="G42" s="90" t="s">
        <v>824</v>
      </c>
      <c r="H42" s="92">
        <v>86</v>
      </c>
      <c r="I42" s="91">
        <v>46186</v>
      </c>
      <c r="J42" s="30">
        <v>25</v>
      </c>
      <c r="K42" s="91">
        <v>46160</v>
      </c>
      <c r="L42" s="30">
        <v>21</v>
      </c>
      <c r="M42" s="91">
        <v>46151</v>
      </c>
      <c r="N42" s="30">
        <v>21</v>
      </c>
      <c r="O42" s="90">
        <v>8</v>
      </c>
      <c r="P42" s="91">
        <v>45836</v>
      </c>
      <c r="Q42" s="90" t="s">
        <v>779</v>
      </c>
    </row>
    <row r="43" spans="1:17" ht="15" customHeight="1" x14ac:dyDescent="0.3">
      <c r="A43" s="90" t="s">
        <v>835</v>
      </c>
      <c r="B43" s="91">
        <v>45612</v>
      </c>
      <c r="C43" s="30">
        <v>19</v>
      </c>
      <c r="D43" s="90" t="s">
        <v>811</v>
      </c>
      <c r="E43" s="90" t="s">
        <v>776</v>
      </c>
      <c r="F43" s="90" t="s">
        <v>777</v>
      </c>
      <c r="G43" s="90" t="s">
        <v>778</v>
      </c>
      <c r="H43" s="92"/>
      <c r="I43" s="91"/>
      <c r="J43" s="30"/>
      <c r="K43" s="91"/>
      <c r="L43" s="30"/>
      <c r="M43" s="91"/>
      <c r="N43" s="30"/>
      <c r="O43" s="90"/>
      <c r="P43" s="91">
        <v>46147</v>
      </c>
      <c r="Q43" s="90" t="s">
        <v>779</v>
      </c>
    </row>
    <row r="44" spans="1:17" ht="15" customHeight="1" x14ac:dyDescent="0.3">
      <c r="A44" s="90" t="s">
        <v>615</v>
      </c>
      <c r="B44" s="91">
        <v>45350</v>
      </c>
      <c r="C44" s="30">
        <v>27.6</v>
      </c>
      <c r="D44" s="90" t="s">
        <v>798</v>
      </c>
      <c r="E44" s="90" t="s">
        <v>799</v>
      </c>
      <c r="F44" s="90" t="s">
        <v>800</v>
      </c>
      <c r="G44" s="90" t="s">
        <v>801</v>
      </c>
      <c r="H44" s="92">
        <v>2</v>
      </c>
      <c r="I44" s="91"/>
      <c r="J44" s="30"/>
      <c r="K44" s="91"/>
      <c r="L44" s="30"/>
      <c r="M44" s="91"/>
      <c r="N44" s="30"/>
      <c r="O44" s="90"/>
      <c r="P44" s="91">
        <v>45939</v>
      </c>
      <c r="Q44" s="90" t="s">
        <v>779</v>
      </c>
    </row>
    <row r="45" spans="1:17" ht="15" customHeight="1" x14ac:dyDescent="0.3">
      <c r="A45" s="90" t="s">
        <v>616</v>
      </c>
      <c r="B45" s="91">
        <v>45350</v>
      </c>
      <c r="C45" s="30">
        <v>27.6</v>
      </c>
      <c r="D45" s="90" t="s">
        <v>793</v>
      </c>
      <c r="E45" s="90" t="s">
        <v>822</v>
      </c>
      <c r="F45" s="90" t="s">
        <v>823</v>
      </c>
      <c r="G45" s="90" t="s">
        <v>824</v>
      </c>
      <c r="H45" s="92">
        <v>142</v>
      </c>
      <c r="I45" s="91">
        <v>46186</v>
      </c>
      <c r="J45" s="30">
        <v>21</v>
      </c>
      <c r="K45" s="91">
        <v>46160</v>
      </c>
      <c r="L45" s="30">
        <v>21</v>
      </c>
      <c r="M45" s="91">
        <v>46151</v>
      </c>
      <c r="N45" s="30">
        <v>18</v>
      </c>
      <c r="O45" s="90">
        <v>8</v>
      </c>
      <c r="P45" s="91">
        <v>46163</v>
      </c>
      <c r="Q45" s="90" t="s">
        <v>805</v>
      </c>
    </row>
    <row r="46" spans="1:17" ht="15" customHeight="1" x14ac:dyDescent="0.3">
      <c r="A46" s="90" t="s">
        <v>617</v>
      </c>
      <c r="B46" s="91">
        <v>45536</v>
      </c>
      <c r="C46" s="30">
        <v>21.5</v>
      </c>
      <c r="D46" s="90" t="s">
        <v>775</v>
      </c>
      <c r="E46" s="90" t="s">
        <v>776</v>
      </c>
      <c r="F46" s="90" t="s">
        <v>777</v>
      </c>
      <c r="G46" s="90" t="s">
        <v>778</v>
      </c>
      <c r="H46" s="92"/>
      <c r="I46" s="91"/>
      <c r="J46" s="30"/>
      <c r="K46" s="91"/>
      <c r="L46" s="30"/>
      <c r="M46" s="91"/>
      <c r="N46" s="30"/>
      <c r="O46" s="90"/>
      <c r="P46" s="91">
        <v>46141</v>
      </c>
      <c r="Q46" s="90" t="s">
        <v>779</v>
      </c>
    </row>
    <row r="47" spans="1:17" ht="15" customHeight="1" x14ac:dyDescent="0.3">
      <c r="A47" s="90" t="s">
        <v>618</v>
      </c>
      <c r="B47" s="91">
        <v>44542</v>
      </c>
      <c r="C47" s="30">
        <v>54.1</v>
      </c>
      <c r="D47" s="90" t="s">
        <v>793</v>
      </c>
      <c r="E47" s="90" t="s">
        <v>815</v>
      </c>
      <c r="F47" s="90" t="s">
        <v>816</v>
      </c>
      <c r="G47" s="90" t="s">
        <v>778</v>
      </c>
      <c r="H47" s="92">
        <v>292</v>
      </c>
      <c r="I47" s="91">
        <v>46186</v>
      </c>
      <c r="J47" s="30">
        <v>20</v>
      </c>
      <c r="K47" s="91">
        <v>46160</v>
      </c>
      <c r="L47" s="30">
        <v>24</v>
      </c>
      <c r="M47" s="91">
        <v>46151</v>
      </c>
      <c r="N47" s="30">
        <v>23</v>
      </c>
      <c r="O47" s="90">
        <v>8</v>
      </c>
      <c r="P47" s="91">
        <v>46058</v>
      </c>
      <c r="Q47" s="90" t="s">
        <v>779</v>
      </c>
    </row>
    <row r="48" spans="1:17" ht="15" customHeight="1" x14ac:dyDescent="0.3">
      <c r="A48" s="90" t="s">
        <v>619</v>
      </c>
      <c r="B48" s="91">
        <v>45350</v>
      </c>
      <c r="C48" s="30">
        <v>27.6</v>
      </c>
      <c r="D48" s="90" t="s">
        <v>793</v>
      </c>
      <c r="E48" s="90" t="s">
        <v>822</v>
      </c>
      <c r="F48" s="90" t="s">
        <v>823</v>
      </c>
      <c r="G48" s="90" t="s">
        <v>824</v>
      </c>
      <c r="H48" s="92">
        <v>89</v>
      </c>
      <c r="I48" s="91">
        <v>46186</v>
      </c>
      <c r="J48" s="30">
        <v>19</v>
      </c>
      <c r="K48" s="91">
        <v>46160</v>
      </c>
      <c r="L48" s="30">
        <v>16</v>
      </c>
      <c r="M48" s="91">
        <v>46151</v>
      </c>
      <c r="N48" s="30">
        <v>20</v>
      </c>
      <c r="O48" s="90">
        <v>8</v>
      </c>
      <c r="P48" s="91">
        <v>45836</v>
      </c>
      <c r="Q48" s="90" t="s">
        <v>779</v>
      </c>
    </row>
    <row r="49" spans="1:17" ht="15" customHeight="1" x14ac:dyDescent="0.3">
      <c r="A49" s="90" t="s">
        <v>621</v>
      </c>
      <c r="B49" s="91">
        <v>45350</v>
      </c>
      <c r="C49" s="30">
        <v>27.6</v>
      </c>
      <c r="D49" s="90" t="s">
        <v>793</v>
      </c>
      <c r="E49" s="90" t="s">
        <v>815</v>
      </c>
      <c r="F49" s="90" t="s">
        <v>816</v>
      </c>
      <c r="G49" s="90" t="s">
        <v>778</v>
      </c>
      <c r="H49" s="92">
        <v>147</v>
      </c>
      <c r="I49" s="91">
        <v>46186</v>
      </c>
      <c r="J49" s="30">
        <v>29</v>
      </c>
      <c r="K49" s="91">
        <v>46160</v>
      </c>
      <c r="L49" s="30">
        <v>29</v>
      </c>
      <c r="M49" s="91">
        <v>46151</v>
      </c>
      <c r="N49" s="30">
        <v>31</v>
      </c>
      <c r="O49" s="90">
        <v>8</v>
      </c>
      <c r="P49" s="91">
        <v>46164</v>
      </c>
      <c r="Q49" s="90" t="s">
        <v>779</v>
      </c>
    </row>
    <row r="50" spans="1:17" ht="15" customHeight="1" x14ac:dyDescent="0.3">
      <c r="A50" s="90" t="s">
        <v>622</v>
      </c>
      <c r="B50" s="91">
        <v>45350</v>
      </c>
      <c r="C50" s="30">
        <v>27.6</v>
      </c>
      <c r="D50" s="90" t="s">
        <v>793</v>
      </c>
      <c r="E50" s="90" t="s">
        <v>815</v>
      </c>
      <c r="F50" s="90" t="s">
        <v>816</v>
      </c>
      <c r="G50" s="90" t="s">
        <v>778</v>
      </c>
      <c r="H50" s="92">
        <v>161</v>
      </c>
      <c r="I50" s="91">
        <v>46186</v>
      </c>
      <c r="J50" s="30">
        <v>22</v>
      </c>
      <c r="K50" s="91">
        <v>46160</v>
      </c>
      <c r="L50" s="30">
        <v>22</v>
      </c>
      <c r="M50" s="91">
        <v>46151</v>
      </c>
      <c r="N50" s="30">
        <v>22</v>
      </c>
      <c r="O50" s="90">
        <v>8</v>
      </c>
      <c r="P50" s="91">
        <v>46164</v>
      </c>
      <c r="Q50" s="90" t="s">
        <v>779</v>
      </c>
    </row>
    <row r="51" spans="1:17" ht="15" customHeight="1" x14ac:dyDescent="0.3">
      <c r="A51" s="90" t="s">
        <v>623</v>
      </c>
      <c r="B51" s="91">
        <v>45350</v>
      </c>
      <c r="C51" s="30">
        <v>27.6</v>
      </c>
      <c r="D51" s="90" t="s">
        <v>793</v>
      </c>
      <c r="E51" s="90" t="s">
        <v>822</v>
      </c>
      <c r="F51" s="90" t="s">
        <v>823</v>
      </c>
      <c r="G51" s="90" t="s">
        <v>824</v>
      </c>
      <c r="H51" s="92">
        <v>102</v>
      </c>
      <c r="I51" s="91">
        <v>46186</v>
      </c>
      <c r="J51" s="30">
        <v>25</v>
      </c>
      <c r="K51" s="91">
        <v>46160</v>
      </c>
      <c r="L51" s="30">
        <v>25</v>
      </c>
      <c r="M51" s="91">
        <v>46151</v>
      </c>
      <c r="N51" s="30">
        <v>24</v>
      </c>
      <c r="O51" s="90">
        <v>8</v>
      </c>
      <c r="P51" s="91">
        <v>46164</v>
      </c>
      <c r="Q51" s="90" t="s">
        <v>805</v>
      </c>
    </row>
    <row r="52" spans="1:17" ht="15" customHeight="1" x14ac:dyDescent="0.3">
      <c r="A52" s="90" t="s">
        <v>624</v>
      </c>
      <c r="B52" s="91">
        <v>44582</v>
      </c>
      <c r="C52" s="30">
        <v>52.8</v>
      </c>
      <c r="D52" s="90" t="s">
        <v>793</v>
      </c>
      <c r="E52" s="90" t="s">
        <v>815</v>
      </c>
      <c r="F52" s="90" t="s">
        <v>816</v>
      </c>
      <c r="G52" s="90" t="s">
        <v>778</v>
      </c>
      <c r="H52" s="92">
        <v>301</v>
      </c>
      <c r="I52" s="91">
        <v>46186</v>
      </c>
      <c r="J52" s="30">
        <v>27</v>
      </c>
      <c r="K52" s="91">
        <v>46160</v>
      </c>
      <c r="L52" s="30">
        <v>30</v>
      </c>
      <c r="M52" s="91">
        <v>46151</v>
      </c>
      <c r="N52" s="30">
        <v>31</v>
      </c>
      <c r="O52" s="90">
        <v>8</v>
      </c>
      <c r="P52" s="91">
        <v>46058</v>
      </c>
      <c r="Q52" s="90" t="s">
        <v>779</v>
      </c>
    </row>
    <row r="53" spans="1:17" ht="15" customHeight="1" x14ac:dyDescent="0.3">
      <c r="A53" s="90" t="s">
        <v>625</v>
      </c>
      <c r="B53" s="91">
        <v>45715</v>
      </c>
      <c r="C53" s="30">
        <v>15.7</v>
      </c>
      <c r="D53" s="90" t="s">
        <v>780</v>
      </c>
      <c r="E53" s="90" t="s">
        <v>776</v>
      </c>
      <c r="F53" s="90" t="s">
        <v>777</v>
      </c>
      <c r="G53" s="90" t="s">
        <v>778</v>
      </c>
      <c r="H53" s="92"/>
      <c r="I53" s="91"/>
      <c r="J53" s="30"/>
      <c r="K53" s="91"/>
      <c r="L53" s="30"/>
      <c r="M53" s="91"/>
      <c r="N53" s="30"/>
      <c r="O53" s="90"/>
      <c r="P53" s="91">
        <v>46185</v>
      </c>
      <c r="Q53" s="90" t="s">
        <v>779</v>
      </c>
    </row>
    <row r="54" spans="1:17" ht="15" customHeight="1" x14ac:dyDescent="0.3">
      <c r="A54" s="90" t="s">
        <v>626</v>
      </c>
      <c r="B54" s="91">
        <v>45601</v>
      </c>
      <c r="C54" s="30">
        <v>19.399999999999999</v>
      </c>
      <c r="D54" s="90" t="s">
        <v>775</v>
      </c>
      <c r="E54" s="90" t="s">
        <v>836</v>
      </c>
      <c r="F54" s="90" t="s">
        <v>837</v>
      </c>
      <c r="G54" s="90" t="s">
        <v>824</v>
      </c>
      <c r="H54" s="92"/>
      <c r="I54" s="91"/>
      <c r="J54" s="30"/>
      <c r="K54" s="91"/>
      <c r="L54" s="30"/>
      <c r="M54" s="91"/>
      <c r="N54" s="30"/>
      <c r="O54" s="90"/>
      <c r="P54" s="91">
        <v>46164</v>
      </c>
      <c r="Q54" s="90" t="s">
        <v>805</v>
      </c>
    </row>
    <row r="55" spans="1:17" ht="15" customHeight="1" x14ac:dyDescent="0.3">
      <c r="A55" s="90" t="s">
        <v>627</v>
      </c>
      <c r="B55" s="91">
        <v>45461</v>
      </c>
      <c r="C55" s="30">
        <v>24</v>
      </c>
      <c r="D55" s="90" t="s">
        <v>838</v>
      </c>
      <c r="E55" s="90" t="s">
        <v>776</v>
      </c>
      <c r="F55" s="90" t="s">
        <v>777</v>
      </c>
      <c r="G55" s="90" t="s">
        <v>778</v>
      </c>
      <c r="H55" s="92"/>
      <c r="I55" s="91"/>
      <c r="J55" s="30"/>
      <c r="K55" s="91"/>
      <c r="L55" s="30"/>
      <c r="M55" s="91"/>
      <c r="N55" s="30"/>
      <c r="O55" s="90"/>
      <c r="P55" s="91">
        <v>46141</v>
      </c>
      <c r="Q55" s="90" t="s">
        <v>779</v>
      </c>
    </row>
    <row r="56" spans="1:17" ht="15" customHeight="1" x14ac:dyDescent="0.3">
      <c r="A56" s="90" t="s">
        <v>628</v>
      </c>
      <c r="B56" s="91">
        <v>45628</v>
      </c>
      <c r="C56" s="30">
        <v>18.5</v>
      </c>
      <c r="D56" s="90" t="s">
        <v>780</v>
      </c>
      <c r="E56" s="90" t="s">
        <v>776</v>
      </c>
      <c r="F56" s="90" t="s">
        <v>777</v>
      </c>
      <c r="G56" s="90" t="s">
        <v>778</v>
      </c>
      <c r="H56" s="92"/>
      <c r="I56" s="91"/>
      <c r="J56" s="30"/>
      <c r="K56" s="91"/>
      <c r="L56" s="30"/>
      <c r="M56" s="91"/>
      <c r="N56" s="30"/>
      <c r="O56" s="90"/>
      <c r="P56" s="91">
        <v>46185</v>
      </c>
      <c r="Q56" s="90" t="s">
        <v>779</v>
      </c>
    </row>
    <row r="57" spans="1:17" ht="15" customHeight="1" x14ac:dyDescent="0.3">
      <c r="A57" s="90" t="s">
        <v>630</v>
      </c>
      <c r="B57" s="91">
        <v>45147</v>
      </c>
      <c r="C57" s="30">
        <v>34.299999999999997</v>
      </c>
      <c r="D57" s="90" t="s">
        <v>793</v>
      </c>
      <c r="E57" s="90" t="s">
        <v>815</v>
      </c>
      <c r="F57" s="90" t="s">
        <v>816</v>
      </c>
      <c r="G57" s="90" t="s">
        <v>778</v>
      </c>
      <c r="H57" s="92">
        <v>229</v>
      </c>
      <c r="I57" s="91">
        <v>46186</v>
      </c>
      <c r="J57" s="30">
        <v>21</v>
      </c>
      <c r="K57" s="91">
        <v>46160</v>
      </c>
      <c r="L57" s="30">
        <v>23</v>
      </c>
      <c r="M57" s="91">
        <v>46151</v>
      </c>
      <c r="N57" s="30">
        <v>25</v>
      </c>
      <c r="O57" s="90">
        <v>8</v>
      </c>
      <c r="P57" s="91">
        <v>46101</v>
      </c>
      <c r="Q57" s="90" t="s">
        <v>779</v>
      </c>
    </row>
    <row r="58" spans="1:17" ht="15" customHeight="1" x14ac:dyDescent="0.3">
      <c r="A58" s="90" t="s">
        <v>631</v>
      </c>
      <c r="B58" s="91">
        <v>45635</v>
      </c>
      <c r="C58" s="30">
        <v>18.3</v>
      </c>
      <c r="D58" s="90" t="s">
        <v>775</v>
      </c>
      <c r="E58" s="90" t="s">
        <v>776</v>
      </c>
      <c r="F58" s="90" t="s">
        <v>777</v>
      </c>
      <c r="G58" s="90" t="s">
        <v>778</v>
      </c>
      <c r="H58" s="92"/>
      <c r="I58" s="91"/>
      <c r="J58" s="30"/>
      <c r="K58" s="91"/>
      <c r="L58" s="30"/>
      <c r="M58" s="91"/>
      <c r="N58" s="30"/>
      <c r="O58" s="90"/>
      <c r="P58" s="91">
        <v>46185</v>
      </c>
      <c r="Q58" s="90" t="s">
        <v>779</v>
      </c>
    </row>
    <row r="59" spans="1:17" ht="15" customHeight="1" x14ac:dyDescent="0.3">
      <c r="A59" s="90" t="s">
        <v>632</v>
      </c>
      <c r="B59" s="91">
        <v>45454</v>
      </c>
      <c r="C59" s="30">
        <v>24.2</v>
      </c>
      <c r="D59" s="90" t="s">
        <v>838</v>
      </c>
      <c r="E59" s="90" t="s">
        <v>776</v>
      </c>
      <c r="F59" s="90" t="s">
        <v>777</v>
      </c>
      <c r="G59" s="90" t="s">
        <v>778</v>
      </c>
      <c r="H59" s="92"/>
      <c r="I59" s="91"/>
      <c r="J59" s="30"/>
      <c r="K59" s="91"/>
      <c r="L59" s="30"/>
      <c r="M59" s="91"/>
      <c r="N59" s="30"/>
      <c r="O59" s="90"/>
      <c r="P59" s="91">
        <v>46141</v>
      </c>
      <c r="Q59" s="90" t="s">
        <v>779</v>
      </c>
    </row>
    <row r="60" spans="1:17" ht="15" customHeight="1" x14ac:dyDescent="0.3">
      <c r="A60" s="90" t="s">
        <v>633</v>
      </c>
      <c r="B60" s="91">
        <v>45201</v>
      </c>
      <c r="C60" s="30">
        <v>32.5</v>
      </c>
      <c r="D60" s="90" t="s">
        <v>793</v>
      </c>
      <c r="E60" s="90" t="s">
        <v>803</v>
      </c>
      <c r="F60" s="90" t="s">
        <v>804</v>
      </c>
      <c r="G60" s="90" t="s">
        <v>784</v>
      </c>
      <c r="H60" s="92">
        <v>190</v>
      </c>
      <c r="I60" s="91">
        <v>46186</v>
      </c>
      <c r="J60" s="30">
        <v>28</v>
      </c>
      <c r="K60" s="91">
        <v>46160</v>
      </c>
      <c r="L60" s="30">
        <v>22</v>
      </c>
      <c r="M60" s="91">
        <v>46151</v>
      </c>
      <c r="N60" s="30">
        <v>24</v>
      </c>
      <c r="O60" s="90">
        <v>8</v>
      </c>
      <c r="P60" s="91">
        <v>46185</v>
      </c>
      <c r="Q60" s="90" t="s">
        <v>805</v>
      </c>
    </row>
    <row r="61" spans="1:17" ht="15" customHeight="1" x14ac:dyDescent="0.3">
      <c r="A61" s="90" t="s">
        <v>634</v>
      </c>
      <c r="B61" s="91">
        <v>45334</v>
      </c>
      <c r="C61" s="30">
        <v>28.1</v>
      </c>
      <c r="D61" s="90" t="s">
        <v>793</v>
      </c>
      <c r="E61" s="90" t="s">
        <v>815</v>
      </c>
      <c r="F61" s="90" t="s">
        <v>816</v>
      </c>
      <c r="G61" s="90" t="s">
        <v>778</v>
      </c>
      <c r="H61" s="92">
        <v>172</v>
      </c>
      <c r="I61" s="91">
        <v>46186</v>
      </c>
      <c r="J61" s="30">
        <v>33</v>
      </c>
      <c r="K61" s="91">
        <v>46160</v>
      </c>
      <c r="L61" s="30">
        <v>25</v>
      </c>
      <c r="M61" s="91">
        <v>46151</v>
      </c>
      <c r="N61" s="30">
        <v>23</v>
      </c>
      <c r="O61" s="90">
        <v>8</v>
      </c>
      <c r="P61" s="91">
        <v>46141</v>
      </c>
      <c r="Q61" s="90" t="s">
        <v>779</v>
      </c>
    </row>
    <row r="62" spans="1:17" ht="15" customHeight="1" x14ac:dyDescent="0.3">
      <c r="A62" s="90" t="s">
        <v>635</v>
      </c>
      <c r="B62" s="91">
        <v>45572</v>
      </c>
      <c r="C62" s="30">
        <v>20.3</v>
      </c>
      <c r="D62" s="90" t="s">
        <v>780</v>
      </c>
      <c r="E62" s="90" t="s">
        <v>776</v>
      </c>
      <c r="F62" s="90" t="s">
        <v>777</v>
      </c>
      <c r="G62" s="90" t="s">
        <v>778</v>
      </c>
      <c r="H62" s="92"/>
      <c r="I62" s="91"/>
      <c r="J62" s="30"/>
      <c r="K62" s="91"/>
      <c r="L62" s="30"/>
      <c r="M62" s="91"/>
      <c r="N62" s="30"/>
      <c r="O62" s="90"/>
      <c r="P62" s="91">
        <v>46141</v>
      </c>
      <c r="Q62" s="90" t="s">
        <v>779</v>
      </c>
    </row>
    <row r="63" spans="1:17" ht="15" customHeight="1" x14ac:dyDescent="0.3">
      <c r="A63" s="90" t="s">
        <v>636</v>
      </c>
      <c r="B63" s="91">
        <v>45554</v>
      </c>
      <c r="C63" s="30">
        <v>20.9</v>
      </c>
      <c r="D63" s="90" t="s">
        <v>775</v>
      </c>
      <c r="E63" s="90" t="s">
        <v>776</v>
      </c>
      <c r="F63" s="90" t="s">
        <v>777</v>
      </c>
      <c r="G63" s="90" t="s">
        <v>778</v>
      </c>
      <c r="H63" s="92"/>
      <c r="I63" s="91"/>
      <c r="J63" s="30"/>
      <c r="K63" s="91"/>
      <c r="L63" s="30"/>
      <c r="M63" s="91"/>
      <c r="N63" s="30"/>
      <c r="O63" s="90"/>
      <c r="P63" s="91">
        <v>46141</v>
      </c>
      <c r="Q63" s="90" t="s">
        <v>779</v>
      </c>
    </row>
    <row r="64" spans="1:17" ht="15" customHeight="1" x14ac:dyDescent="0.3">
      <c r="A64" s="90" t="s">
        <v>637</v>
      </c>
      <c r="B64" s="91">
        <v>45564</v>
      </c>
      <c r="C64" s="30">
        <v>20.6</v>
      </c>
      <c r="D64" s="90" t="s">
        <v>775</v>
      </c>
      <c r="E64" s="90" t="s">
        <v>776</v>
      </c>
      <c r="F64" s="90" t="s">
        <v>777</v>
      </c>
      <c r="G64" s="90" t="s">
        <v>778</v>
      </c>
      <c r="H64" s="92"/>
      <c r="I64" s="91"/>
      <c r="J64" s="30"/>
      <c r="K64" s="91"/>
      <c r="L64" s="30"/>
      <c r="M64" s="91"/>
      <c r="N64" s="30"/>
      <c r="O64" s="90"/>
      <c r="P64" s="91">
        <v>46141</v>
      </c>
      <c r="Q64" s="90" t="s">
        <v>779</v>
      </c>
    </row>
    <row r="65" spans="1:17" ht="15" customHeight="1" x14ac:dyDescent="0.3">
      <c r="A65" s="90" t="s">
        <v>638</v>
      </c>
      <c r="B65" s="91">
        <v>45635</v>
      </c>
      <c r="C65" s="30">
        <v>18.3</v>
      </c>
      <c r="D65" s="90" t="s">
        <v>775</v>
      </c>
      <c r="E65" s="90" t="s">
        <v>776</v>
      </c>
      <c r="F65" s="90" t="s">
        <v>777</v>
      </c>
      <c r="G65" s="90" t="s">
        <v>778</v>
      </c>
      <c r="H65" s="92"/>
      <c r="I65" s="91"/>
      <c r="J65" s="30"/>
      <c r="K65" s="91"/>
      <c r="L65" s="30"/>
      <c r="M65" s="91"/>
      <c r="N65" s="30"/>
      <c r="O65" s="90"/>
      <c r="P65" s="91">
        <v>46185</v>
      </c>
      <c r="Q65" s="90" t="s">
        <v>779</v>
      </c>
    </row>
    <row r="66" spans="1:17" ht="15" customHeight="1" x14ac:dyDescent="0.3">
      <c r="A66" s="90" t="s">
        <v>639</v>
      </c>
      <c r="B66" s="91">
        <v>45715</v>
      </c>
      <c r="C66" s="30">
        <v>15.7</v>
      </c>
      <c r="D66" s="90" t="s">
        <v>775</v>
      </c>
      <c r="E66" s="90" t="s">
        <v>808</v>
      </c>
      <c r="F66" s="90" t="s">
        <v>809</v>
      </c>
      <c r="G66" s="90" t="s">
        <v>784</v>
      </c>
      <c r="H66" s="92"/>
      <c r="I66" s="91"/>
      <c r="J66" s="30"/>
      <c r="K66" s="91"/>
      <c r="L66" s="30"/>
      <c r="M66" s="91"/>
      <c r="N66" s="30"/>
      <c r="O66" s="90"/>
      <c r="P66" s="91">
        <v>46185</v>
      </c>
      <c r="Q66" s="90" t="s">
        <v>805</v>
      </c>
    </row>
    <row r="67" spans="1:17" ht="15" customHeight="1" x14ac:dyDescent="0.3">
      <c r="A67" s="90" t="s">
        <v>640</v>
      </c>
      <c r="B67" s="91">
        <v>45438</v>
      </c>
      <c r="C67" s="30">
        <v>24.7</v>
      </c>
      <c r="D67" s="90" t="s">
        <v>838</v>
      </c>
      <c r="E67" s="90" t="s">
        <v>776</v>
      </c>
      <c r="F67" s="90" t="s">
        <v>777</v>
      </c>
      <c r="G67" s="90" t="s">
        <v>778</v>
      </c>
      <c r="H67" s="92"/>
      <c r="I67" s="91"/>
      <c r="J67" s="30"/>
      <c r="K67" s="91"/>
      <c r="L67" s="30"/>
      <c r="M67" s="91"/>
      <c r="N67" s="30"/>
      <c r="O67" s="90"/>
      <c r="P67" s="91">
        <v>46141</v>
      </c>
      <c r="Q67" s="90" t="s">
        <v>779</v>
      </c>
    </row>
    <row r="68" spans="1:17" ht="15" customHeight="1" x14ac:dyDescent="0.3">
      <c r="A68" s="90" t="s">
        <v>641</v>
      </c>
      <c r="B68" s="91">
        <v>45618</v>
      </c>
      <c r="C68" s="30">
        <v>18.8</v>
      </c>
      <c r="D68" s="90" t="s">
        <v>780</v>
      </c>
      <c r="E68" s="90" t="s">
        <v>776</v>
      </c>
      <c r="F68" s="90" t="s">
        <v>777</v>
      </c>
      <c r="G68" s="90" t="s">
        <v>778</v>
      </c>
      <c r="H68" s="92"/>
      <c r="I68" s="91"/>
      <c r="J68" s="30"/>
      <c r="K68" s="91"/>
      <c r="L68" s="30"/>
      <c r="M68" s="91"/>
      <c r="N68" s="30"/>
      <c r="O68" s="90"/>
      <c r="P68" s="91">
        <v>46164</v>
      </c>
      <c r="Q68" s="90" t="s">
        <v>779</v>
      </c>
    </row>
    <row r="69" spans="1:17" ht="15" customHeight="1" x14ac:dyDescent="0.3">
      <c r="A69" s="90" t="s">
        <v>642</v>
      </c>
      <c r="B69" s="91">
        <v>45715</v>
      </c>
      <c r="C69" s="30">
        <v>15.7</v>
      </c>
      <c r="D69" s="90" t="s">
        <v>775</v>
      </c>
      <c r="E69" s="90" t="s">
        <v>776</v>
      </c>
      <c r="F69" s="90" t="s">
        <v>777</v>
      </c>
      <c r="G69" s="90" t="s">
        <v>778</v>
      </c>
      <c r="H69" s="92"/>
      <c r="I69" s="91"/>
      <c r="J69" s="30"/>
      <c r="K69" s="91"/>
      <c r="L69" s="30"/>
      <c r="M69" s="91"/>
      <c r="N69" s="30"/>
      <c r="O69" s="90"/>
      <c r="P69" s="91">
        <v>46185</v>
      </c>
      <c r="Q69" s="90" t="s">
        <v>779</v>
      </c>
    </row>
    <row r="70" spans="1:17" ht="15" customHeight="1" x14ac:dyDescent="0.3">
      <c r="A70" s="90" t="s">
        <v>643</v>
      </c>
      <c r="B70" s="91">
        <v>45715</v>
      </c>
      <c r="C70" s="30">
        <v>15.7</v>
      </c>
      <c r="D70" s="90" t="s">
        <v>775</v>
      </c>
      <c r="E70" s="90" t="s">
        <v>776</v>
      </c>
      <c r="F70" s="90" t="s">
        <v>777</v>
      </c>
      <c r="G70" s="90" t="s">
        <v>778</v>
      </c>
      <c r="H70" s="92"/>
      <c r="I70" s="91"/>
      <c r="J70" s="30"/>
      <c r="K70" s="91"/>
      <c r="L70" s="30"/>
      <c r="M70" s="91"/>
      <c r="N70" s="30"/>
      <c r="O70" s="90"/>
      <c r="P70" s="91">
        <v>46185</v>
      </c>
      <c r="Q70" s="90" t="s">
        <v>779</v>
      </c>
    </row>
    <row r="71" spans="1:17" ht="15" customHeight="1" x14ac:dyDescent="0.3">
      <c r="A71" s="90" t="s">
        <v>644</v>
      </c>
      <c r="B71" s="91">
        <v>45469</v>
      </c>
      <c r="C71" s="30">
        <v>23.7</v>
      </c>
      <c r="D71" s="90" t="s">
        <v>838</v>
      </c>
      <c r="E71" s="90" t="s">
        <v>776</v>
      </c>
      <c r="F71" s="90" t="s">
        <v>777</v>
      </c>
      <c r="G71" s="90" t="s">
        <v>778</v>
      </c>
      <c r="H71" s="92"/>
      <c r="I71" s="91"/>
      <c r="J71" s="30"/>
      <c r="K71" s="91"/>
      <c r="L71" s="30"/>
      <c r="M71" s="91"/>
      <c r="N71" s="30"/>
      <c r="O71" s="90"/>
      <c r="P71" s="91">
        <v>46141</v>
      </c>
      <c r="Q71" s="90" t="s">
        <v>779</v>
      </c>
    </row>
    <row r="72" spans="1:17" ht="15" customHeight="1" x14ac:dyDescent="0.3">
      <c r="A72" s="90" t="s">
        <v>645</v>
      </c>
      <c r="B72" s="91">
        <v>45463</v>
      </c>
      <c r="C72" s="30">
        <v>23.9</v>
      </c>
      <c r="D72" s="90" t="s">
        <v>793</v>
      </c>
      <c r="E72" s="90" t="s">
        <v>822</v>
      </c>
      <c r="F72" s="90" t="s">
        <v>823</v>
      </c>
      <c r="G72" s="90" t="s">
        <v>824</v>
      </c>
      <c r="H72" s="92">
        <v>50</v>
      </c>
      <c r="I72" s="91">
        <v>46186</v>
      </c>
      <c r="J72" s="30">
        <v>15</v>
      </c>
      <c r="K72" s="91">
        <v>46160</v>
      </c>
      <c r="L72" s="30">
        <v>14</v>
      </c>
      <c r="M72" s="91">
        <v>46151</v>
      </c>
      <c r="N72" s="30">
        <v>10</v>
      </c>
      <c r="O72" s="90">
        <v>8</v>
      </c>
      <c r="P72" s="91">
        <v>45924</v>
      </c>
      <c r="Q72" s="90" t="s">
        <v>779</v>
      </c>
    </row>
    <row r="73" spans="1:17" ht="15" customHeight="1" x14ac:dyDescent="0.3">
      <c r="A73" s="90" t="s">
        <v>839</v>
      </c>
      <c r="B73" s="91">
        <v>45505</v>
      </c>
      <c r="C73" s="30">
        <v>22.5</v>
      </c>
      <c r="D73" s="90" t="s">
        <v>840</v>
      </c>
      <c r="E73" s="90" t="s">
        <v>776</v>
      </c>
      <c r="F73" s="90" t="s">
        <v>777</v>
      </c>
      <c r="G73" s="90" t="s">
        <v>778</v>
      </c>
      <c r="H73" s="92"/>
      <c r="I73" s="91"/>
      <c r="J73" s="30"/>
      <c r="K73" s="91"/>
      <c r="L73" s="30"/>
      <c r="M73" s="91"/>
      <c r="N73" s="30"/>
      <c r="O73" s="90"/>
      <c r="P73" s="91">
        <v>46045</v>
      </c>
      <c r="Q73" s="90" t="s">
        <v>779</v>
      </c>
    </row>
    <row r="74" spans="1:17" ht="15" customHeight="1" x14ac:dyDescent="0.3">
      <c r="A74" s="90" t="s">
        <v>654</v>
      </c>
      <c r="B74" s="91">
        <v>44197</v>
      </c>
      <c r="C74" s="30">
        <v>65.400000000000006</v>
      </c>
      <c r="D74" s="90" t="s">
        <v>802</v>
      </c>
      <c r="E74" s="90" t="s">
        <v>815</v>
      </c>
      <c r="F74" s="90" t="s">
        <v>816</v>
      </c>
      <c r="G74" s="90" t="s">
        <v>778</v>
      </c>
      <c r="H74" s="92">
        <v>337</v>
      </c>
      <c r="I74" s="91">
        <v>46186</v>
      </c>
      <c r="J74" s="30">
        <v>14</v>
      </c>
      <c r="K74" s="91">
        <v>46160</v>
      </c>
      <c r="L74" s="30">
        <v>25</v>
      </c>
      <c r="M74" s="91">
        <v>46151</v>
      </c>
      <c r="N74" s="30">
        <v>21</v>
      </c>
      <c r="O74" s="90">
        <v>8</v>
      </c>
      <c r="P74" s="91">
        <v>46141</v>
      </c>
      <c r="Q74" s="90" t="s">
        <v>779</v>
      </c>
    </row>
    <row r="75" spans="1:17" ht="15" customHeight="1" x14ac:dyDescent="0.3">
      <c r="A75" s="90" t="s">
        <v>655</v>
      </c>
      <c r="B75" s="91">
        <v>44197</v>
      </c>
      <c r="C75" s="30">
        <v>65.400000000000006</v>
      </c>
      <c r="D75" s="90" t="s">
        <v>841</v>
      </c>
      <c r="E75" s="90" t="s">
        <v>799</v>
      </c>
      <c r="F75" s="90" t="s">
        <v>800</v>
      </c>
      <c r="G75" s="90" t="s">
        <v>801</v>
      </c>
      <c r="H75" s="92">
        <v>42</v>
      </c>
      <c r="I75" s="91">
        <v>46186</v>
      </c>
      <c r="J75" s="30">
        <v>14</v>
      </c>
      <c r="K75" s="91">
        <v>46160</v>
      </c>
      <c r="L75" s="30">
        <v>11</v>
      </c>
      <c r="M75" s="91">
        <v>45947</v>
      </c>
      <c r="N75" s="30">
        <v>7.5</v>
      </c>
      <c r="O75" s="90">
        <v>8</v>
      </c>
      <c r="P75" s="91">
        <v>45968</v>
      </c>
      <c r="Q75" s="90" t="s">
        <v>779</v>
      </c>
    </row>
    <row r="76" spans="1:17" ht="15" customHeight="1" x14ac:dyDescent="0.3">
      <c r="A76" s="90" t="s">
        <v>657</v>
      </c>
      <c r="B76" s="91">
        <v>43101</v>
      </c>
      <c r="C76" s="30">
        <v>101.4</v>
      </c>
      <c r="D76" s="90" t="s">
        <v>841</v>
      </c>
      <c r="E76" s="90" t="s">
        <v>799</v>
      </c>
      <c r="F76" s="90" t="s">
        <v>800</v>
      </c>
      <c r="G76" s="90" t="s">
        <v>801</v>
      </c>
      <c r="H76" s="92">
        <v>29</v>
      </c>
      <c r="I76" s="91">
        <v>46186</v>
      </c>
      <c r="J76" s="30">
        <v>27</v>
      </c>
      <c r="K76" s="91">
        <v>46102</v>
      </c>
      <c r="L76" s="30">
        <v>9</v>
      </c>
      <c r="M76" s="91">
        <v>46071</v>
      </c>
      <c r="N76" s="30">
        <v>11</v>
      </c>
      <c r="O76" s="90">
        <v>8</v>
      </c>
      <c r="P76" s="91">
        <v>45968</v>
      </c>
      <c r="Q76" s="90" t="s">
        <v>779</v>
      </c>
    </row>
    <row r="77" spans="1:17" ht="15" customHeight="1" x14ac:dyDescent="0.3">
      <c r="A77" s="90" t="s">
        <v>666</v>
      </c>
      <c r="B77" s="91">
        <v>44197</v>
      </c>
      <c r="C77" s="30">
        <v>65.400000000000006</v>
      </c>
      <c r="D77" s="90" t="s">
        <v>802</v>
      </c>
      <c r="E77" s="90" t="s">
        <v>815</v>
      </c>
      <c r="F77" s="90" t="s">
        <v>816</v>
      </c>
      <c r="G77" s="90" t="s">
        <v>778</v>
      </c>
      <c r="H77" s="92">
        <v>263</v>
      </c>
      <c r="I77" s="91">
        <v>46186</v>
      </c>
      <c r="J77" s="30">
        <v>15</v>
      </c>
      <c r="K77" s="91">
        <v>46160</v>
      </c>
      <c r="L77" s="30">
        <v>14</v>
      </c>
      <c r="M77" s="91">
        <v>46151</v>
      </c>
      <c r="N77" s="30">
        <v>20</v>
      </c>
      <c r="O77" s="90">
        <v>8</v>
      </c>
      <c r="P77" s="91">
        <v>46141</v>
      </c>
      <c r="Q77" s="90" t="s">
        <v>779</v>
      </c>
    </row>
    <row r="78" spans="1:17" ht="15" customHeight="1" x14ac:dyDescent="0.3">
      <c r="A78" s="90" t="s">
        <v>674</v>
      </c>
      <c r="B78" s="91">
        <v>43101</v>
      </c>
      <c r="C78" s="30">
        <v>101.4</v>
      </c>
      <c r="D78" s="90" t="s">
        <v>842</v>
      </c>
      <c r="E78" s="90" t="s">
        <v>843</v>
      </c>
      <c r="F78" s="90" t="s">
        <v>844</v>
      </c>
      <c r="G78" s="90" t="s">
        <v>778</v>
      </c>
      <c r="H78" s="92"/>
      <c r="I78" s="91">
        <v>46102</v>
      </c>
      <c r="J78" s="30">
        <v>10</v>
      </c>
      <c r="K78" s="91">
        <v>46071</v>
      </c>
      <c r="L78" s="30">
        <v>14</v>
      </c>
      <c r="M78" s="91">
        <v>46052</v>
      </c>
      <c r="N78" s="30">
        <v>16</v>
      </c>
      <c r="O78" s="90">
        <v>92</v>
      </c>
      <c r="P78" s="91">
        <v>46185</v>
      </c>
      <c r="Q78" s="90" t="s">
        <v>779</v>
      </c>
    </row>
    <row r="79" spans="1:17" ht="15" customHeight="1" x14ac:dyDescent="0.3">
      <c r="A79" s="90" t="s">
        <v>679</v>
      </c>
      <c r="B79" s="91">
        <v>43647</v>
      </c>
      <c r="C79" s="30">
        <v>83.5</v>
      </c>
      <c r="D79" s="90" t="s">
        <v>802</v>
      </c>
      <c r="E79" s="90" t="s">
        <v>803</v>
      </c>
      <c r="F79" s="90" t="s">
        <v>804</v>
      </c>
      <c r="G79" s="90" t="s">
        <v>784</v>
      </c>
      <c r="H79" s="92">
        <v>259</v>
      </c>
      <c r="I79" s="91">
        <v>46186</v>
      </c>
      <c r="J79" s="30">
        <v>21</v>
      </c>
      <c r="K79" s="91">
        <v>46160</v>
      </c>
      <c r="L79" s="30">
        <v>24</v>
      </c>
      <c r="M79" s="91">
        <v>46151</v>
      </c>
      <c r="N79" s="30">
        <v>21</v>
      </c>
      <c r="O79" s="90">
        <v>8</v>
      </c>
      <c r="P79" s="91">
        <v>46185</v>
      </c>
      <c r="Q79" s="90" t="s">
        <v>805</v>
      </c>
    </row>
    <row r="80" spans="1:17" ht="15" customHeight="1" x14ac:dyDescent="0.3">
      <c r="A80" s="90" t="s">
        <v>680</v>
      </c>
      <c r="B80" s="91">
        <v>45108</v>
      </c>
      <c r="C80" s="30">
        <v>35.6</v>
      </c>
      <c r="D80" s="90" t="s">
        <v>841</v>
      </c>
      <c r="E80" s="90" t="s">
        <v>815</v>
      </c>
      <c r="F80" s="90" t="s">
        <v>816</v>
      </c>
      <c r="G80" s="90" t="s">
        <v>778</v>
      </c>
      <c r="H80" s="92">
        <v>278</v>
      </c>
      <c r="I80" s="91">
        <v>46186</v>
      </c>
      <c r="J80" s="30">
        <v>27</v>
      </c>
      <c r="K80" s="91">
        <v>46160</v>
      </c>
      <c r="L80" s="30">
        <v>31</v>
      </c>
      <c r="M80" s="91">
        <v>46151</v>
      </c>
      <c r="N80" s="30">
        <v>29</v>
      </c>
      <c r="O80" s="90">
        <v>8</v>
      </c>
      <c r="P80" s="91">
        <v>46058</v>
      </c>
      <c r="Q80" s="90" t="s">
        <v>779</v>
      </c>
    </row>
    <row r="81" spans="1:17" ht="15" customHeight="1" x14ac:dyDescent="0.3">
      <c r="A81" s="90" t="s">
        <v>681</v>
      </c>
      <c r="B81" s="91">
        <v>45108</v>
      </c>
      <c r="C81" s="30">
        <v>35.6</v>
      </c>
      <c r="D81" s="90" t="s">
        <v>841</v>
      </c>
      <c r="E81" s="90" t="s">
        <v>815</v>
      </c>
      <c r="F81" s="90" t="s">
        <v>816</v>
      </c>
      <c r="G81" s="90" t="s">
        <v>778</v>
      </c>
      <c r="H81" s="92">
        <v>278</v>
      </c>
      <c r="I81" s="91">
        <v>46186</v>
      </c>
      <c r="J81" s="30">
        <v>19</v>
      </c>
      <c r="K81" s="91">
        <v>46160</v>
      </c>
      <c r="L81" s="30">
        <v>30</v>
      </c>
      <c r="M81" s="91">
        <v>46151</v>
      </c>
      <c r="N81" s="30">
        <v>32</v>
      </c>
      <c r="O81" s="90">
        <v>8</v>
      </c>
      <c r="P81" s="91">
        <v>46009</v>
      </c>
      <c r="Q81" s="90" t="s">
        <v>779</v>
      </c>
    </row>
    <row r="82" spans="1:17" ht="15" customHeight="1" x14ac:dyDescent="0.3">
      <c r="A82" s="90" t="s">
        <v>845</v>
      </c>
      <c r="B82" s="91">
        <v>45715</v>
      </c>
      <c r="C82" s="30">
        <v>15.7</v>
      </c>
      <c r="D82" s="90" t="s">
        <v>775</v>
      </c>
      <c r="E82" s="90" t="s">
        <v>782</v>
      </c>
      <c r="F82" s="90" t="s">
        <v>783</v>
      </c>
      <c r="G82" s="90" t="s">
        <v>784</v>
      </c>
      <c r="H82" s="92"/>
      <c r="I82" s="91"/>
      <c r="J82" s="30"/>
      <c r="K82" s="91"/>
      <c r="L82" s="30"/>
      <c r="M82" s="91"/>
      <c r="N82" s="30"/>
      <c r="O82" s="90"/>
      <c r="P82" s="91"/>
      <c r="Q82" s="90"/>
    </row>
    <row r="83" spans="1:17" ht="15" customHeight="1" x14ac:dyDescent="0.3">
      <c r="A83" s="90" t="s">
        <v>682</v>
      </c>
      <c r="B83" s="91">
        <v>45108</v>
      </c>
      <c r="C83" s="30">
        <v>35.6</v>
      </c>
      <c r="D83" s="90" t="s">
        <v>841</v>
      </c>
      <c r="E83" s="90" t="s">
        <v>815</v>
      </c>
      <c r="F83" s="90" t="s">
        <v>816</v>
      </c>
      <c r="G83" s="90" t="s">
        <v>778</v>
      </c>
      <c r="H83" s="92">
        <v>270</v>
      </c>
      <c r="I83" s="91">
        <v>46186</v>
      </c>
      <c r="J83" s="30">
        <v>27</v>
      </c>
      <c r="K83" s="91">
        <v>46160</v>
      </c>
      <c r="L83" s="30">
        <v>24</v>
      </c>
      <c r="M83" s="91">
        <v>46151</v>
      </c>
      <c r="N83" s="30">
        <v>22</v>
      </c>
      <c r="O83" s="90">
        <v>8</v>
      </c>
      <c r="P83" s="91">
        <v>46009</v>
      </c>
      <c r="Q83" s="90" t="s">
        <v>779</v>
      </c>
    </row>
    <row r="84" spans="1:17" ht="15" customHeight="1" x14ac:dyDescent="0.3">
      <c r="A84" s="90" t="s">
        <v>683</v>
      </c>
      <c r="B84" s="91">
        <v>44240</v>
      </c>
      <c r="C84" s="30">
        <v>64</v>
      </c>
      <c r="D84" s="90" t="s">
        <v>846</v>
      </c>
      <c r="E84" s="90" t="s">
        <v>799</v>
      </c>
      <c r="F84" s="90" t="s">
        <v>800</v>
      </c>
      <c r="G84" s="90" t="s">
        <v>801</v>
      </c>
      <c r="H84" s="92">
        <v>13</v>
      </c>
      <c r="I84" s="91">
        <v>46160</v>
      </c>
      <c r="J84" s="30">
        <v>16</v>
      </c>
      <c r="K84" s="91">
        <v>46151</v>
      </c>
      <c r="L84" s="30">
        <v>20</v>
      </c>
      <c r="M84" s="91">
        <v>46143</v>
      </c>
      <c r="N84" s="30">
        <v>20</v>
      </c>
      <c r="O84" s="90"/>
      <c r="P84" s="91">
        <v>46141</v>
      </c>
      <c r="Q84" s="90" t="s">
        <v>779</v>
      </c>
    </row>
    <row r="85" spans="1:17" ht="15" customHeight="1" x14ac:dyDescent="0.3">
      <c r="A85" s="90" t="s">
        <v>684</v>
      </c>
      <c r="B85" s="91">
        <v>45088</v>
      </c>
      <c r="C85" s="30">
        <v>36.200000000000003</v>
      </c>
      <c r="D85" s="90" t="s">
        <v>793</v>
      </c>
      <c r="E85" s="90" t="s">
        <v>815</v>
      </c>
      <c r="F85" s="90" t="s">
        <v>816</v>
      </c>
      <c r="G85" s="90" t="s">
        <v>778</v>
      </c>
      <c r="H85" s="92">
        <v>316</v>
      </c>
      <c r="I85" s="91">
        <v>46186</v>
      </c>
      <c r="J85" s="30">
        <v>21</v>
      </c>
      <c r="K85" s="91">
        <v>46160</v>
      </c>
      <c r="L85" s="30">
        <v>26</v>
      </c>
      <c r="M85" s="91">
        <v>46151</v>
      </c>
      <c r="N85" s="30">
        <v>24</v>
      </c>
      <c r="O85" s="90">
        <v>8</v>
      </c>
      <c r="P85" s="91">
        <v>46009</v>
      </c>
      <c r="Q85" s="90" t="s">
        <v>779</v>
      </c>
    </row>
    <row r="86" spans="1:17" ht="15" customHeight="1" x14ac:dyDescent="0.3">
      <c r="A86" s="90" t="s">
        <v>685</v>
      </c>
      <c r="B86" s="91">
        <v>44655</v>
      </c>
      <c r="C86" s="30">
        <v>50.4</v>
      </c>
      <c r="D86" s="90" t="s">
        <v>841</v>
      </c>
      <c r="E86" s="90" t="s">
        <v>815</v>
      </c>
      <c r="F86" s="90" t="s">
        <v>816</v>
      </c>
      <c r="G86" s="90" t="s">
        <v>778</v>
      </c>
      <c r="H86" s="92">
        <v>305</v>
      </c>
      <c r="I86" s="91">
        <v>46186</v>
      </c>
      <c r="J86" s="30">
        <v>28</v>
      </c>
      <c r="K86" s="91">
        <v>46160</v>
      </c>
      <c r="L86" s="30">
        <v>32</v>
      </c>
      <c r="M86" s="91">
        <v>46151</v>
      </c>
      <c r="N86" s="30">
        <v>32</v>
      </c>
      <c r="O86" s="90">
        <v>8</v>
      </c>
      <c r="P86" s="91">
        <v>46009</v>
      </c>
      <c r="Q86" s="90" t="s">
        <v>779</v>
      </c>
    </row>
    <row r="87" spans="1:17" ht="15" customHeight="1" x14ac:dyDescent="0.3">
      <c r="A87" s="90" t="s">
        <v>686</v>
      </c>
      <c r="B87" s="91">
        <v>44957</v>
      </c>
      <c r="C87" s="30">
        <v>40.5</v>
      </c>
      <c r="D87" s="90" t="s">
        <v>793</v>
      </c>
      <c r="E87" s="90" t="s">
        <v>847</v>
      </c>
      <c r="F87" s="90" t="s">
        <v>848</v>
      </c>
      <c r="G87" s="90" t="s">
        <v>784</v>
      </c>
      <c r="H87" s="92">
        <v>115</v>
      </c>
      <c r="I87" s="91">
        <v>46186</v>
      </c>
      <c r="J87" s="30">
        <v>16</v>
      </c>
      <c r="K87" s="91">
        <v>46160</v>
      </c>
      <c r="L87" s="30">
        <v>14</v>
      </c>
      <c r="M87" s="91">
        <v>46151</v>
      </c>
      <c r="N87" s="30">
        <v>18</v>
      </c>
      <c r="O87" s="90">
        <v>8</v>
      </c>
      <c r="P87" s="91">
        <v>46009</v>
      </c>
      <c r="Q87" s="90" t="s">
        <v>779</v>
      </c>
    </row>
    <row r="88" spans="1:17" ht="15" customHeight="1" x14ac:dyDescent="0.3">
      <c r="A88" s="90" t="s">
        <v>687</v>
      </c>
      <c r="B88" s="91">
        <v>45045</v>
      </c>
      <c r="C88" s="30">
        <v>37.6</v>
      </c>
      <c r="D88" s="90" t="s">
        <v>841</v>
      </c>
      <c r="E88" s="90" t="s">
        <v>815</v>
      </c>
      <c r="F88" s="90" t="s">
        <v>816</v>
      </c>
      <c r="G88" s="90" t="s">
        <v>778</v>
      </c>
      <c r="H88" s="92">
        <v>315</v>
      </c>
      <c r="I88" s="91">
        <v>46186</v>
      </c>
      <c r="J88" s="30">
        <v>24</v>
      </c>
      <c r="K88" s="91">
        <v>46160</v>
      </c>
      <c r="L88" s="30">
        <v>24</v>
      </c>
      <c r="M88" s="91">
        <v>46151</v>
      </c>
      <c r="N88" s="30">
        <v>25</v>
      </c>
      <c r="O88" s="90">
        <v>8</v>
      </c>
      <c r="P88" s="91">
        <v>46058</v>
      </c>
      <c r="Q88" s="90" t="s">
        <v>779</v>
      </c>
    </row>
    <row r="89" spans="1:17" ht="15" customHeight="1" x14ac:dyDescent="0.3">
      <c r="A89" s="90" t="s">
        <v>688</v>
      </c>
      <c r="B89" s="91">
        <v>45052</v>
      </c>
      <c r="C89" s="30">
        <v>37.4</v>
      </c>
      <c r="D89" s="90" t="s">
        <v>841</v>
      </c>
      <c r="E89" s="90" t="s">
        <v>815</v>
      </c>
      <c r="F89" s="90" t="s">
        <v>816</v>
      </c>
      <c r="G89" s="90" t="s">
        <v>778</v>
      </c>
      <c r="H89" s="92">
        <v>390</v>
      </c>
      <c r="I89" s="91">
        <v>46186</v>
      </c>
      <c r="J89" s="30">
        <v>27</v>
      </c>
      <c r="K89" s="91">
        <v>46160</v>
      </c>
      <c r="L89" s="30">
        <v>25</v>
      </c>
      <c r="M89" s="91">
        <v>46151</v>
      </c>
      <c r="N89" s="30">
        <v>27</v>
      </c>
      <c r="O89" s="90">
        <v>8</v>
      </c>
      <c r="P89" s="91">
        <v>46101</v>
      </c>
      <c r="Q89" s="90" t="s">
        <v>779</v>
      </c>
    </row>
    <row r="90" spans="1:17" ht="15" customHeight="1" x14ac:dyDescent="0.3">
      <c r="A90" s="90" t="s">
        <v>689</v>
      </c>
      <c r="B90" s="91">
        <v>44773</v>
      </c>
      <c r="C90" s="30">
        <v>46.5</v>
      </c>
      <c r="D90" s="90" t="s">
        <v>841</v>
      </c>
      <c r="E90" s="90" t="s">
        <v>799</v>
      </c>
      <c r="F90" s="90" t="s">
        <v>800</v>
      </c>
      <c r="G90" s="90" t="s">
        <v>801</v>
      </c>
      <c r="H90" s="92">
        <v>32</v>
      </c>
      <c r="I90" s="91">
        <v>46186</v>
      </c>
      <c r="J90" s="30">
        <v>35</v>
      </c>
      <c r="K90" s="91">
        <v>46102</v>
      </c>
      <c r="L90" s="30">
        <v>19</v>
      </c>
      <c r="M90" s="91">
        <v>46071</v>
      </c>
      <c r="N90" s="30">
        <v>21</v>
      </c>
      <c r="O90" s="90">
        <v>8</v>
      </c>
      <c r="P90" s="91">
        <v>46009</v>
      </c>
      <c r="Q90" s="90" t="s">
        <v>779</v>
      </c>
    </row>
    <row r="91" spans="1:17" ht="15" customHeight="1" x14ac:dyDescent="0.3">
      <c r="A91" s="90" t="s">
        <v>693</v>
      </c>
      <c r="B91" s="91">
        <v>45173</v>
      </c>
      <c r="C91" s="30">
        <v>33.4</v>
      </c>
      <c r="D91" s="90" t="s">
        <v>780</v>
      </c>
      <c r="E91" s="90" t="s">
        <v>776</v>
      </c>
      <c r="F91" s="90" t="s">
        <v>777</v>
      </c>
      <c r="G91" s="90" t="s">
        <v>778</v>
      </c>
      <c r="H91" s="92"/>
      <c r="I91" s="91"/>
      <c r="J91" s="30"/>
      <c r="K91" s="91"/>
      <c r="L91" s="30"/>
      <c r="M91" s="91"/>
      <c r="N91" s="30"/>
      <c r="O91" s="90"/>
      <c r="P91" s="91">
        <v>46185</v>
      </c>
      <c r="Q91" s="90" t="s">
        <v>779</v>
      </c>
    </row>
    <row r="92" spans="1:17" ht="15" customHeight="1" x14ac:dyDescent="0.3">
      <c r="A92" s="90" t="s">
        <v>695</v>
      </c>
      <c r="B92" s="91">
        <v>45329</v>
      </c>
      <c r="C92" s="30">
        <v>28.3</v>
      </c>
      <c r="D92" s="90" t="s">
        <v>780</v>
      </c>
      <c r="E92" s="90" t="s">
        <v>776</v>
      </c>
      <c r="F92" s="90" t="s">
        <v>777</v>
      </c>
      <c r="G92" s="90" t="s">
        <v>778</v>
      </c>
      <c r="H92" s="92"/>
      <c r="I92" s="91"/>
      <c r="J92" s="30"/>
      <c r="K92" s="91"/>
      <c r="L92" s="30"/>
      <c r="M92" s="91"/>
      <c r="N92" s="30"/>
      <c r="O92" s="90"/>
      <c r="P92" s="91">
        <v>46101</v>
      </c>
      <c r="Q92" s="90" t="s">
        <v>779</v>
      </c>
    </row>
    <row r="93" spans="1:17" ht="15" customHeight="1" x14ac:dyDescent="0.3">
      <c r="A93" s="90" t="s">
        <v>849</v>
      </c>
      <c r="B93" s="91">
        <v>45335</v>
      </c>
      <c r="C93" s="30">
        <v>28.1</v>
      </c>
      <c r="D93" s="90" t="s">
        <v>850</v>
      </c>
      <c r="E93" s="90" t="s">
        <v>782</v>
      </c>
      <c r="F93" s="90" t="s">
        <v>783</v>
      </c>
      <c r="G93" s="90" t="s">
        <v>784</v>
      </c>
      <c r="H93" s="92"/>
      <c r="I93" s="91"/>
      <c r="J93" s="30"/>
      <c r="K93" s="91"/>
      <c r="L93" s="30"/>
      <c r="M93" s="91"/>
      <c r="N93" s="30"/>
      <c r="O93" s="90"/>
      <c r="P93" s="91"/>
      <c r="Q93" s="90"/>
    </row>
    <row r="94" spans="1:17" ht="15" customHeight="1" x14ac:dyDescent="0.3">
      <c r="A94" s="90" t="s">
        <v>696</v>
      </c>
      <c r="B94" s="91">
        <v>45408</v>
      </c>
      <c r="C94" s="30">
        <v>25.7</v>
      </c>
      <c r="D94" s="90" t="s">
        <v>780</v>
      </c>
      <c r="E94" s="90" t="s">
        <v>776</v>
      </c>
      <c r="F94" s="90" t="s">
        <v>777</v>
      </c>
      <c r="G94" s="90" t="s">
        <v>778</v>
      </c>
      <c r="H94" s="92"/>
      <c r="I94" s="91"/>
      <c r="J94" s="30"/>
      <c r="K94" s="91"/>
      <c r="L94" s="30"/>
      <c r="M94" s="91"/>
      <c r="N94" s="30"/>
      <c r="O94" s="90"/>
      <c r="P94" s="91">
        <v>46164</v>
      </c>
      <c r="Q94" s="90" t="s">
        <v>779</v>
      </c>
    </row>
    <row r="95" spans="1:17" ht="15" customHeight="1" x14ac:dyDescent="0.3">
      <c r="A95" s="90" t="s">
        <v>851</v>
      </c>
      <c r="B95" s="91">
        <v>45505</v>
      </c>
      <c r="C95" s="30">
        <v>22.5</v>
      </c>
      <c r="D95" s="90" t="s">
        <v>850</v>
      </c>
      <c r="E95" s="90" t="s">
        <v>782</v>
      </c>
      <c r="F95" s="90" t="s">
        <v>783</v>
      </c>
      <c r="G95" s="90" t="s">
        <v>784</v>
      </c>
      <c r="H95" s="92"/>
      <c r="I95" s="91"/>
      <c r="J95" s="30"/>
      <c r="K95" s="91"/>
      <c r="L95" s="30"/>
      <c r="M95" s="91"/>
      <c r="N95" s="30"/>
      <c r="O95" s="90"/>
      <c r="P95" s="91"/>
      <c r="Q95" s="90"/>
    </row>
    <row r="96" spans="1:17" ht="15" customHeight="1" x14ac:dyDescent="0.3">
      <c r="A96" s="90" t="s">
        <v>852</v>
      </c>
      <c r="B96" s="91">
        <v>45527</v>
      </c>
      <c r="C96" s="30">
        <v>21.8</v>
      </c>
      <c r="D96" s="90" t="s">
        <v>850</v>
      </c>
      <c r="E96" s="90" t="s">
        <v>782</v>
      </c>
      <c r="F96" s="90" t="s">
        <v>783</v>
      </c>
      <c r="G96" s="90" t="s">
        <v>784</v>
      </c>
      <c r="H96" s="92"/>
      <c r="I96" s="91"/>
      <c r="J96" s="30"/>
      <c r="K96" s="91"/>
      <c r="L96" s="30"/>
      <c r="M96" s="91"/>
      <c r="N96" s="30"/>
      <c r="O96" s="90"/>
      <c r="P96" s="91"/>
      <c r="Q96" s="90"/>
    </row>
    <row r="97" spans="1:17" ht="15" customHeight="1" x14ac:dyDescent="0.3">
      <c r="A97" s="90" t="s">
        <v>853</v>
      </c>
      <c r="B97" s="91">
        <v>45636</v>
      </c>
      <c r="C97" s="30">
        <v>18.2</v>
      </c>
      <c r="D97" s="90" t="s">
        <v>850</v>
      </c>
      <c r="E97" s="90" t="s">
        <v>782</v>
      </c>
      <c r="F97" s="90" t="s">
        <v>783</v>
      </c>
      <c r="G97" s="90" t="s">
        <v>784</v>
      </c>
      <c r="H97" s="92"/>
      <c r="I97" s="91"/>
      <c r="J97" s="30"/>
      <c r="K97" s="91"/>
      <c r="L97" s="30"/>
      <c r="M97" s="91"/>
      <c r="N97" s="30"/>
      <c r="O97" s="90"/>
      <c r="P97" s="91"/>
      <c r="Q97" s="90"/>
    </row>
    <row r="98" spans="1:17" ht="15" customHeight="1" x14ac:dyDescent="0.3">
      <c r="A98" s="90" t="s">
        <v>854</v>
      </c>
      <c r="B98" s="91">
        <v>45931</v>
      </c>
      <c r="C98" s="30">
        <v>8.6</v>
      </c>
      <c r="D98" s="90" t="s">
        <v>786</v>
      </c>
      <c r="E98" s="90" t="s">
        <v>855</v>
      </c>
      <c r="F98" s="90" t="s">
        <v>856</v>
      </c>
      <c r="G98" s="90"/>
      <c r="H98" s="92"/>
      <c r="I98" s="91"/>
      <c r="J98" s="30"/>
      <c r="K98" s="91"/>
      <c r="L98" s="30"/>
      <c r="M98" s="91"/>
      <c r="N98" s="30"/>
      <c r="O98" s="90"/>
      <c r="P98" s="91"/>
      <c r="Q98" s="90"/>
    </row>
    <row r="99" spans="1:17" ht="15" customHeight="1" x14ac:dyDescent="0.3">
      <c r="A99" s="90" t="s">
        <v>857</v>
      </c>
      <c r="B99" s="91">
        <v>46022</v>
      </c>
      <c r="C99" s="30">
        <v>5.6</v>
      </c>
      <c r="D99" s="90" t="s">
        <v>786</v>
      </c>
      <c r="E99" s="90" t="s">
        <v>855</v>
      </c>
      <c r="F99" s="90" t="s">
        <v>856</v>
      </c>
      <c r="G99" s="90"/>
      <c r="H99" s="92"/>
      <c r="I99" s="91"/>
      <c r="J99" s="30"/>
      <c r="K99" s="91"/>
      <c r="L99" s="30"/>
      <c r="M99" s="91"/>
      <c r="N99" s="30"/>
      <c r="O99" s="90"/>
      <c r="P99" s="91"/>
      <c r="Q99" s="90"/>
    </row>
    <row r="100" spans="1:17" ht="15" customHeight="1" x14ac:dyDescent="0.3">
      <c r="A100" s="90" t="s">
        <v>858</v>
      </c>
      <c r="B100" s="91">
        <v>46028</v>
      </c>
      <c r="C100" s="30">
        <v>5.4</v>
      </c>
      <c r="D100" s="90" t="s">
        <v>786</v>
      </c>
      <c r="E100" s="90" t="s">
        <v>855</v>
      </c>
      <c r="F100" s="90" t="s">
        <v>856</v>
      </c>
      <c r="G100" s="90"/>
      <c r="H100" s="92"/>
      <c r="I100" s="91"/>
      <c r="J100" s="30"/>
      <c r="K100" s="91"/>
      <c r="L100" s="30"/>
      <c r="M100" s="91"/>
      <c r="N100" s="30"/>
      <c r="O100" s="90"/>
      <c r="P100" s="91"/>
      <c r="Q100" s="90"/>
    </row>
    <row r="101" spans="1:17" ht="15" customHeight="1" x14ac:dyDescent="0.3">
      <c r="A101" s="90" t="s">
        <v>859</v>
      </c>
      <c r="B101" s="91">
        <v>46040</v>
      </c>
      <c r="C101" s="30">
        <v>5</v>
      </c>
      <c r="D101" s="90" t="s">
        <v>786</v>
      </c>
      <c r="E101" s="90" t="s">
        <v>855</v>
      </c>
      <c r="F101" s="90" t="s">
        <v>856</v>
      </c>
      <c r="G101" s="90"/>
      <c r="H101" s="92"/>
      <c r="I101" s="91"/>
      <c r="J101" s="30"/>
      <c r="K101" s="91"/>
      <c r="L101" s="30"/>
      <c r="M101" s="91"/>
      <c r="N101" s="30"/>
      <c r="O101" s="90"/>
      <c r="P101" s="91"/>
      <c r="Q101" s="90"/>
    </row>
    <row r="102" spans="1:17" ht="15" customHeight="1" x14ac:dyDescent="0.3">
      <c r="A102" s="90" t="s">
        <v>860</v>
      </c>
      <c r="B102" s="91">
        <v>46052</v>
      </c>
      <c r="C102" s="30">
        <v>4.5999999999999996</v>
      </c>
      <c r="D102" s="90" t="s">
        <v>786</v>
      </c>
      <c r="E102" s="90" t="s">
        <v>855</v>
      </c>
      <c r="F102" s="90" t="s">
        <v>856</v>
      </c>
      <c r="G102" s="90"/>
      <c r="H102" s="92"/>
      <c r="I102" s="91"/>
      <c r="J102" s="30"/>
      <c r="K102" s="91"/>
      <c r="L102" s="30"/>
      <c r="M102" s="91"/>
      <c r="N102" s="30"/>
      <c r="O102" s="90"/>
      <c r="P102" s="91"/>
      <c r="Q102" s="90"/>
    </row>
    <row r="103" spans="1:17" ht="15" customHeight="1" x14ac:dyDescent="0.3">
      <c r="A103" s="90" t="s">
        <v>861</v>
      </c>
      <c r="B103" s="91">
        <v>46083</v>
      </c>
      <c r="C103" s="30">
        <v>3.6</v>
      </c>
      <c r="D103" s="90" t="s">
        <v>862</v>
      </c>
      <c r="E103" s="90" t="s">
        <v>855</v>
      </c>
      <c r="F103" s="90" t="s">
        <v>856</v>
      </c>
      <c r="G103" s="90"/>
      <c r="H103" s="92"/>
      <c r="I103" s="91"/>
      <c r="J103" s="30"/>
      <c r="K103" s="91"/>
      <c r="L103" s="30"/>
      <c r="M103" s="91"/>
      <c r="N103" s="30"/>
      <c r="O103" s="90"/>
      <c r="P103" s="91"/>
      <c r="Q103" s="90"/>
    </row>
    <row r="104" spans="1:17" ht="15" customHeight="1" x14ac:dyDescent="0.3">
      <c r="A104" s="90" t="s">
        <v>863</v>
      </c>
      <c r="B104" s="91">
        <v>46092</v>
      </c>
      <c r="C104" s="30">
        <v>3.3</v>
      </c>
      <c r="D104" s="90" t="s">
        <v>862</v>
      </c>
      <c r="E104" s="90" t="s">
        <v>855</v>
      </c>
      <c r="F104" s="90" t="s">
        <v>856</v>
      </c>
      <c r="G104" s="90"/>
      <c r="H104" s="92"/>
      <c r="I104" s="91"/>
      <c r="J104" s="30"/>
      <c r="K104" s="91"/>
      <c r="L104" s="30"/>
      <c r="M104" s="91"/>
      <c r="N104" s="30"/>
      <c r="O104" s="90"/>
      <c r="P104" s="91"/>
      <c r="Q104" s="90"/>
    </row>
    <row r="105" spans="1:17" ht="15" customHeight="1" x14ac:dyDescent="0.3">
      <c r="A105" s="90" t="s">
        <v>864</v>
      </c>
      <c r="B105" s="91">
        <v>46105</v>
      </c>
      <c r="C105" s="30">
        <v>2.9</v>
      </c>
      <c r="D105" s="90" t="s">
        <v>865</v>
      </c>
      <c r="E105" s="90" t="s">
        <v>866</v>
      </c>
      <c r="F105" s="90" t="s">
        <v>867</v>
      </c>
      <c r="G105" s="90"/>
      <c r="H105" s="92"/>
      <c r="I105" s="91"/>
      <c r="J105" s="30"/>
      <c r="K105" s="91"/>
      <c r="L105" s="30"/>
      <c r="M105" s="91"/>
      <c r="N105" s="30"/>
      <c r="O105" s="90"/>
      <c r="P105" s="91"/>
      <c r="Q105" s="90"/>
    </row>
    <row r="106" spans="1:17" ht="15" customHeight="1" x14ac:dyDescent="0.3">
      <c r="A106" s="90" t="s">
        <v>868</v>
      </c>
      <c r="B106" s="91">
        <v>46139</v>
      </c>
      <c r="C106" s="30">
        <v>1.8</v>
      </c>
      <c r="D106" s="90" t="s">
        <v>865</v>
      </c>
      <c r="E106" s="90" t="s">
        <v>866</v>
      </c>
      <c r="F106" s="90" t="s">
        <v>867</v>
      </c>
      <c r="G106" s="90"/>
      <c r="H106" s="92"/>
      <c r="I106" s="91"/>
      <c r="J106" s="30"/>
      <c r="K106" s="91"/>
      <c r="L106" s="30"/>
      <c r="M106" s="91"/>
      <c r="N106" s="30"/>
      <c r="O106" s="90"/>
      <c r="P106" s="91"/>
      <c r="Q106" s="90"/>
    </row>
    <row r="107" spans="1:17" ht="15" customHeight="1" x14ac:dyDescent="0.3">
      <c r="A107" s="90" t="s">
        <v>869</v>
      </c>
      <c r="B107" s="91">
        <v>46165</v>
      </c>
      <c r="C107" s="30">
        <v>0.9</v>
      </c>
      <c r="D107" s="90" t="s">
        <v>790</v>
      </c>
      <c r="E107" s="90" t="s">
        <v>866</v>
      </c>
      <c r="F107" s="90" t="s">
        <v>867</v>
      </c>
      <c r="G107" s="90"/>
      <c r="H107" s="92"/>
      <c r="I107" s="91"/>
      <c r="J107" s="30"/>
      <c r="K107" s="91"/>
      <c r="L107" s="30"/>
      <c r="M107" s="91"/>
      <c r="N107" s="30"/>
      <c r="O107" s="90"/>
      <c r="P107" s="91"/>
      <c r="Q107" s="90"/>
    </row>
    <row r="108" spans="1:17" ht="15" customHeight="1" x14ac:dyDescent="0.3">
      <c r="A108" s="90" t="s">
        <v>870</v>
      </c>
      <c r="B108" s="91">
        <v>46192</v>
      </c>
      <c r="C108" s="30">
        <v>0</v>
      </c>
      <c r="D108" s="90" t="s">
        <v>790</v>
      </c>
      <c r="E108" s="90" t="s">
        <v>866</v>
      </c>
      <c r="F108" s="90" t="s">
        <v>867</v>
      </c>
      <c r="G108" s="90"/>
      <c r="H108" s="92"/>
      <c r="I108" s="91"/>
      <c r="J108" s="30"/>
      <c r="K108" s="91"/>
      <c r="L108" s="30"/>
      <c r="M108" s="91"/>
      <c r="N108" s="30"/>
      <c r="O108" s="90"/>
      <c r="P108" s="91"/>
      <c r="Q108" s="90"/>
    </row>
    <row r="109" spans="1:17" ht="15" customHeight="1" x14ac:dyDescent="0.3">
      <c r="A109" s="90" t="s">
        <v>871</v>
      </c>
      <c r="B109" s="91">
        <v>45505</v>
      </c>
      <c r="C109" s="30">
        <v>22.5</v>
      </c>
      <c r="D109" s="90" t="s">
        <v>840</v>
      </c>
      <c r="E109" s="90" t="s">
        <v>776</v>
      </c>
      <c r="F109" s="90" t="s">
        <v>777</v>
      </c>
      <c r="G109" s="90" t="s">
        <v>778</v>
      </c>
      <c r="H109" s="92"/>
      <c r="I109" s="91"/>
      <c r="J109" s="30"/>
      <c r="K109" s="91"/>
      <c r="L109" s="30"/>
      <c r="M109" s="91"/>
      <c r="N109" s="30"/>
      <c r="O109" s="90"/>
      <c r="P109" s="91">
        <v>46045</v>
      </c>
      <c r="Q109" s="90" t="s">
        <v>779</v>
      </c>
    </row>
    <row r="110" spans="1:17" ht="15" customHeight="1" x14ac:dyDescent="0.3">
      <c r="A110" s="90" t="s">
        <v>699</v>
      </c>
      <c r="B110" s="91">
        <v>44127</v>
      </c>
      <c r="C110" s="30">
        <v>67.7</v>
      </c>
      <c r="D110" s="90" t="s">
        <v>802</v>
      </c>
      <c r="E110" s="90" t="s">
        <v>815</v>
      </c>
      <c r="F110" s="90" t="s">
        <v>816</v>
      </c>
      <c r="G110" s="90" t="s">
        <v>778</v>
      </c>
      <c r="H110" s="92">
        <v>212</v>
      </c>
      <c r="I110" s="91">
        <v>46186</v>
      </c>
      <c r="J110" s="30">
        <v>15</v>
      </c>
      <c r="K110" s="91">
        <v>46160</v>
      </c>
      <c r="L110" s="30">
        <v>14</v>
      </c>
      <c r="M110" s="91">
        <v>46151</v>
      </c>
      <c r="N110" s="30">
        <v>21</v>
      </c>
      <c r="O110" s="90">
        <v>8</v>
      </c>
      <c r="P110" s="91">
        <v>46164</v>
      </c>
      <c r="Q110" s="90" t="s">
        <v>779</v>
      </c>
    </row>
    <row r="111" spans="1:17" ht="15" customHeight="1" x14ac:dyDescent="0.3">
      <c r="A111" s="90" t="s">
        <v>872</v>
      </c>
      <c r="B111" s="91">
        <v>45505</v>
      </c>
      <c r="C111" s="30">
        <v>22.5</v>
      </c>
      <c r="D111" s="90" t="s">
        <v>840</v>
      </c>
      <c r="E111" s="90" t="s">
        <v>776</v>
      </c>
      <c r="F111" s="90" t="s">
        <v>777</v>
      </c>
      <c r="G111" s="90" t="s">
        <v>778</v>
      </c>
      <c r="H111" s="92"/>
      <c r="I111" s="91"/>
      <c r="J111" s="30"/>
      <c r="K111" s="91"/>
      <c r="L111" s="30"/>
      <c r="M111" s="91"/>
      <c r="N111" s="30"/>
      <c r="O111" s="90"/>
      <c r="P111" s="91">
        <v>46045</v>
      </c>
      <c r="Q111" s="90" t="s">
        <v>779</v>
      </c>
    </row>
    <row r="112" spans="1:17" ht="15" customHeight="1" x14ac:dyDescent="0.3">
      <c r="A112" s="90" t="s">
        <v>873</v>
      </c>
      <c r="B112" s="91">
        <v>45505</v>
      </c>
      <c r="C112" s="30">
        <v>22.5</v>
      </c>
      <c r="D112" s="90" t="s">
        <v>840</v>
      </c>
      <c r="E112" s="90" t="s">
        <v>776</v>
      </c>
      <c r="F112" s="90" t="s">
        <v>777</v>
      </c>
      <c r="G112" s="90" t="s">
        <v>778</v>
      </c>
      <c r="H112" s="92"/>
      <c r="I112" s="91"/>
      <c r="J112" s="30"/>
      <c r="K112" s="91"/>
      <c r="L112" s="30"/>
      <c r="M112" s="91"/>
      <c r="N112" s="30"/>
      <c r="O112" s="90"/>
      <c r="P112" s="91">
        <v>46045</v>
      </c>
      <c r="Q112" s="90" t="s">
        <v>779</v>
      </c>
    </row>
    <row r="113" spans="1:17" ht="15" customHeight="1" x14ac:dyDescent="0.3">
      <c r="A113" s="90" t="s">
        <v>874</v>
      </c>
      <c r="B113" s="91">
        <v>45505</v>
      </c>
      <c r="C113" s="30">
        <v>22.5</v>
      </c>
      <c r="D113" s="90" t="s">
        <v>840</v>
      </c>
      <c r="E113" s="90" t="s">
        <v>776</v>
      </c>
      <c r="F113" s="90" t="s">
        <v>777</v>
      </c>
      <c r="G113" s="90" t="s">
        <v>778</v>
      </c>
      <c r="H113" s="92"/>
      <c r="I113" s="91"/>
      <c r="J113" s="30"/>
      <c r="K113" s="91"/>
      <c r="L113" s="30"/>
      <c r="M113" s="91"/>
      <c r="N113" s="30"/>
      <c r="O113" s="90"/>
      <c r="P113" s="91">
        <v>46045</v>
      </c>
      <c r="Q113" s="90" t="s">
        <v>779</v>
      </c>
    </row>
    <row r="114" spans="1:17" ht="15" customHeight="1" x14ac:dyDescent="0.3">
      <c r="A114" s="90" t="s">
        <v>875</v>
      </c>
      <c r="B114" s="91">
        <v>45505</v>
      </c>
      <c r="C114" s="30">
        <v>22.5</v>
      </c>
      <c r="D114" s="90" t="s">
        <v>840</v>
      </c>
      <c r="E114" s="90" t="s">
        <v>776</v>
      </c>
      <c r="F114" s="90" t="s">
        <v>777</v>
      </c>
      <c r="G114" s="90" t="s">
        <v>778</v>
      </c>
      <c r="H114" s="92"/>
      <c r="I114" s="91"/>
      <c r="J114" s="30"/>
      <c r="K114" s="91"/>
      <c r="L114" s="30"/>
      <c r="M114" s="91"/>
      <c r="N114" s="30"/>
      <c r="O114" s="90"/>
      <c r="P114" s="91">
        <v>46045</v>
      </c>
      <c r="Q114" s="90" t="s">
        <v>779</v>
      </c>
    </row>
    <row r="115" spans="1:17" ht="15" customHeight="1" x14ac:dyDescent="0.3">
      <c r="A115" s="90" t="s">
        <v>876</v>
      </c>
      <c r="B115" s="91">
        <v>45505</v>
      </c>
      <c r="C115" s="30">
        <v>22.5</v>
      </c>
      <c r="D115" s="90" t="s">
        <v>840</v>
      </c>
      <c r="E115" s="90" t="s">
        <v>776</v>
      </c>
      <c r="F115" s="90" t="s">
        <v>777</v>
      </c>
      <c r="G115" s="90" t="s">
        <v>778</v>
      </c>
      <c r="H115" s="92"/>
      <c r="I115" s="91"/>
      <c r="J115" s="30"/>
      <c r="K115" s="91"/>
      <c r="L115" s="30"/>
      <c r="M115" s="91"/>
      <c r="N115" s="30"/>
      <c r="O115" s="90"/>
      <c r="P115" s="91">
        <v>46045</v>
      </c>
      <c r="Q115" s="90" t="s">
        <v>779</v>
      </c>
    </row>
    <row r="116" spans="1:17" ht="15" customHeight="1" x14ac:dyDescent="0.3">
      <c r="A116" s="90" t="s">
        <v>877</v>
      </c>
      <c r="B116" s="91">
        <v>45505</v>
      </c>
      <c r="C116" s="30">
        <v>22.5</v>
      </c>
      <c r="D116" s="90" t="s">
        <v>840</v>
      </c>
      <c r="E116" s="90" t="s">
        <v>776</v>
      </c>
      <c r="F116" s="90" t="s">
        <v>777</v>
      </c>
      <c r="G116" s="90" t="s">
        <v>778</v>
      </c>
      <c r="H116" s="92"/>
      <c r="I116" s="91"/>
      <c r="J116" s="30"/>
      <c r="K116" s="91"/>
      <c r="L116" s="30"/>
      <c r="M116" s="91"/>
      <c r="N116" s="30"/>
      <c r="O116" s="90"/>
      <c r="P116" s="91">
        <v>46045</v>
      </c>
      <c r="Q116" s="90" t="s">
        <v>779</v>
      </c>
    </row>
    <row r="117" spans="1:17" ht="15" customHeight="1" x14ac:dyDescent="0.3">
      <c r="A117" s="90" t="s">
        <v>878</v>
      </c>
      <c r="B117" s="91">
        <v>45505</v>
      </c>
      <c r="C117" s="30">
        <v>22.5</v>
      </c>
      <c r="D117" s="90" t="s">
        <v>840</v>
      </c>
      <c r="E117" s="90" t="s">
        <v>776</v>
      </c>
      <c r="F117" s="90" t="s">
        <v>777</v>
      </c>
      <c r="G117" s="90" t="s">
        <v>778</v>
      </c>
      <c r="H117" s="92"/>
      <c r="I117" s="91"/>
      <c r="J117" s="30"/>
      <c r="K117" s="91"/>
      <c r="L117" s="30"/>
      <c r="M117" s="91"/>
      <c r="N117" s="30"/>
      <c r="O117" s="90"/>
      <c r="P117" s="91">
        <v>46045</v>
      </c>
      <c r="Q117" s="90" t="s">
        <v>779</v>
      </c>
    </row>
    <row r="118" spans="1:17" ht="15" customHeight="1" x14ac:dyDescent="0.3">
      <c r="A118" s="90" t="s">
        <v>703</v>
      </c>
      <c r="B118" s="91">
        <v>45350</v>
      </c>
      <c r="C118" s="30">
        <v>27.6</v>
      </c>
      <c r="D118" s="90" t="s">
        <v>793</v>
      </c>
      <c r="E118" s="90" t="s">
        <v>794</v>
      </c>
      <c r="F118" s="90" t="s">
        <v>795</v>
      </c>
      <c r="G118" s="90" t="s">
        <v>796</v>
      </c>
      <c r="H118" s="92">
        <v>55</v>
      </c>
      <c r="I118" s="91">
        <v>46186</v>
      </c>
      <c r="J118" s="30">
        <v>20</v>
      </c>
      <c r="K118" s="91">
        <v>46160</v>
      </c>
      <c r="L118" s="30">
        <v>20</v>
      </c>
      <c r="M118" s="91">
        <v>46151</v>
      </c>
      <c r="N118" s="30">
        <v>15</v>
      </c>
      <c r="O118" s="90">
        <v>8</v>
      </c>
      <c r="P118" s="91">
        <v>45884</v>
      </c>
      <c r="Q118" s="90" t="s">
        <v>779</v>
      </c>
    </row>
    <row r="119" spans="1:17" ht="15" customHeight="1" x14ac:dyDescent="0.3">
      <c r="A119" s="90" t="s">
        <v>879</v>
      </c>
      <c r="B119" s="91">
        <v>45505</v>
      </c>
      <c r="C119" s="30">
        <v>22.5</v>
      </c>
      <c r="D119" s="90" t="s">
        <v>840</v>
      </c>
      <c r="E119" s="90" t="s">
        <v>776</v>
      </c>
      <c r="F119" s="90" t="s">
        <v>777</v>
      </c>
      <c r="G119" s="90" t="s">
        <v>778</v>
      </c>
      <c r="H119" s="92"/>
      <c r="I119" s="91"/>
      <c r="J119" s="30"/>
      <c r="K119" s="91"/>
      <c r="L119" s="30"/>
      <c r="M119" s="91"/>
      <c r="N119" s="30"/>
      <c r="O119" s="90"/>
      <c r="P119" s="91">
        <v>46045</v>
      </c>
      <c r="Q119" s="90" t="s">
        <v>779</v>
      </c>
    </row>
    <row r="120" spans="1:17" ht="15" customHeight="1" x14ac:dyDescent="0.3">
      <c r="A120" s="90" t="s">
        <v>880</v>
      </c>
      <c r="B120" s="91">
        <v>45505</v>
      </c>
      <c r="C120" s="30">
        <v>22.5</v>
      </c>
      <c r="D120" s="90" t="s">
        <v>840</v>
      </c>
      <c r="E120" s="90" t="s">
        <v>776</v>
      </c>
      <c r="F120" s="90" t="s">
        <v>777</v>
      </c>
      <c r="G120" s="90" t="s">
        <v>778</v>
      </c>
      <c r="H120" s="92"/>
      <c r="I120" s="91"/>
      <c r="J120" s="30"/>
      <c r="K120" s="91"/>
      <c r="L120" s="30"/>
      <c r="M120" s="91"/>
      <c r="N120" s="30"/>
      <c r="O120" s="90"/>
      <c r="P120" s="91">
        <v>46045</v>
      </c>
      <c r="Q120" s="90" t="s">
        <v>779</v>
      </c>
    </row>
    <row r="121" spans="1:17" ht="15" customHeight="1" x14ac:dyDescent="0.3">
      <c r="A121" s="90" t="s">
        <v>881</v>
      </c>
      <c r="B121" s="91">
        <v>45505</v>
      </c>
      <c r="C121" s="30">
        <v>22.5</v>
      </c>
      <c r="D121" s="90" t="s">
        <v>840</v>
      </c>
      <c r="E121" s="90" t="s">
        <v>776</v>
      </c>
      <c r="F121" s="90" t="s">
        <v>777</v>
      </c>
      <c r="G121" s="90" t="s">
        <v>778</v>
      </c>
      <c r="H121" s="92"/>
      <c r="I121" s="91"/>
      <c r="J121" s="30"/>
      <c r="K121" s="91"/>
      <c r="L121" s="30"/>
      <c r="M121" s="91"/>
      <c r="N121" s="30"/>
      <c r="O121" s="90"/>
      <c r="P121" s="91">
        <v>46045</v>
      </c>
      <c r="Q121" s="90" t="s">
        <v>779</v>
      </c>
    </row>
    <row r="122" spans="1:17" ht="15" customHeight="1" x14ac:dyDescent="0.3">
      <c r="A122" s="90" t="s">
        <v>882</v>
      </c>
      <c r="B122" s="91">
        <v>45505</v>
      </c>
      <c r="C122" s="30">
        <v>22.5</v>
      </c>
      <c r="D122" s="90" t="s">
        <v>840</v>
      </c>
      <c r="E122" s="90" t="s">
        <v>776</v>
      </c>
      <c r="F122" s="90" t="s">
        <v>777</v>
      </c>
      <c r="G122" s="90" t="s">
        <v>778</v>
      </c>
      <c r="H122" s="92"/>
      <c r="I122" s="91"/>
      <c r="J122" s="30"/>
      <c r="K122" s="91"/>
      <c r="L122" s="30"/>
      <c r="M122" s="91"/>
      <c r="N122" s="30"/>
      <c r="O122" s="90"/>
      <c r="P122" s="91">
        <v>46045</v>
      </c>
      <c r="Q122" s="90" t="s">
        <v>779</v>
      </c>
    </row>
    <row r="123" spans="1:17" ht="15" customHeight="1" x14ac:dyDescent="0.3">
      <c r="A123" s="90" t="s">
        <v>883</v>
      </c>
      <c r="B123" s="91">
        <v>45505</v>
      </c>
      <c r="C123" s="30">
        <v>22.5</v>
      </c>
      <c r="D123" s="90" t="s">
        <v>840</v>
      </c>
      <c r="E123" s="90" t="s">
        <v>776</v>
      </c>
      <c r="F123" s="90" t="s">
        <v>777</v>
      </c>
      <c r="G123" s="90" t="s">
        <v>778</v>
      </c>
      <c r="H123" s="92"/>
      <c r="I123" s="91"/>
      <c r="J123" s="30"/>
      <c r="K123" s="91"/>
      <c r="L123" s="30"/>
      <c r="M123" s="91"/>
      <c r="N123" s="30"/>
      <c r="O123" s="90"/>
      <c r="P123" s="91">
        <v>46045</v>
      </c>
      <c r="Q123" s="90" t="s">
        <v>779</v>
      </c>
    </row>
    <row r="124" spans="1:17" ht="15" customHeight="1" x14ac:dyDescent="0.3">
      <c r="A124" s="90" t="s">
        <v>884</v>
      </c>
      <c r="B124" s="91">
        <v>45505</v>
      </c>
      <c r="C124" s="30">
        <v>22.5</v>
      </c>
      <c r="D124" s="90" t="s">
        <v>840</v>
      </c>
      <c r="E124" s="90" t="s">
        <v>776</v>
      </c>
      <c r="F124" s="90" t="s">
        <v>777</v>
      </c>
      <c r="G124" s="90" t="s">
        <v>778</v>
      </c>
      <c r="H124" s="92"/>
      <c r="I124" s="91"/>
      <c r="J124" s="30"/>
      <c r="K124" s="91"/>
      <c r="L124" s="30"/>
      <c r="M124" s="91"/>
      <c r="N124" s="30"/>
      <c r="O124" s="90"/>
      <c r="P124" s="91">
        <v>46045</v>
      </c>
      <c r="Q124" s="90" t="s">
        <v>779</v>
      </c>
    </row>
    <row r="125" spans="1:17" ht="15" customHeight="1" x14ac:dyDescent="0.3">
      <c r="A125" s="90" t="s">
        <v>885</v>
      </c>
      <c r="B125" s="91">
        <v>45505</v>
      </c>
      <c r="C125" s="30">
        <v>22.5</v>
      </c>
      <c r="D125" s="90" t="s">
        <v>840</v>
      </c>
      <c r="E125" s="90" t="s">
        <v>776</v>
      </c>
      <c r="F125" s="90" t="s">
        <v>777</v>
      </c>
      <c r="G125" s="90" t="s">
        <v>778</v>
      </c>
      <c r="H125" s="92"/>
      <c r="I125" s="91"/>
      <c r="J125" s="30"/>
      <c r="K125" s="91"/>
      <c r="L125" s="30"/>
      <c r="M125" s="91"/>
      <c r="N125" s="30"/>
      <c r="O125" s="90"/>
      <c r="P125" s="91">
        <v>46045</v>
      </c>
      <c r="Q125" s="90" t="s">
        <v>779</v>
      </c>
    </row>
    <row r="126" spans="1:17" ht="15" customHeight="1" x14ac:dyDescent="0.3">
      <c r="A126" s="90" t="s">
        <v>886</v>
      </c>
      <c r="B126" s="91">
        <v>45505</v>
      </c>
      <c r="C126" s="30">
        <v>22.5</v>
      </c>
      <c r="D126" s="90" t="s">
        <v>840</v>
      </c>
      <c r="E126" s="90" t="s">
        <v>776</v>
      </c>
      <c r="F126" s="90" t="s">
        <v>777</v>
      </c>
      <c r="G126" s="90" t="s">
        <v>778</v>
      </c>
      <c r="H126" s="92"/>
      <c r="I126" s="91"/>
      <c r="J126" s="30"/>
      <c r="K126" s="91"/>
      <c r="L126" s="30"/>
      <c r="M126" s="91"/>
      <c r="N126" s="30"/>
      <c r="O126" s="90"/>
      <c r="P126" s="91">
        <v>46045</v>
      </c>
      <c r="Q126" s="90" t="s">
        <v>779</v>
      </c>
    </row>
    <row r="127" spans="1:17" ht="15" customHeight="1" x14ac:dyDescent="0.3">
      <c r="A127" s="90" t="s">
        <v>887</v>
      </c>
      <c r="B127" s="91">
        <v>45505</v>
      </c>
      <c r="C127" s="30">
        <v>22.5</v>
      </c>
      <c r="D127" s="90" t="s">
        <v>840</v>
      </c>
      <c r="E127" s="90" t="s">
        <v>776</v>
      </c>
      <c r="F127" s="90" t="s">
        <v>777</v>
      </c>
      <c r="G127" s="90" t="s">
        <v>778</v>
      </c>
      <c r="H127" s="92"/>
      <c r="I127" s="91"/>
      <c r="J127" s="30"/>
      <c r="K127" s="91"/>
      <c r="L127" s="30"/>
      <c r="M127" s="91"/>
      <c r="N127" s="30"/>
      <c r="O127" s="90"/>
      <c r="P127" s="91">
        <v>46045</v>
      </c>
      <c r="Q127" s="90" t="s">
        <v>779</v>
      </c>
    </row>
    <row r="128" spans="1:17" ht="15" customHeight="1" x14ac:dyDescent="0.3">
      <c r="A128" s="90" t="s">
        <v>888</v>
      </c>
      <c r="B128" s="91">
        <v>45505</v>
      </c>
      <c r="C128" s="30">
        <v>22.5</v>
      </c>
      <c r="D128" s="90" t="s">
        <v>840</v>
      </c>
      <c r="E128" s="90" t="s">
        <v>776</v>
      </c>
      <c r="F128" s="90" t="s">
        <v>777</v>
      </c>
      <c r="G128" s="90" t="s">
        <v>778</v>
      </c>
      <c r="H128" s="92"/>
      <c r="I128" s="91"/>
      <c r="J128" s="30"/>
      <c r="K128" s="91"/>
      <c r="L128" s="30"/>
      <c r="M128" s="91"/>
      <c r="N128" s="30"/>
      <c r="O128" s="90"/>
      <c r="P128" s="91">
        <v>46045</v>
      </c>
      <c r="Q128" s="90" t="s">
        <v>779</v>
      </c>
    </row>
    <row r="129" spans="1:17" ht="15" customHeight="1" x14ac:dyDescent="0.3">
      <c r="A129" s="90" t="s">
        <v>889</v>
      </c>
      <c r="B129" s="91">
        <v>45505</v>
      </c>
      <c r="C129" s="30">
        <v>22.5</v>
      </c>
      <c r="D129" s="90" t="s">
        <v>840</v>
      </c>
      <c r="E129" s="90" t="s">
        <v>776</v>
      </c>
      <c r="F129" s="90" t="s">
        <v>777</v>
      </c>
      <c r="G129" s="90" t="s">
        <v>778</v>
      </c>
      <c r="H129" s="92"/>
      <c r="I129" s="91"/>
      <c r="J129" s="30"/>
      <c r="K129" s="91"/>
      <c r="L129" s="30"/>
      <c r="M129" s="91"/>
      <c r="N129" s="30"/>
      <c r="O129" s="90"/>
      <c r="P129" s="91">
        <v>46045</v>
      </c>
      <c r="Q129" s="119" t="s">
        <v>779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>
    <tabColor rgb="FF808080"/>
  </sheetPr>
  <dimension ref="A1:J15"/>
  <sheetViews>
    <sheetView zoomScaleNormal="100" workbookViewId="0">
      <pane ySplit="1" topLeftCell="A2" activePane="bottomLeft" state="frozen"/>
      <selection pane="bottomLeft"/>
    </sheetView>
  </sheetViews>
  <sheetFormatPr defaultColWidth="8.6640625" defaultRowHeight="14.4" x14ac:dyDescent="0.3"/>
  <cols>
    <col min="1" max="1" width="10" customWidth="1"/>
    <col min="2" max="2" width="12" customWidth="1"/>
    <col min="3" max="3" width="10" customWidth="1"/>
    <col min="4" max="5" width="16" customWidth="1"/>
    <col min="6" max="8" width="18" customWidth="1"/>
    <col min="9" max="9" width="11" customWidth="1"/>
    <col min="10" max="10" width="12" customWidth="1"/>
  </cols>
  <sheetData>
    <row r="1" spans="1:10" ht="15" customHeight="1" x14ac:dyDescent="0.3">
      <c r="A1" s="7" t="s">
        <v>110</v>
      </c>
      <c r="B1" s="7" t="s">
        <v>75</v>
      </c>
      <c r="C1" s="7" t="s">
        <v>99</v>
      </c>
      <c r="D1" s="7" t="s">
        <v>100</v>
      </c>
      <c r="E1" s="7" t="s">
        <v>101</v>
      </c>
      <c r="F1" s="7" t="s">
        <v>890</v>
      </c>
      <c r="G1" s="7" t="s">
        <v>891</v>
      </c>
      <c r="H1" s="7" t="s">
        <v>892</v>
      </c>
      <c r="I1" s="7" t="s">
        <v>105</v>
      </c>
      <c r="J1" s="7" t="s">
        <v>106</v>
      </c>
    </row>
    <row r="2" spans="1:10" ht="15" customHeight="1" x14ac:dyDescent="0.3">
      <c r="A2" s="90">
        <v>1</v>
      </c>
      <c r="B2" s="90" t="s">
        <v>893</v>
      </c>
      <c r="C2" s="90">
        <v>30</v>
      </c>
      <c r="D2" s="90">
        <v>8</v>
      </c>
      <c r="E2" s="90">
        <v>2</v>
      </c>
      <c r="F2" s="90">
        <v>0</v>
      </c>
      <c r="G2" s="90">
        <v>0</v>
      </c>
      <c r="H2" s="90">
        <v>0</v>
      </c>
      <c r="I2" s="90">
        <v>0</v>
      </c>
      <c r="J2" s="90">
        <v>0</v>
      </c>
    </row>
    <row r="3" spans="1:10" ht="15" customHeight="1" x14ac:dyDescent="0.3">
      <c r="A3" s="90">
        <v>2</v>
      </c>
      <c r="B3" s="90" t="s">
        <v>894</v>
      </c>
      <c r="C3" s="90">
        <v>30</v>
      </c>
      <c r="D3" s="90">
        <v>8</v>
      </c>
      <c r="E3" s="90">
        <v>2</v>
      </c>
      <c r="F3" s="90">
        <v>0</v>
      </c>
      <c r="G3" s="90">
        <v>0</v>
      </c>
      <c r="H3" s="90">
        <v>0</v>
      </c>
      <c r="I3" s="90">
        <v>0</v>
      </c>
      <c r="J3" s="90">
        <v>0</v>
      </c>
    </row>
    <row r="4" spans="1:10" ht="15" customHeight="1" x14ac:dyDescent="0.3">
      <c r="A4" s="90">
        <v>3</v>
      </c>
      <c r="B4" s="90" t="s">
        <v>895</v>
      </c>
      <c r="C4" s="90">
        <v>30</v>
      </c>
      <c r="D4" s="90">
        <v>5</v>
      </c>
      <c r="E4" s="90">
        <v>1</v>
      </c>
      <c r="F4" s="90">
        <v>0</v>
      </c>
      <c r="G4" s="90">
        <v>0</v>
      </c>
      <c r="H4" s="90">
        <v>0</v>
      </c>
      <c r="I4" s="90">
        <v>0</v>
      </c>
      <c r="J4" s="90">
        <v>0</v>
      </c>
    </row>
    <row r="5" spans="1:10" ht="15" customHeight="1" x14ac:dyDescent="0.3">
      <c r="A5" s="90">
        <v>4</v>
      </c>
      <c r="B5" s="90" t="s">
        <v>896</v>
      </c>
      <c r="C5" s="90">
        <v>30</v>
      </c>
      <c r="D5" s="90">
        <v>0</v>
      </c>
      <c r="E5" s="90">
        <v>0</v>
      </c>
      <c r="F5" s="90">
        <v>3.5</v>
      </c>
      <c r="G5" s="90">
        <v>0</v>
      </c>
      <c r="H5" s="90">
        <v>0</v>
      </c>
      <c r="I5" s="90">
        <v>0</v>
      </c>
      <c r="J5" s="90">
        <v>0</v>
      </c>
    </row>
    <row r="6" spans="1:10" ht="15" customHeight="1" x14ac:dyDescent="0.3">
      <c r="A6" s="90">
        <v>5</v>
      </c>
      <c r="B6" s="90" t="s">
        <v>897</v>
      </c>
      <c r="C6" s="90">
        <v>30</v>
      </c>
      <c r="D6" s="90">
        <v>0</v>
      </c>
      <c r="E6" s="90">
        <v>0.5</v>
      </c>
      <c r="F6" s="90">
        <v>0</v>
      </c>
      <c r="G6" s="90">
        <v>0</v>
      </c>
      <c r="H6" s="90">
        <v>0</v>
      </c>
      <c r="I6" s="90">
        <v>0</v>
      </c>
      <c r="J6" s="90">
        <v>0</v>
      </c>
    </row>
    <row r="7" spans="1:10" ht="15" customHeight="1" x14ac:dyDescent="0.3">
      <c r="A7" s="90">
        <v>6</v>
      </c>
      <c r="B7" s="90" t="s">
        <v>898</v>
      </c>
      <c r="C7" s="90">
        <v>0</v>
      </c>
      <c r="D7" s="90">
        <v>0</v>
      </c>
      <c r="E7" s="90">
        <v>0</v>
      </c>
      <c r="F7" s="90">
        <v>0</v>
      </c>
      <c r="G7" s="90">
        <v>2</v>
      </c>
      <c r="H7" s="90">
        <v>0</v>
      </c>
      <c r="I7" s="90">
        <v>0</v>
      </c>
      <c r="J7" s="90">
        <v>6</v>
      </c>
    </row>
    <row r="8" spans="1:10" ht="15" customHeight="1" x14ac:dyDescent="0.3">
      <c r="A8" s="90">
        <v>7</v>
      </c>
      <c r="B8" s="90" t="s">
        <v>899</v>
      </c>
      <c r="C8" s="90">
        <v>0</v>
      </c>
      <c r="D8" s="90">
        <v>0</v>
      </c>
      <c r="E8" s="90">
        <v>0</v>
      </c>
      <c r="F8" s="90">
        <v>0</v>
      </c>
      <c r="G8" s="90">
        <v>2</v>
      </c>
      <c r="H8" s="90">
        <v>0</v>
      </c>
      <c r="I8" s="90">
        <v>0</v>
      </c>
      <c r="J8" s="90">
        <v>6</v>
      </c>
    </row>
    <row r="9" spans="1:10" ht="15" customHeight="1" x14ac:dyDescent="0.3">
      <c r="A9" s="90">
        <v>8</v>
      </c>
      <c r="B9" s="90" t="s">
        <v>900</v>
      </c>
      <c r="C9" s="90">
        <v>0</v>
      </c>
      <c r="D9" s="90">
        <v>0</v>
      </c>
      <c r="E9" s="90">
        <v>0</v>
      </c>
      <c r="F9" s="90">
        <v>0</v>
      </c>
      <c r="G9" s="90">
        <v>2</v>
      </c>
      <c r="H9" s="90">
        <v>0</v>
      </c>
      <c r="I9" s="90">
        <v>0</v>
      </c>
      <c r="J9" s="90">
        <v>6</v>
      </c>
    </row>
    <row r="10" spans="1:10" ht="15" customHeight="1" x14ac:dyDescent="0.3">
      <c r="A10" s="90">
        <v>9</v>
      </c>
      <c r="B10" s="90" t="s">
        <v>901</v>
      </c>
      <c r="C10" s="90">
        <v>4</v>
      </c>
      <c r="D10" s="90">
        <v>0</v>
      </c>
      <c r="E10" s="90">
        <v>0</v>
      </c>
      <c r="F10" s="90">
        <v>0</v>
      </c>
      <c r="G10" s="90">
        <v>0</v>
      </c>
      <c r="H10" s="90">
        <v>2</v>
      </c>
      <c r="I10" s="90">
        <v>0</v>
      </c>
      <c r="J10" s="90">
        <v>0</v>
      </c>
    </row>
    <row r="11" spans="1:10" ht="15" customHeight="1" x14ac:dyDescent="0.3">
      <c r="A11" s="90">
        <v>10</v>
      </c>
      <c r="B11" s="90" t="s">
        <v>902</v>
      </c>
      <c r="C11" s="90">
        <v>11</v>
      </c>
      <c r="D11" s="90">
        <v>0</v>
      </c>
      <c r="E11" s="90">
        <v>0</v>
      </c>
      <c r="F11" s="90">
        <v>0</v>
      </c>
      <c r="G11" s="90">
        <v>0</v>
      </c>
      <c r="H11" s="90">
        <v>0</v>
      </c>
      <c r="I11" s="90">
        <v>2</v>
      </c>
      <c r="J11" s="90">
        <v>0</v>
      </c>
    </row>
    <row r="12" spans="1:10" ht="15" customHeight="1" x14ac:dyDescent="0.3">
      <c r="A12" s="90">
        <v>11</v>
      </c>
      <c r="B12" s="90" t="s">
        <v>903</v>
      </c>
      <c r="C12" s="90">
        <v>20</v>
      </c>
      <c r="D12" s="90">
        <v>0</v>
      </c>
      <c r="E12" s="90">
        <v>1</v>
      </c>
      <c r="F12" s="90">
        <v>0</v>
      </c>
      <c r="G12" s="90">
        <v>0</v>
      </c>
      <c r="H12" s="90">
        <v>0</v>
      </c>
      <c r="I12" s="90">
        <v>0</v>
      </c>
      <c r="J12" s="90">
        <v>0</v>
      </c>
    </row>
    <row r="13" spans="1:10" ht="15" customHeight="1" x14ac:dyDescent="0.3">
      <c r="A13" s="90">
        <v>12</v>
      </c>
      <c r="B13" s="90" t="s">
        <v>904</v>
      </c>
      <c r="C13" s="90">
        <v>25</v>
      </c>
      <c r="D13" s="90">
        <v>0</v>
      </c>
      <c r="E13" s="90">
        <v>1</v>
      </c>
      <c r="F13" s="90">
        <v>0</v>
      </c>
      <c r="G13" s="90">
        <v>0</v>
      </c>
      <c r="H13" s="90">
        <v>0</v>
      </c>
      <c r="I13" s="90">
        <v>0</v>
      </c>
      <c r="J13" s="90">
        <v>0</v>
      </c>
    </row>
    <row r="14" spans="1:10" ht="15" customHeight="1" x14ac:dyDescent="0.3">
      <c r="A14" s="90">
        <v>13</v>
      </c>
      <c r="B14" s="90" t="s">
        <v>905</v>
      </c>
      <c r="C14" s="90">
        <v>25</v>
      </c>
      <c r="D14" s="90">
        <v>0</v>
      </c>
      <c r="E14" s="90">
        <v>1</v>
      </c>
      <c r="F14" s="90">
        <v>0</v>
      </c>
      <c r="G14" s="90">
        <v>0</v>
      </c>
      <c r="H14" s="90">
        <v>0</v>
      </c>
      <c r="I14" s="90">
        <v>0</v>
      </c>
      <c r="J14" s="90">
        <v>0</v>
      </c>
    </row>
    <row r="15" spans="1:10" ht="15" customHeight="1" x14ac:dyDescent="0.3">
      <c r="A15" s="90">
        <v>14</v>
      </c>
      <c r="B15" s="90" t="s">
        <v>906</v>
      </c>
      <c r="C15" s="90">
        <v>25</v>
      </c>
      <c r="D15" s="90">
        <v>0</v>
      </c>
      <c r="E15" s="90">
        <v>1</v>
      </c>
      <c r="F15" s="90">
        <v>0</v>
      </c>
      <c r="G15" s="90">
        <v>0</v>
      </c>
      <c r="H15" s="90">
        <v>0</v>
      </c>
      <c r="I15" s="90">
        <v>0</v>
      </c>
      <c r="J15" s="90">
        <v>0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>
    <tabColor rgb="FF808080"/>
    <outlinePr summaryBelow="0"/>
  </sheetPr>
  <dimension ref="A1:I111"/>
  <sheetViews>
    <sheetView zoomScaleNormal="100" workbookViewId="0">
      <pane ySplit="1" topLeftCell="A2" activePane="bottomLeft" state="frozen"/>
      <selection pane="bottomLeft"/>
    </sheetView>
  </sheetViews>
  <sheetFormatPr defaultColWidth="8.6640625" defaultRowHeight="14.4" outlineLevelRow="1" x14ac:dyDescent="0.3"/>
  <cols>
    <col min="1" max="1" width="12" customWidth="1"/>
    <col min="2" max="6" width="10" customWidth="1"/>
    <col min="7" max="7" width="11" customWidth="1"/>
    <col min="8" max="8" width="12" customWidth="1"/>
    <col min="9" max="9" width="10" customWidth="1"/>
  </cols>
  <sheetData>
    <row r="1" spans="1:9" ht="15" customHeight="1" x14ac:dyDescent="0.3">
      <c r="A1" s="7" t="s">
        <v>590</v>
      </c>
      <c r="B1" s="7" t="s">
        <v>907</v>
      </c>
      <c r="C1" s="7" t="s">
        <v>908</v>
      </c>
      <c r="D1" s="7" t="s">
        <v>909</v>
      </c>
      <c r="E1" s="7" t="s">
        <v>910</v>
      </c>
      <c r="F1" s="7" t="s">
        <v>911</v>
      </c>
      <c r="G1" s="7" t="s">
        <v>912</v>
      </c>
      <c r="H1" s="7" t="s">
        <v>913</v>
      </c>
      <c r="I1" s="7" t="s">
        <v>914</v>
      </c>
    </row>
    <row r="2" spans="1:9" ht="15" customHeight="1" x14ac:dyDescent="0.3">
      <c r="A2" s="90" t="s">
        <v>915</v>
      </c>
      <c r="B2" s="101" t="s">
        <v>916</v>
      </c>
      <c r="C2" s="90" t="s">
        <v>917</v>
      </c>
      <c r="D2" s="30">
        <v>35</v>
      </c>
      <c r="E2" s="30">
        <v>5</v>
      </c>
      <c r="F2" s="90" t="s">
        <v>918</v>
      </c>
      <c r="G2" s="66">
        <v>19.363</v>
      </c>
      <c r="H2" s="66">
        <v>677.7</v>
      </c>
      <c r="I2" s="90"/>
    </row>
    <row r="3" spans="1:9" ht="15" customHeight="1" x14ac:dyDescent="0.3">
      <c r="A3" s="90" t="s">
        <v>919</v>
      </c>
      <c r="B3" s="101" t="s">
        <v>920</v>
      </c>
      <c r="C3" s="90" t="s">
        <v>921</v>
      </c>
      <c r="D3" s="30">
        <v>55</v>
      </c>
      <c r="E3" s="30">
        <v>3</v>
      </c>
      <c r="F3" s="90" t="s">
        <v>918</v>
      </c>
      <c r="G3" s="66">
        <v>69.063999999999993</v>
      </c>
      <c r="H3" s="66">
        <v>3798.52</v>
      </c>
      <c r="I3" s="90"/>
    </row>
    <row r="4" spans="1:9" ht="15" customHeight="1" outlineLevel="1" x14ac:dyDescent="0.3">
      <c r="A4" s="90" t="s">
        <v>919</v>
      </c>
      <c r="B4" s="101" t="s">
        <v>922</v>
      </c>
      <c r="C4" s="90" t="s">
        <v>923</v>
      </c>
      <c r="D4" s="30">
        <v>11</v>
      </c>
      <c r="E4" s="30">
        <v>0</v>
      </c>
      <c r="F4" s="90" t="s">
        <v>918</v>
      </c>
      <c r="G4" s="66">
        <v>49.405000000000001</v>
      </c>
      <c r="H4" s="66">
        <v>543.46</v>
      </c>
      <c r="I4" s="90"/>
    </row>
    <row r="5" spans="1:9" ht="15" customHeight="1" outlineLevel="1" x14ac:dyDescent="0.3">
      <c r="A5" s="90" t="s">
        <v>919</v>
      </c>
      <c r="B5" s="101" t="s">
        <v>924</v>
      </c>
      <c r="C5" s="90" t="s">
        <v>925</v>
      </c>
      <c r="D5" s="30">
        <v>77</v>
      </c>
      <c r="E5" s="30">
        <v>5</v>
      </c>
      <c r="F5" s="90" t="s">
        <v>918</v>
      </c>
      <c r="G5" s="66">
        <v>52.634</v>
      </c>
      <c r="H5" s="66">
        <v>4052.82</v>
      </c>
      <c r="I5" s="90"/>
    </row>
    <row r="6" spans="1:9" ht="15" customHeight="1" outlineLevel="1" x14ac:dyDescent="0.3">
      <c r="A6" s="90" t="s">
        <v>919</v>
      </c>
      <c r="B6" s="101" t="s">
        <v>926</v>
      </c>
      <c r="C6" s="90" t="s">
        <v>927</v>
      </c>
      <c r="D6" s="30">
        <v>32</v>
      </c>
      <c r="E6" s="30">
        <v>3</v>
      </c>
      <c r="F6" s="90" t="s">
        <v>918</v>
      </c>
      <c r="G6" s="66">
        <v>64.269000000000005</v>
      </c>
      <c r="H6" s="66">
        <v>2056.61</v>
      </c>
      <c r="I6" s="90"/>
    </row>
    <row r="7" spans="1:9" ht="15" customHeight="1" outlineLevel="1" x14ac:dyDescent="0.3">
      <c r="A7" s="90" t="s">
        <v>919</v>
      </c>
      <c r="B7" s="101" t="s">
        <v>928</v>
      </c>
      <c r="C7" s="90" t="s">
        <v>929</v>
      </c>
      <c r="D7" s="30">
        <v>96696</v>
      </c>
      <c r="E7" s="30">
        <v>10</v>
      </c>
      <c r="F7" s="90" t="s">
        <v>918</v>
      </c>
      <c r="G7" s="66">
        <v>0.312</v>
      </c>
      <c r="H7" s="66">
        <v>30132.42</v>
      </c>
      <c r="I7" s="90"/>
    </row>
    <row r="8" spans="1:9" ht="15" customHeight="1" outlineLevel="1" x14ac:dyDescent="0.3">
      <c r="A8" s="90" t="s">
        <v>919</v>
      </c>
      <c r="B8" s="101" t="s">
        <v>930</v>
      </c>
      <c r="C8" s="90" t="s">
        <v>931</v>
      </c>
      <c r="D8" s="30">
        <v>881383</v>
      </c>
      <c r="E8" s="30">
        <v>20</v>
      </c>
      <c r="F8" s="90" t="s">
        <v>918</v>
      </c>
      <c r="G8" s="66">
        <v>0.106</v>
      </c>
      <c r="H8" s="66">
        <v>93645.56</v>
      </c>
      <c r="I8" s="90"/>
    </row>
    <row r="9" spans="1:9" ht="15" customHeight="1" x14ac:dyDescent="0.3">
      <c r="A9" s="90" t="s">
        <v>932</v>
      </c>
      <c r="B9" s="101" t="s">
        <v>933</v>
      </c>
      <c r="C9" s="90" t="s">
        <v>934</v>
      </c>
      <c r="D9" s="30">
        <v>30</v>
      </c>
      <c r="E9" s="30">
        <v>3</v>
      </c>
      <c r="F9" s="90" t="s">
        <v>918</v>
      </c>
      <c r="G9" s="66">
        <v>121.70099999999999</v>
      </c>
      <c r="H9" s="66">
        <v>3651.02</v>
      </c>
      <c r="I9" s="90"/>
    </row>
    <row r="10" spans="1:9" ht="15" customHeight="1" x14ac:dyDescent="0.3">
      <c r="A10" s="90" t="s">
        <v>935</v>
      </c>
      <c r="B10" s="101" t="s">
        <v>936</v>
      </c>
      <c r="C10" s="90" t="s">
        <v>937</v>
      </c>
      <c r="D10" s="30">
        <v>1</v>
      </c>
      <c r="E10" s="30">
        <v>1</v>
      </c>
      <c r="F10" s="90" t="s">
        <v>918</v>
      </c>
      <c r="G10" s="66">
        <v>245</v>
      </c>
      <c r="H10" s="66">
        <v>245</v>
      </c>
      <c r="I10" s="90"/>
    </row>
    <row r="11" spans="1:9" ht="15" customHeight="1" outlineLevel="1" x14ac:dyDescent="0.3">
      <c r="A11" s="90" t="s">
        <v>935</v>
      </c>
      <c r="B11" s="101" t="s">
        <v>938</v>
      </c>
      <c r="C11" s="90" t="s">
        <v>939</v>
      </c>
      <c r="D11" s="30">
        <v>0.95199999999999996</v>
      </c>
      <c r="E11" s="30">
        <v>1</v>
      </c>
      <c r="F11" s="90" t="s">
        <v>918</v>
      </c>
      <c r="G11" s="66">
        <v>123.15</v>
      </c>
      <c r="H11" s="66">
        <v>117.24</v>
      </c>
      <c r="I11" s="90" t="s">
        <v>656</v>
      </c>
    </row>
    <row r="12" spans="1:9" ht="15" customHeight="1" outlineLevel="1" x14ac:dyDescent="0.3">
      <c r="A12" s="90" t="s">
        <v>935</v>
      </c>
      <c r="B12" s="101" t="s">
        <v>940</v>
      </c>
      <c r="C12" s="90" t="s">
        <v>941</v>
      </c>
      <c r="D12" s="30">
        <v>1.1000000000000001</v>
      </c>
      <c r="E12" s="30">
        <v>0</v>
      </c>
      <c r="F12" s="90" t="s">
        <v>918</v>
      </c>
      <c r="G12" s="66">
        <v>25</v>
      </c>
      <c r="H12" s="66">
        <v>27.5</v>
      </c>
      <c r="I12" s="90"/>
    </row>
    <row r="13" spans="1:9" ht="15" customHeight="1" outlineLevel="1" x14ac:dyDescent="0.3">
      <c r="A13" s="90" t="s">
        <v>935</v>
      </c>
      <c r="B13" s="101" t="s">
        <v>942</v>
      </c>
      <c r="C13" s="90" t="s">
        <v>943</v>
      </c>
      <c r="D13" s="30">
        <v>2</v>
      </c>
      <c r="E13" s="30">
        <v>0</v>
      </c>
      <c r="F13" s="90" t="s">
        <v>918</v>
      </c>
      <c r="G13" s="66">
        <v>57</v>
      </c>
      <c r="H13" s="66">
        <v>114</v>
      </c>
      <c r="I13" s="90"/>
    </row>
    <row r="14" spans="1:9" ht="15" customHeight="1" outlineLevel="1" x14ac:dyDescent="0.3">
      <c r="A14" s="90" t="s">
        <v>935</v>
      </c>
      <c r="B14" s="101" t="s">
        <v>944</v>
      </c>
      <c r="C14" s="90" t="s">
        <v>945</v>
      </c>
      <c r="D14" s="30">
        <v>1</v>
      </c>
      <c r="E14" s="30">
        <v>0</v>
      </c>
      <c r="F14" s="90" t="s">
        <v>918</v>
      </c>
      <c r="G14" s="66">
        <v>16</v>
      </c>
      <c r="H14" s="66">
        <v>16</v>
      </c>
      <c r="I14" s="90"/>
    </row>
    <row r="15" spans="1:9" ht="15" customHeight="1" outlineLevel="1" x14ac:dyDescent="0.3">
      <c r="A15" s="90" t="s">
        <v>935</v>
      </c>
      <c r="B15" s="101" t="s">
        <v>946</v>
      </c>
      <c r="C15" s="90" t="s">
        <v>947</v>
      </c>
      <c r="D15" s="30">
        <v>3.49</v>
      </c>
      <c r="E15" s="30">
        <v>1</v>
      </c>
      <c r="F15" s="90" t="s">
        <v>918</v>
      </c>
      <c r="G15" s="66">
        <v>104.304</v>
      </c>
      <c r="H15" s="66">
        <v>364.02</v>
      </c>
      <c r="I15" s="90"/>
    </row>
    <row r="16" spans="1:9" ht="15" customHeight="1" outlineLevel="1" x14ac:dyDescent="0.3">
      <c r="A16" s="90" t="s">
        <v>935</v>
      </c>
      <c r="B16" s="101" t="s">
        <v>948</v>
      </c>
      <c r="C16" s="90" t="s">
        <v>949</v>
      </c>
      <c r="D16" s="30">
        <v>3</v>
      </c>
      <c r="E16" s="30">
        <v>1</v>
      </c>
      <c r="F16" s="90" t="s">
        <v>918</v>
      </c>
      <c r="G16" s="66">
        <v>20</v>
      </c>
      <c r="H16" s="66">
        <v>60</v>
      </c>
      <c r="I16" s="90"/>
    </row>
    <row r="17" spans="1:9" ht="15" customHeight="1" outlineLevel="1" x14ac:dyDescent="0.3">
      <c r="A17" s="90" t="s">
        <v>935</v>
      </c>
      <c r="B17" s="101" t="s">
        <v>950</v>
      </c>
      <c r="C17" s="90" t="s">
        <v>951</v>
      </c>
      <c r="D17" s="30">
        <v>0.5</v>
      </c>
      <c r="E17" s="30">
        <v>0</v>
      </c>
      <c r="F17" s="90" t="s">
        <v>918</v>
      </c>
      <c r="G17" s="66">
        <v>77</v>
      </c>
      <c r="H17" s="66">
        <v>38.5</v>
      </c>
      <c r="I17" s="90"/>
    </row>
    <row r="18" spans="1:9" ht="15" customHeight="1" x14ac:dyDescent="0.3">
      <c r="A18" s="90" t="s">
        <v>952</v>
      </c>
      <c r="B18" s="101" t="s">
        <v>953</v>
      </c>
      <c r="C18" s="90" t="s">
        <v>954</v>
      </c>
      <c r="D18" s="30">
        <v>0.5</v>
      </c>
      <c r="E18" s="30">
        <v>0</v>
      </c>
      <c r="F18" s="90" t="s">
        <v>918</v>
      </c>
      <c r="G18" s="66">
        <v>77</v>
      </c>
      <c r="H18" s="66">
        <v>38.5</v>
      </c>
      <c r="I18" s="90"/>
    </row>
    <row r="19" spans="1:9" ht="15" customHeight="1" x14ac:dyDescent="0.3">
      <c r="A19" s="90" t="s">
        <v>955</v>
      </c>
      <c r="B19" s="101" t="s">
        <v>2295</v>
      </c>
      <c r="C19" s="90" t="s">
        <v>2296</v>
      </c>
      <c r="D19" s="30">
        <v>0</v>
      </c>
      <c r="E19" s="30">
        <v>1</v>
      </c>
      <c r="F19" s="90" t="s">
        <v>918</v>
      </c>
      <c r="G19" s="66">
        <v>0</v>
      </c>
      <c r="H19" s="66">
        <v>0</v>
      </c>
      <c r="I19" s="90" t="s">
        <v>656</v>
      </c>
    </row>
    <row r="20" spans="1:9" ht="15" customHeight="1" outlineLevel="1" x14ac:dyDescent="0.3">
      <c r="A20" s="90" t="s">
        <v>955</v>
      </c>
      <c r="B20" s="101" t="s">
        <v>956</v>
      </c>
      <c r="C20" s="90" t="s">
        <v>957</v>
      </c>
      <c r="D20" s="30">
        <v>1</v>
      </c>
      <c r="E20" s="30">
        <v>1</v>
      </c>
      <c r="F20" s="90" t="s">
        <v>918</v>
      </c>
      <c r="G20" s="66">
        <v>47</v>
      </c>
      <c r="H20" s="66">
        <v>47</v>
      </c>
      <c r="I20" s="90"/>
    </row>
    <row r="21" spans="1:9" ht="15" customHeight="1" outlineLevel="1" x14ac:dyDescent="0.3">
      <c r="A21" s="90" t="s">
        <v>955</v>
      </c>
      <c r="B21" s="101" t="s">
        <v>958</v>
      </c>
      <c r="C21" s="90" t="s">
        <v>959</v>
      </c>
      <c r="D21" s="30">
        <v>10.9</v>
      </c>
      <c r="E21" s="30">
        <v>2</v>
      </c>
      <c r="F21" s="90" t="s">
        <v>918</v>
      </c>
      <c r="G21" s="66">
        <v>48.844999999999999</v>
      </c>
      <c r="H21" s="66">
        <v>532.41</v>
      </c>
      <c r="I21" s="90"/>
    </row>
    <row r="22" spans="1:9" ht="15" customHeight="1" outlineLevel="1" x14ac:dyDescent="0.3">
      <c r="A22" s="90" t="s">
        <v>955</v>
      </c>
      <c r="B22" s="101" t="s">
        <v>960</v>
      </c>
      <c r="C22" s="90" t="s">
        <v>961</v>
      </c>
      <c r="D22" s="30">
        <v>9.66</v>
      </c>
      <c r="E22" s="30">
        <v>1</v>
      </c>
      <c r="F22" s="90" t="s">
        <v>918</v>
      </c>
      <c r="G22" s="66">
        <v>45.692999999999998</v>
      </c>
      <c r="H22" s="66">
        <v>441.39</v>
      </c>
      <c r="I22" s="90"/>
    </row>
    <row r="23" spans="1:9" ht="15" customHeight="1" outlineLevel="1" x14ac:dyDescent="0.3">
      <c r="A23" s="90" t="s">
        <v>955</v>
      </c>
      <c r="B23" s="101" t="s">
        <v>962</v>
      </c>
      <c r="C23" s="90" t="s">
        <v>963</v>
      </c>
      <c r="D23" s="30">
        <v>6.95</v>
      </c>
      <c r="E23" s="30">
        <v>1</v>
      </c>
      <c r="F23" s="90" t="s">
        <v>918</v>
      </c>
      <c r="G23" s="66">
        <v>54.673000000000002</v>
      </c>
      <c r="H23" s="66">
        <v>379.98</v>
      </c>
      <c r="I23" s="90"/>
    </row>
    <row r="24" spans="1:9" ht="15" customHeight="1" outlineLevel="1" x14ac:dyDescent="0.3">
      <c r="A24" s="90" t="s">
        <v>955</v>
      </c>
      <c r="B24" s="101" t="s">
        <v>964</v>
      </c>
      <c r="C24" s="90" t="s">
        <v>965</v>
      </c>
      <c r="D24" s="30">
        <v>7</v>
      </c>
      <c r="E24" s="30">
        <v>1</v>
      </c>
      <c r="F24" s="90" t="s">
        <v>918</v>
      </c>
      <c r="G24" s="66">
        <v>56</v>
      </c>
      <c r="H24" s="66">
        <v>392</v>
      </c>
      <c r="I24" s="90"/>
    </row>
    <row r="25" spans="1:9" ht="15" customHeight="1" outlineLevel="1" x14ac:dyDescent="0.3">
      <c r="A25" s="90" t="s">
        <v>955</v>
      </c>
      <c r="B25" s="101" t="s">
        <v>966</v>
      </c>
      <c r="C25" s="90" t="s">
        <v>967</v>
      </c>
      <c r="D25" s="30">
        <v>1.9239999999999999</v>
      </c>
      <c r="E25" s="30">
        <v>1</v>
      </c>
      <c r="F25" s="90" t="s">
        <v>918</v>
      </c>
      <c r="G25" s="66">
        <v>857.59500000000003</v>
      </c>
      <c r="H25" s="66">
        <v>1650.01</v>
      </c>
      <c r="I25" s="90"/>
    </row>
    <row r="26" spans="1:9" ht="15" customHeight="1" outlineLevel="1" x14ac:dyDescent="0.3">
      <c r="A26" s="90" t="s">
        <v>955</v>
      </c>
      <c r="B26" s="101" t="s">
        <v>968</v>
      </c>
      <c r="C26" s="90" t="s">
        <v>969</v>
      </c>
      <c r="D26" s="30">
        <v>2</v>
      </c>
      <c r="E26" s="30">
        <v>1</v>
      </c>
      <c r="F26" s="90" t="s">
        <v>918</v>
      </c>
      <c r="G26" s="66">
        <v>70</v>
      </c>
      <c r="H26" s="66">
        <v>140</v>
      </c>
      <c r="I26" s="90"/>
    </row>
    <row r="27" spans="1:9" ht="15" customHeight="1" outlineLevel="1" x14ac:dyDescent="0.3">
      <c r="A27" s="90" t="s">
        <v>955</v>
      </c>
      <c r="B27" s="101" t="s">
        <v>970</v>
      </c>
      <c r="C27" s="90" t="s">
        <v>971</v>
      </c>
      <c r="D27" s="30">
        <v>16</v>
      </c>
      <c r="E27" s="30">
        <v>4</v>
      </c>
      <c r="F27" s="90" t="s">
        <v>918</v>
      </c>
      <c r="G27" s="66">
        <v>11</v>
      </c>
      <c r="H27" s="66">
        <v>176</v>
      </c>
      <c r="I27" s="90"/>
    </row>
    <row r="28" spans="1:9" ht="15" customHeight="1" outlineLevel="1" x14ac:dyDescent="0.3">
      <c r="A28" s="90" t="s">
        <v>955</v>
      </c>
      <c r="B28" s="101" t="s">
        <v>972</v>
      </c>
      <c r="C28" s="90" t="s">
        <v>973</v>
      </c>
      <c r="D28" s="30">
        <v>24</v>
      </c>
      <c r="E28" s="30">
        <v>4</v>
      </c>
      <c r="F28" s="90" t="s">
        <v>918</v>
      </c>
      <c r="G28" s="66">
        <v>9</v>
      </c>
      <c r="H28" s="66">
        <v>216</v>
      </c>
      <c r="I28" s="90"/>
    </row>
    <row r="29" spans="1:9" ht="15" customHeight="1" outlineLevel="1" x14ac:dyDescent="0.3">
      <c r="A29" s="90" t="s">
        <v>955</v>
      </c>
      <c r="B29" s="101" t="s">
        <v>974</v>
      </c>
      <c r="C29" s="90" t="s">
        <v>975</v>
      </c>
      <c r="D29" s="30">
        <v>26</v>
      </c>
      <c r="E29" s="30">
        <v>5</v>
      </c>
      <c r="F29" s="90" t="s">
        <v>918</v>
      </c>
      <c r="G29" s="66">
        <v>18.489000000000001</v>
      </c>
      <c r="H29" s="66">
        <v>480.71</v>
      </c>
      <c r="I29" s="90"/>
    </row>
    <row r="30" spans="1:9" ht="15" customHeight="1" outlineLevel="1" x14ac:dyDescent="0.3">
      <c r="A30" s="90" t="s">
        <v>955</v>
      </c>
      <c r="B30" s="101" t="s">
        <v>2292</v>
      </c>
      <c r="C30" s="90" t="s">
        <v>2293</v>
      </c>
      <c r="D30" s="30">
        <v>16</v>
      </c>
      <c r="E30" s="30">
        <v>4</v>
      </c>
      <c r="F30" s="90" t="s">
        <v>918</v>
      </c>
      <c r="G30" s="66">
        <v>20</v>
      </c>
      <c r="H30" s="66">
        <v>320</v>
      </c>
      <c r="I30" s="90"/>
    </row>
    <row r="31" spans="1:9" ht="15" customHeight="1" outlineLevel="1" x14ac:dyDescent="0.3">
      <c r="A31" s="90" t="s">
        <v>955</v>
      </c>
      <c r="B31" s="101" t="s">
        <v>976</v>
      </c>
      <c r="C31" s="90" t="s">
        <v>977</v>
      </c>
      <c r="D31" s="30">
        <v>36</v>
      </c>
      <c r="E31" s="30">
        <v>3</v>
      </c>
      <c r="F31" s="90" t="s">
        <v>918</v>
      </c>
      <c r="G31" s="66">
        <v>15.612</v>
      </c>
      <c r="H31" s="66">
        <v>562.04</v>
      </c>
      <c r="I31" s="90"/>
    </row>
    <row r="32" spans="1:9" ht="15" customHeight="1" outlineLevel="1" x14ac:dyDescent="0.3">
      <c r="A32" s="90" t="s">
        <v>955</v>
      </c>
      <c r="B32" s="101" t="s">
        <v>978</v>
      </c>
      <c r="C32" s="90" t="s">
        <v>979</v>
      </c>
      <c r="D32" s="30">
        <v>3</v>
      </c>
      <c r="E32" s="30">
        <v>1</v>
      </c>
      <c r="F32" s="90" t="s">
        <v>918</v>
      </c>
      <c r="G32" s="66">
        <v>102</v>
      </c>
      <c r="H32" s="66">
        <v>306</v>
      </c>
      <c r="I32" s="90"/>
    </row>
    <row r="33" spans="1:9" ht="15" customHeight="1" outlineLevel="1" x14ac:dyDescent="0.3">
      <c r="A33" s="90" t="s">
        <v>955</v>
      </c>
      <c r="B33" s="101" t="s">
        <v>980</v>
      </c>
      <c r="C33" s="90" t="s">
        <v>981</v>
      </c>
      <c r="D33" s="30">
        <v>2.7</v>
      </c>
      <c r="E33" s="30">
        <v>1</v>
      </c>
      <c r="F33" s="90" t="s">
        <v>918</v>
      </c>
      <c r="G33" s="66">
        <v>280</v>
      </c>
      <c r="H33" s="66">
        <v>756</v>
      </c>
      <c r="I33" s="90"/>
    </row>
    <row r="34" spans="1:9" ht="15" customHeight="1" outlineLevel="1" x14ac:dyDescent="0.3">
      <c r="A34" s="90" t="s">
        <v>955</v>
      </c>
      <c r="B34" s="101" t="s">
        <v>982</v>
      </c>
      <c r="C34" s="90" t="s">
        <v>983</v>
      </c>
      <c r="D34" s="30">
        <v>20</v>
      </c>
      <c r="E34" s="30">
        <v>2</v>
      </c>
      <c r="F34" s="90" t="s">
        <v>918</v>
      </c>
      <c r="G34" s="66">
        <v>17</v>
      </c>
      <c r="H34" s="66">
        <v>340</v>
      </c>
      <c r="I34" s="90"/>
    </row>
    <row r="35" spans="1:9" ht="15" customHeight="1" outlineLevel="1" x14ac:dyDescent="0.3">
      <c r="A35" s="90" t="s">
        <v>955</v>
      </c>
      <c r="B35" s="101" t="s">
        <v>984</v>
      </c>
      <c r="C35" s="90" t="s">
        <v>985</v>
      </c>
      <c r="D35" s="30">
        <v>1.5</v>
      </c>
      <c r="E35" s="30">
        <v>0</v>
      </c>
      <c r="F35" s="90" t="s">
        <v>918</v>
      </c>
      <c r="G35" s="66">
        <v>26</v>
      </c>
      <c r="H35" s="66">
        <v>39</v>
      </c>
      <c r="I35" s="90"/>
    </row>
    <row r="36" spans="1:9" ht="15" customHeight="1" outlineLevel="1" x14ac:dyDescent="0.3">
      <c r="A36" s="90" t="s">
        <v>955</v>
      </c>
      <c r="B36" s="101" t="s">
        <v>986</v>
      </c>
      <c r="C36" s="90" t="s">
        <v>987</v>
      </c>
      <c r="D36" s="30">
        <v>1.93</v>
      </c>
      <c r="E36" s="30">
        <v>1</v>
      </c>
      <c r="F36" s="90" t="s">
        <v>918</v>
      </c>
      <c r="G36" s="66">
        <v>45.569000000000003</v>
      </c>
      <c r="H36" s="66">
        <v>87.95</v>
      </c>
      <c r="I36" s="90"/>
    </row>
    <row r="37" spans="1:9" ht="15" customHeight="1" outlineLevel="1" x14ac:dyDescent="0.3">
      <c r="A37" s="90" t="s">
        <v>955</v>
      </c>
      <c r="B37" s="101" t="s">
        <v>988</v>
      </c>
      <c r="C37" s="90" t="s">
        <v>989</v>
      </c>
      <c r="D37" s="30">
        <v>2</v>
      </c>
      <c r="E37" s="30">
        <v>1</v>
      </c>
      <c r="F37" s="90" t="s">
        <v>918</v>
      </c>
      <c r="G37" s="66">
        <v>38</v>
      </c>
      <c r="H37" s="66">
        <v>76</v>
      </c>
      <c r="I37" s="90"/>
    </row>
    <row r="38" spans="1:9" ht="15" customHeight="1" outlineLevel="1" x14ac:dyDescent="0.3">
      <c r="A38" s="90" t="s">
        <v>955</v>
      </c>
      <c r="B38" s="101" t="s">
        <v>990</v>
      </c>
      <c r="C38" s="90" t="s">
        <v>991</v>
      </c>
      <c r="D38" s="30">
        <v>4</v>
      </c>
      <c r="E38" s="30">
        <v>1</v>
      </c>
      <c r="F38" s="90" t="s">
        <v>918</v>
      </c>
      <c r="G38" s="66">
        <v>395</v>
      </c>
      <c r="H38" s="66">
        <v>1580</v>
      </c>
      <c r="I38" s="90"/>
    </row>
    <row r="39" spans="1:9" ht="15" customHeight="1" outlineLevel="1" x14ac:dyDescent="0.3">
      <c r="A39" s="90" t="s">
        <v>955</v>
      </c>
      <c r="B39" s="101" t="s">
        <v>992</v>
      </c>
      <c r="C39" s="90" t="s">
        <v>993</v>
      </c>
      <c r="D39" s="30">
        <v>0.6</v>
      </c>
      <c r="E39" s="30">
        <v>1</v>
      </c>
      <c r="F39" s="90" t="s">
        <v>918</v>
      </c>
      <c r="G39" s="66">
        <v>80</v>
      </c>
      <c r="H39" s="66">
        <v>48</v>
      </c>
      <c r="I39" s="90" t="s">
        <v>656</v>
      </c>
    </row>
    <row r="40" spans="1:9" ht="15" customHeight="1" outlineLevel="1" x14ac:dyDescent="0.3">
      <c r="A40" s="90" t="s">
        <v>955</v>
      </c>
      <c r="B40" s="101" t="s">
        <v>994</v>
      </c>
      <c r="C40" s="90" t="s">
        <v>995</v>
      </c>
      <c r="D40" s="30">
        <v>255</v>
      </c>
      <c r="E40" s="30">
        <v>3</v>
      </c>
      <c r="F40" s="90" t="s">
        <v>918</v>
      </c>
      <c r="G40" s="66">
        <v>0.88600000000000001</v>
      </c>
      <c r="H40" s="66">
        <v>225.86</v>
      </c>
      <c r="I40" s="90"/>
    </row>
    <row r="41" spans="1:9" ht="15" customHeight="1" outlineLevel="1" x14ac:dyDescent="0.3">
      <c r="A41" s="90" t="s">
        <v>955</v>
      </c>
      <c r="B41" s="101" t="s">
        <v>996</v>
      </c>
      <c r="C41" s="90" t="s">
        <v>997</v>
      </c>
      <c r="D41" s="30">
        <v>2.8</v>
      </c>
      <c r="E41" s="30">
        <v>1</v>
      </c>
      <c r="F41" s="90" t="s">
        <v>918</v>
      </c>
      <c r="G41" s="66">
        <v>22</v>
      </c>
      <c r="H41" s="66">
        <v>61.6</v>
      </c>
      <c r="I41" s="90"/>
    </row>
    <row r="42" spans="1:9" ht="15" customHeight="1" outlineLevel="1" x14ac:dyDescent="0.3">
      <c r="A42" s="90" t="s">
        <v>955</v>
      </c>
      <c r="B42" s="101" t="s">
        <v>998</v>
      </c>
      <c r="C42" s="90" t="s">
        <v>999</v>
      </c>
      <c r="D42" s="30">
        <v>3.5</v>
      </c>
      <c r="E42" s="30">
        <v>0</v>
      </c>
      <c r="F42" s="90" t="s">
        <v>918</v>
      </c>
      <c r="G42" s="66">
        <v>40</v>
      </c>
      <c r="H42" s="66">
        <v>140</v>
      </c>
      <c r="I42" s="90"/>
    </row>
    <row r="43" spans="1:9" ht="15" customHeight="1" outlineLevel="1" x14ac:dyDescent="0.3">
      <c r="A43" s="90" t="s">
        <v>955</v>
      </c>
      <c r="B43" s="101" t="s">
        <v>2297</v>
      </c>
      <c r="C43" s="90" t="s">
        <v>2298</v>
      </c>
      <c r="D43" s="30">
        <v>0</v>
      </c>
      <c r="E43" s="30">
        <v>0</v>
      </c>
      <c r="F43" s="90" t="s">
        <v>918</v>
      </c>
      <c r="G43" s="66">
        <v>0</v>
      </c>
      <c r="H43" s="66">
        <v>0</v>
      </c>
      <c r="I43" s="90"/>
    </row>
    <row r="44" spans="1:9" ht="15" customHeight="1" x14ac:dyDescent="0.3">
      <c r="A44" s="90" t="s">
        <v>955</v>
      </c>
      <c r="B44" s="101" t="s">
        <v>839</v>
      </c>
      <c r="C44" s="90" t="s">
        <v>1000</v>
      </c>
      <c r="D44" s="30">
        <v>4</v>
      </c>
      <c r="E44" s="30">
        <v>1</v>
      </c>
      <c r="F44" s="90" t="s">
        <v>918</v>
      </c>
      <c r="G44" s="66">
        <v>20.53</v>
      </c>
      <c r="H44" s="66">
        <v>82.12</v>
      </c>
      <c r="I44" s="90"/>
    </row>
    <row r="45" spans="1:9" ht="15" customHeight="1" x14ac:dyDescent="0.3">
      <c r="A45" s="90" t="s">
        <v>955</v>
      </c>
      <c r="B45" s="101" t="s">
        <v>1001</v>
      </c>
      <c r="C45" s="90" t="s">
        <v>1002</v>
      </c>
      <c r="D45" s="30">
        <v>1</v>
      </c>
      <c r="E45" s="30">
        <v>1</v>
      </c>
      <c r="F45" s="90" t="s">
        <v>918</v>
      </c>
      <c r="G45" s="66">
        <v>60.55</v>
      </c>
      <c r="H45" s="66">
        <v>60.55</v>
      </c>
      <c r="I45" s="90"/>
    </row>
    <row r="46" spans="1:9" ht="15" customHeight="1" outlineLevel="1" x14ac:dyDescent="0.3">
      <c r="A46" s="90" t="s">
        <v>955</v>
      </c>
      <c r="B46" s="101" t="s">
        <v>1003</v>
      </c>
      <c r="C46" s="90" t="s">
        <v>1004</v>
      </c>
      <c r="D46" s="30">
        <v>0.54</v>
      </c>
      <c r="E46" s="30">
        <v>1</v>
      </c>
      <c r="F46" s="90" t="s">
        <v>918</v>
      </c>
      <c r="G46" s="66">
        <v>603</v>
      </c>
      <c r="H46" s="66">
        <v>325.62</v>
      </c>
      <c r="I46" s="90" t="s">
        <v>656</v>
      </c>
    </row>
    <row r="47" spans="1:9" ht="15" customHeight="1" x14ac:dyDescent="0.3">
      <c r="A47" s="90" t="s">
        <v>1005</v>
      </c>
      <c r="B47" s="101" t="s">
        <v>1006</v>
      </c>
      <c r="C47" s="90" t="s">
        <v>1007</v>
      </c>
      <c r="D47" s="30">
        <v>149.47999999999999</v>
      </c>
      <c r="E47" s="30">
        <v>5</v>
      </c>
      <c r="F47" s="90" t="s">
        <v>918</v>
      </c>
      <c r="G47" s="66">
        <v>16.655999999999999</v>
      </c>
      <c r="H47" s="66">
        <v>2489.67</v>
      </c>
      <c r="I47" s="90"/>
    </row>
    <row r="48" spans="1:9" ht="15" customHeight="1" outlineLevel="1" x14ac:dyDescent="0.3">
      <c r="A48" s="90" t="s">
        <v>1008</v>
      </c>
      <c r="B48" s="101" t="s">
        <v>1009</v>
      </c>
      <c r="C48" s="90" t="s">
        <v>1010</v>
      </c>
      <c r="D48" s="30">
        <v>37.99</v>
      </c>
      <c r="E48" s="30">
        <v>0</v>
      </c>
      <c r="F48" s="90" t="s">
        <v>918</v>
      </c>
      <c r="G48" s="66">
        <v>87.105000000000004</v>
      </c>
      <c r="H48" s="66">
        <v>3309.13</v>
      </c>
      <c r="I48" s="90"/>
    </row>
    <row r="49" spans="1:9" ht="15" customHeight="1" x14ac:dyDescent="0.3">
      <c r="A49" s="90" t="s">
        <v>1008</v>
      </c>
      <c r="B49" s="101" t="s">
        <v>1011</v>
      </c>
      <c r="C49" s="90" t="s">
        <v>1012</v>
      </c>
      <c r="D49" s="30">
        <v>30</v>
      </c>
      <c r="E49" s="30">
        <v>0</v>
      </c>
      <c r="F49" s="90" t="s">
        <v>918</v>
      </c>
      <c r="G49" s="66">
        <v>4.5</v>
      </c>
      <c r="H49" s="66">
        <v>135</v>
      </c>
      <c r="I49" s="90"/>
    </row>
    <row r="50" spans="1:9" ht="15" customHeight="1" outlineLevel="1" x14ac:dyDescent="0.3">
      <c r="A50" s="90" t="s">
        <v>1013</v>
      </c>
      <c r="B50" s="101" t="s">
        <v>1014</v>
      </c>
      <c r="C50" s="90" t="s">
        <v>1015</v>
      </c>
      <c r="D50" s="30">
        <v>1</v>
      </c>
      <c r="E50" s="30">
        <v>0</v>
      </c>
      <c r="F50" s="90" t="s">
        <v>918</v>
      </c>
      <c r="G50" s="66">
        <v>45</v>
      </c>
      <c r="H50" s="66">
        <v>45</v>
      </c>
      <c r="I50" s="90"/>
    </row>
    <row r="51" spans="1:9" ht="15" customHeight="1" outlineLevel="1" x14ac:dyDescent="0.3">
      <c r="A51" s="90" t="s">
        <v>1013</v>
      </c>
      <c r="B51" s="101" t="s">
        <v>1016</v>
      </c>
      <c r="C51" s="90" t="s">
        <v>1017</v>
      </c>
      <c r="D51" s="30">
        <v>0.43</v>
      </c>
      <c r="E51" s="30">
        <v>0</v>
      </c>
      <c r="F51" s="90" t="s">
        <v>918</v>
      </c>
      <c r="G51" s="66">
        <v>330</v>
      </c>
      <c r="H51" s="66">
        <v>141.9</v>
      </c>
      <c r="I51" s="90"/>
    </row>
    <row r="52" spans="1:9" ht="15" customHeight="1" x14ac:dyDescent="0.3">
      <c r="A52" s="90" t="s">
        <v>1013</v>
      </c>
      <c r="B52" s="101" t="s">
        <v>2299</v>
      </c>
      <c r="C52" s="90" t="s">
        <v>2300</v>
      </c>
      <c r="D52" s="30">
        <v>0</v>
      </c>
      <c r="E52" s="30">
        <v>1</v>
      </c>
      <c r="F52" s="90" t="s">
        <v>918</v>
      </c>
      <c r="G52" s="66">
        <v>0</v>
      </c>
      <c r="H52" s="66">
        <v>0</v>
      </c>
      <c r="I52" s="90" t="s">
        <v>656</v>
      </c>
    </row>
    <row r="53" spans="1:9" ht="15" customHeight="1" outlineLevel="1" x14ac:dyDescent="0.3">
      <c r="A53" s="90" t="s">
        <v>1018</v>
      </c>
      <c r="B53" s="101" t="s">
        <v>1019</v>
      </c>
      <c r="C53" s="90" t="s">
        <v>1020</v>
      </c>
      <c r="D53" s="30">
        <v>0.86099999999999999</v>
      </c>
      <c r="E53" s="30">
        <v>0</v>
      </c>
      <c r="F53" s="90" t="s">
        <v>918</v>
      </c>
      <c r="G53" s="66">
        <v>110.08</v>
      </c>
      <c r="H53" s="66">
        <v>94.78</v>
      </c>
      <c r="I53" s="90"/>
    </row>
    <row r="54" spans="1:9" ht="15" customHeight="1" outlineLevel="1" x14ac:dyDescent="0.3">
      <c r="A54" s="90" t="s">
        <v>1018</v>
      </c>
      <c r="B54" s="101" t="s">
        <v>1021</v>
      </c>
      <c r="C54" s="90" t="s">
        <v>1022</v>
      </c>
      <c r="D54" s="30">
        <v>1</v>
      </c>
      <c r="E54" s="30">
        <v>1</v>
      </c>
      <c r="F54" s="90" t="s">
        <v>918</v>
      </c>
      <c r="G54" s="66">
        <v>53.332999999999998</v>
      </c>
      <c r="H54" s="66">
        <v>53.33</v>
      </c>
      <c r="I54" s="90"/>
    </row>
    <row r="55" spans="1:9" ht="15" customHeight="1" outlineLevel="1" x14ac:dyDescent="0.3">
      <c r="A55" s="90" t="s">
        <v>1018</v>
      </c>
      <c r="B55" s="101" t="s">
        <v>1023</v>
      </c>
      <c r="C55" s="90" t="s">
        <v>1024</v>
      </c>
      <c r="D55" s="30">
        <v>0.5</v>
      </c>
      <c r="E55" s="30">
        <v>0</v>
      </c>
      <c r="F55" s="90" t="s">
        <v>918</v>
      </c>
      <c r="G55" s="66">
        <v>63</v>
      </c>
      <c r="H55" s="66">
        <v>31.5</v>
      </c>
      <c r="I55" s="90"/>
    </row>
    <row r="56" spans="1:9" ht="15" customHeight="1" outlineLevel="1" x14ac:dyDescent="0.3">
      <c r="A56" s="90" t="s">
        <v>1025</v>
      </c>
      <c r="B56" s="101" t="s">
        <v>1026</v>
      </c>
      <c r="C56" s="90" t="s">
        <v>1027</v>
      </c>
      <c r="D56" s="30">
        <v>2.5</v>
      </c>
      <c r="E56" s="30">
        <v>0</v>
      </c>
      <c r="F56" s="90" t="s">
        <v>918</v>
      </c>
      <c r="G56" s="66">
        <v>34.472000000000001</v>
      </c>
      <c r="H56" s="66">
        <v>86.18</v>
      </c>
      <c r="I56" s="90"/>
    </row>
    <row r="57" spans="1:9" ht="15" customHeight="1" outlineLevel="1" x14ac:dyDescent="0.3">
      <c r="A57" s="90" t="s">
        <v>1025</v>
      </c>
      <c r="B57" s="101" t="s">
        <v>1028</v>
      </c>
      <c r="C57" s="90" t="s">
        <v>1029</v>
      </c>
      <c r="D57" s="30">
        <v>1</v>
      </c>
      <c r="E57" s="30">
        <v>1</v>
      </c>
      <c r="F57" s="90" t="s">
        <v>918</v>
      </c>
      <c r="G57" s="66">
        <v>67</v>
      </c>
      <c r="H57" s="66">
        <v>67</v>
      </c>
      <c r="I57" s="90"/>
    </row>
    <row r="58" spans="1:9" ht="15" customHeight="1" outlineLevel="1" x14ac:dyDescent="0.3">
      <c r="A58" s="90" t="s">
        <v>1025</v>
      </c>
      <c r="B58" s="101" t="s">
        <v>1030</v>
      </c>
      <c r="C58" s="90" t="s">
        <v>1031</v>
      </c>
      <c r="D58" s="30">
        <v>7</v>
      </c>
      <c r="E58" s="30">
        <v>1</v>
      </c>
      <c r="F58" s="90" t="s">
        <v>918</v>
      </c>
      <c r="G58" s="66">
        <v>29</v>
      </c>
      <c r="H58" s="66">
        <v>203</v>
      </c>
      <c r="I58" s="90"/>
    </row>
    <row r="59" spans="1:9" ht="15" customHeight="1" outlineLevel="1" x14ac:dyDescent="0.3">
      <c r="A59" s="90" t="s">
        <v>1025</v>
      </c>
      <c r="B59" s="101" t="s">
        <v>1032</v>
      </c>
      <c r="C59" s="90" t="s">
        <v>1033</v>
      </c>
      <c r="D59" s="30">
        <v>1</v>
      </c>
      <c r="E59" s="30">
        <v>1</v>
      </c>
      <c r="F59" s="90" t="s">
        <v>918</v>
      </c>
      <c r="G59" s="66">
        <v>106</v>
      </c>
      <c r="H59" s="66">
        <v>106</v>
      </c>
      <c r="I59" s="90"/>
    </row>
    <row r="60" spans="1:9" ht="15" customHeight="1" outlineLevel="1" x14ac:dyDescent="0.3">
      <c r="A60" s="90" t="s">
        <v>1025</v>
      </c>
      <c r="B60" s="101" t="s">
        <v>1034</v>
      </c>
      <c r="C60" s="90" t="s">
        <v>1035</v>
      </c>
      <c r="D60" s="30">
        <v>1</v>
      </c>
      <c r="E60" s="30">
        <v>0</v>
      </c>
      <c r="F60" s="90" t="s">
        <v>918</v>
      </c>
      <c r="G60" s="66">
        <v>98</v>
      </c>
      <c r="H60" s="66">
        <v>98</v>
      </c>
      <c r="I60" s="90"/>
    </row>
    <row r="61" spans="1:9" ht="15" customHeight="1" outlineLevel="1" x14ac:dyDescent="0.3">
      <c r="A61" s="90" t="s">
        <v>1025</v>
      </c>
      <c r="B61" s="101" t="s">
        <v>1036</v>
      </c>
      <c r="C61" s="90" t="s">
        <v>1037</v>
      </c>
      <c r="D61" s="30">
        <v>2.34</v>
      </c>
      <c r="E61" s="30">
        <v>0</v>
      </c>
      <c r="F61" s="90" t="s">
        <v>918</v>
      </c>
      <c r="G61" s="66">
        <v>110</v>
      </c>
      <c r="H61" s="66">
        <v>257.39999999999998</v>
      </c>
      <c r="I61" s="90"/>
    </row>
    <row r="62" spans="1:9" ht="15" customHeight="1" outlineLevel="1" x14ac:dyDescent="0.3">
      <c r="A62" s="90" t="s">
        <v>1025</v>
      </c>
      <c r="B62" s="101" t="s">
        <v>1038</v>
      </c>
      <c r="C62" s="90" t="s">
        <v>1039</v>
      </c>
      <c r="D62" s="30">
        <v>1</v>
      </c>
      <c r="E62" s="30">
        <v>1</v>
      </c>
      <c r="F62" s="90" t="s">
        <v>918</v>
      </c>
      <c r="G62" s="66">
        <v>2965</v>
      </c>
      <c r="H62" s="66">
        <v>2965</v>
      </c>
      <c r="I62" s="90"/>
    </row>
    <row r="63" spans="1:9" ht="15" customHeight="1" outlineLevel="1" x14ac:dyDescent="0.3">
      <c r="A63" s="90" t="s">
        <v>1025</v>
      </c>
      <c r="B63" s="101" t="s">
        <v>1040</v>
      </c>
      <c r="C63" s="90" t="s">
        <v>1041</v>
      </c>
      <c r="D63" s="30">
        <v>5</v>
      </c>
      <c r="E63" s="30">
        <v>1</v>
      </c>
      <c r="F63" s="90" t="s">
        <v>918</v>
      </c>
      <c r="G63" s="66">
        <v>80</v>
      </c>
      <c r="H63" s="66">
        <v>400</v>
      </c>
      <c r="I63" s="90"/>
    </row>
    <row r="64" spans="1:9" ht="15" customHeight="1" x14ac:dyDescent="0.3">
      <c r="A64" s="90" t="s">
        <v>1025</v>
      </c>
      <c r="B64" s="101" t="s">
        <v>1042</v>
      </c>
      <c r="C64" s="90" t="s">
        <v>1043</v>
      </c>
      <c r="D64" s="30">
        <v>1</v>
      </c>
      <c r="E64" s="30">
        <v>1</v>
      </c>
      <c r="F64" s="90" t="s">
        <v>918</v>
      </c>
      <c r="G64" s="66">
        <v>67</v>
      </c>
      <c r="H64" s="66">
        <v>67</v>
      </c>
      <c r="I64" s="90"/>
    </row>
    <row r="65" spans="1:9" ht="15" customHeight="1" outlineLevel="1" x14ac:dyDescent="0.3">
      <c r="A65" s="90" t="s">
        <v>1025</v>
      </c>
      <c r="B65" s="101" t="s">
        <v>1044</v>
      </c>
      <c r="C65" s="90" t="s">
        <v>1045</v>
      </c>
      <c r="D65" s="30">
        <v>2</v>
      </c>
      <c r="E65" s="30">
        <v>1</v>
      </c>
      <c r="F65" s="90" t="s">
        <v>918</v>
      </c>
      <c r="G65" s="66">
        <v>32</v>
      </c>
      <c r="H65" s="66">
        <v>64</v>
      </c>
      <c r="I65" s="90"/>
    </row>
    <row r="66" spans="1:9" ht="15" customHeight="1" outlineLevel="1" x14ac:dyDescent="0.3">
      <c r="A66" s="90" t="s">
        <v>1025</v>
      </c>
      <c r="B66" s="101" t="s">
        <v>1046</v>
      </c>
      <c r="C66" s="90" t="s">
        <v>1047</v>
      </c>
      <c r="D66" s="30">
        <v>4.5</v>
      </c>
      <c r="E66" s="30">
        <v>1</v>
      </c>
      <c r="F66" s="90" t="s">
        <v>918</v>
      </c>
      <c r="G66" s="66">
        <v>39.136000000000003</v>
      </c>
      <c r="H66" s="66">
        <v>176.11</v>
      </c>
      <c r="I66" s="90"/>
    </row>
    <row r="67" spans="1:9" ht="15" customHeight="1" outlineLevel="1" x14ac:dyDescent="0.3">
      <c r="A67" s="90" t="s">
        <v>1025</v>
      </c>
      <c r="B67" s="101" t="s">
        <v>1048</v>
      </c>
      <c r="C67" s="90" t="s">
        <v>1049</v>
      </c>
      <c r="D67" s="30">
        <v>5</v>
      </c>
      <c r="E67" s="30">
        <v>1</v>
      </c>
      <c r="F67" s="90" t="s">
        <v>918</v>
      </c>
      <c r="G67" s="66">
        <v>45</v>
      </c>
      <c r="H67" s="66">
        <v>225</v>
      </c>
      <c r="I67" s="90"/>
    </row>
    <row r="68" spans="1:9" ht="15" customHeight="1" outlineLevel="1" x14ac:dyDescent="0.3">
      <c r="A68" s="90" t="s">
        <v>1050</v>
      </c>
      <c r="B68" s="101" t="s">
        <v>1051</v>
      </c>
      <c r="C68" s="90" t="s">
        <v>1052</v>
      </c>
      <c r="D68" s="30">
        <v>1</v>
      </c>
      <c r="E68" s="30">
        <v>1</v>
      </c>
      <c r="F68" s="90" t="s">
        <v>918</v>
      </c>
      <c r="G68" s="66">
        <v>359.8</v>
      </c>
      <c r="H68" s="66">
        <v>359.8</v>
      </c>
      <c r="I68" s="90"/>
    </row>
    <row r="69" spans="1:9" ht="15" customHeight="1" outlineLevel="1" x14ac:dyDescent="0.3">
      <c r="A69" s="90" t="s">
        <v>1050</v>
      </c>
      <c r="B69" s="101" t="s">
        <v>1053</v>
      </c>
      <c r="C69" s="90" t="s">
        <v>1054</v>
      </c>
      <c r="D69" s="30">
        <v>1</v>
      </c>
      <c r="E69" s="30">
        <v>0</v>
      </c>
      <c r="F69" s="90" t="s">
        <v>918</v>
      </c>
      <c r="G69" s="66">
        <v>132</v>
      </c>
      <c r="H69" s="66">
        <v>132</v>
      </c>
      <c r="I69" s="90"/>
    </row>
    <row r="70" spans="1:9" ht="15" customHeight="1" outlineLevel="1" x14ac:dyDescent="0.3">
      <c r="A70" s="90" t="s">
        <v>1050</v>
      </c>
      <c r="B70" s="101" t="s">
        <v>1055</v>
      </c>
      <c r="C70" s="90" t="s">
        <v>1056</v>
      </c>
      <c r="D70" s="30">
        <v>3.472</v>
      </c>
      <c r="E70" s="30">
        <v>1</v>
      </c>
      <c r="F70" s="90" t="s">
        <v>918</v>
      </c>
      <c r="G70" s="66">
        <v>33.985999999999997</v>
      </c>
      <c r="H70" s="66">
        <v>118</v>
      </c>
      <c r="I70" s="90"/>
    </row>
    <row r="71" spans="1:9" ht="15" customHeight="1" outlineLevel="1" x14ac:dyDescent="0.3">
      <c r="A71" s="90" t="s">
        <v>1050</v>
      </c>
      <c r="B71" s="101" t="s">
        <v>1057</v>
      </c>
      <c r="C71" s="90" t="s">
        <v>1058</v>
      </c>
      <c r="D71" s="30">
        <v>1</v>
      </c>
      <c r="E71" s="30">
        <v>1</v>
      </c>
      <c r="F71" s="90" t="s">
        <v>918</v>
      </c>
      <c r="G71" s="66">
        <v>33</v>
      </c>
      <c r="H71" s="66">
        <v>33</v>
      </c>
      <c r="I71" s="90"/>
    </row>
    <row r="72" spans="1:9" ht="15" customHeight="1" outlineLevel="1" x14ac:dyDescent="0.3">
      <c r="A72" s="90" t="s">
        <v>1050</v>
      </c>
      <c r="B72" s="101" t="s">
        <v>1059</v>
      </c>
      <c r="C72" s="90" t="s">
        <v>1060</v>
      </c>
      <c r="D72" s="30">
        <v>111</v>
      </c>
      <c r="E72" s="30">
        <v>10</v>
      </c>
      <c r="F72" s="90" t="s">
        <v>918</v>
      </c>
      <c r="G72" s="66">
        <v>19.526</v>
      </c>
      <c r="H72" s="66">
        <v>2167.39</v>
      </c>
      <c r="I72" s="90"/>
    </row>
    <row r="73" spans="1:9" ht="15" customHeight="1" outlineLevel="1" x14ac:dyDescent="0.3">
      <c r="A73" s="90" t="s">
        <v>1050</v>
      </c>
      <c r="B73" s="101" t="s">
        <v>1061</v>
      </c>
      <c r="C73" s="90" t="s">
        <v>1062</v>
      </c>
      <c r="D73" s="30">
        <v>1.833</v>
      </c>
      <c r="E73" s="30">
        <v>1</v>
      </c>
      <c r="F73" s="90" t="s">
        <v>918</v>
      </c>
      <c r="G73" s="66">
        <v>60.023000000000003</v>
      </c>
      <c r="H73" s="66">
        <v>110.02</v>
      </c>
      <c r="I73" s="90"/>
    </row>
    <row r="74" spans="1:9" ht="15" customHeight="1" outlineLevel="1" x14ac:dyDescent="0.3">
      <c r="A74" s="90" t="s">
        <v>1050</v>
      </c>
      <c r="B74" s="101" t="s">
        <v>1063</v>
      </c>
      <c r="C74" s="90" t="s">
        <v>1064</v>
      </c>
      <c r="D74" s="30">
        <v>1.94</v>
      </c>
      <c r="E74" s="30">
        <v>1</v>
      </c>
      <c r="F74" s="90" t="s">
        <v>918</v>
      </c>
      <c r="G74" s="66">
        <v>0</v>
      </c>
      <c r="H74" s="66">
        <v>0</v>
      </c>
      <c r="I74" s="90"/>
    </row>
    <row r="75" spans="1:9" ht="15" customHeight="1" x14ac:dyDescent="0.3">
      <c r="A75" s="90" t="s">
        <v>1050</v>
      </c>
      <c r="B75" s="101" t="s">
        <v>1065</v>
      </c>
      <c r="C75" s="90" t="s">
        <v>1066</v>
      </c>
      <c r="D75" s="30">
        <v>1.88</v>
      </c>
      <c r="E75" s="30">
        <v>1</v>
      </c>
      <c r="F75" s="90" t="s">
        <v>918</v>
      </c>
      <c r="G75" s="66">
        <v>0</v>
      </c>
      <c r="H75" s="66">
        <v>0</v>
      </c>
      <c r="I75" s="90"/>
    </row>
    <row r="76" spans="1:9" ht="15" customHeight="1" outlineLevel="1" x14ac:dyDescent="0.3">
      <c r="A76" s="90" t="s">
        <v>1050</v>
      </c>
      <c r="B76" s="101" t="s">
        <v>1067</v>
      </c>
      <c r="C76" s="90" t="s">
        <v>1068</v>
      </c>
      <c r="D76" s="30">
        <v>5.75</v>
      </c>
      <c r="E76" s="30">
        <v>1</v>
      </c>
      <c r="F76" s="90" t="s">
        <v>918</v>
      </c>
      <c r="G76" s="66">
        <v>31.957000000000001</v>
      </c>
      <c r="H76" s="66">
        <v>183.75</v>
      </c>
      <c r="I76" s="90"/>
    </row>
    <row r="77" spans="1:9" ht="15" customHeight="1" outlineLevel="1" x14ac:dyDescent="0.3">
      <c r="A77" s="90" t="s">
        <v>1050</v>
      </c>
      <c r="B77" s="101" t="s">
        <v>1069</v>
      </c>
      <c r="C77" s="90" t="s">
        <v>1070</v>
      </c>
      <c r="D77" s="30">
        <v>0.8</v>
      </c>
      <c r="E77" s="30">
        <v>0</v>
      </c>
      <c r="F77" s="90" t="s">
        <v>918</v>
      </c>
      <c r="G77" s="66">
        <v>0</v>
      </c>
      <c r="H77" s="66">
        <v>0</v>
      </c>
      <c r="I77" s="90"/>
    </row>
    <row r="78" spans="1:9" ht="15" customHeight="1" x14ac:dyDescent="0.3">
      <c r="A78" s="90" t="s">
        <v>1050</v>
      </c>
      <c r="B78" s="101" t="s">
        <v>1071</v>
      </c>
      <c r="C78" s="90" t="s">
        <v>1072</v>
      </c>
      <c r="D78" s="30">
        <v>0.75</v>
      </c>
      <c r="E78" s="30">
        <v>0</v>
      </c>
      <c r="F78" s="90" t="s">
        <v>918</v>
      </c>
      <c r="G78" s="66">
        <v>80</v>
      </c>
      <c r="H78" s="66">
        <v>60</v>
      </c>
      <c r="I78" s="90"/>
    </row>
    <row r="79" spans="1:9" ht="15" customHeight="1" outlineLevel="1" x14ac:dyDescent="0.3">
      <c r="A79" s="90" t="s">
        <v>1073</v>
      </c>
      <c r="B79" s="101" t="s">
        <v>1074</v>
      </c>
      <c r="C79" s="90" t="s">
        <v>1075</v>
      </c>
      <c r="D79" s="30">
        <v>2.8660000000000001</v>
      </c>
      <c r="E79" s="30">
        <v>0</v>
      </c>
      <c r="F79" s="90" t="s">
        <v>918</v>
      </c>
      <c r="G79" s="66">
        <v>11.718999999999999</v>
      </c>
      <c r="H79" s="66">
        <v>33.590000000000003</v>
      </c>
      <c r="I79" s="90"/>
    </row>
    <row r="80" spans="1:9" ht="15" customHeight="1" x14ac:dyDescent="0.3">
      <c r="A80" s="90" t="s">
        <v>1073</v>
      </c>
      <c r="B80" s="101" t="s">
        <v>1076</v>
      </c>
      <c r="C80" s="90" t="s">
        <v>1077</v>
      </c>
      <c r="D80" s="30">
        <v>0.27400000000000002</v>
      </c>
      <c r="E80" s="30">
        <v>0</v>
      </c>
      <c r="F80" s="90" t="s">
        <v>918</v>
      </c>
      <c r="G80" s="66">
        <v>130</v>
      </c>
      <c r="H80" s="66">
        <v>35.619999999999997</v>
      </c>
      <c r="I80" s="90"/>
    </row>
    <row r="81" spans="1:9" ht="15" customHeight="1" x14ac:dyDescent="0.3">
      <c r="A81" s="90" t="s">
        <v>1073</v>
      </c>
      <c r="B81" s="101" t="s">
        <v>1078</v>
      </c>
      <c r="C81" s="90" t="s">
        <v>1079</v>
      </c>
      <c r="D81" s="30">
        <v>2</v>
      </c>
      <c r="E81" s="30">
        <v>0</v>
      </c>
      <c r="F81" s="90" t="s">
        <v>918</v>
      </c>
      <c r="G81" s="66">
        <v>135</v>
      </c>
      <c r="H81" s="66">
        <v>270</v>
      </c>
      <c r="I81" s="90"/>
    </row>
    <row r="82" spans="1:9" ht="15" customHeight="1" x14ac:dyDescent="0.3">
      <c r="A82" s="90" t="s">
        <v>2301</v>
      </c>
      <c r="B82" s="101" t="s">
        <v>2302</v>
      </c>
      <c r="C82" s="90" t="s">
        <v>2303</v>
      </c>
      <c r="D82" s="30">
        <v>0</v>
      </c>
      <c r="E82" s="30">
        <v>1</v>
      </c>
      <c r="F82" s="90" t="s">
        <v>918</v>
      </c>
      <c r="G82" s="66">
        <v>0</v>
      </c>
      <c r="H82" s="66">
        <v>0</v>
      </c>
      <c r="I82" s="90" t="s">
        <v>656</v>
      </c>
    </row>
    <row r="83" spans="1:9" ht="15" customHeight="1" outlineLevel="1" x14ac:dyDescent="0.3">
      <c r="A83" s="90" t="s">
        <v>1080</v>
      </c>
      <c r="B83" s="101" t="s">
        <v>1081</v>
      </c>
      <c r="C83" s="90" t="s">
        <v>1082</v>
      </c>
      <c r="D83" s="30">
        <v>4</v>
      </c>
      <c r="E83" s="30">
        <v>1</v>
      </c>
      <c r="F83" s="90" t="s">
        <v>918</v>
      </c>
      <c r="G83" s="66">
        <v>18.5</v>
      </c>
      <c r="H83" s="66">
        <v>74</v>
      </c>
      <c r="I83" s="90"/>
    </row>
    <row r="84" spans="1:9" x14ac:dyDescent="0.3">
      <c r="A84" t="s">
        <v>1080</v>
      </c>
      <c r="B84" s="102" t="s">
        <v>1083</v>
      </c>
      <c r="C84" t="s">
        <v>1084</v>
      </c>
      <c r="D84">
        <v>0.3</v>
      </c>
      <c r="E84">
        <v>0</v>
      </c>
      <c r="F84" t="s">
        <v>918</v>
      </c>
      <c r="G84">
        <v>86</v>
      </c>
      <c r="H84">
        <v>25.8</v>
      </c>
    </row>
    <row r="85" spans="1:9" x14ac:dyDescent="0.3">
      <c r="A85" t="s">
        <v>1085</v>
      </c>
      <c r="B85" s="102" t="s">
        <v>1086</v>
      </c>
      <c r="C85" t="s">
        <v>1087</v>
      </c>
      <c r="D85">
        <v>6</v>
      </c>
      <c r="E85">
        <v>1</v>
      </c>
      <c r="F85" t="s">
        <v>918</v>
      </c>
      <c r="G85">
        <v>115</v>
      </c>
      <c r="H85">
        <v>690</v>
      </c>
    </row>
    <row r="86" spans="1:9" x14ac:dyDescent="0.3">
      <c r="A86" t="s">
        <v>2304</v>
      </c>
      <c r="B86" s="102" t="s">
        <v>2305</v>
      </c>
      <c r="C86" t="s">
        <v>2306</v>
      </c>
      <c r="D86">
        <v>0</v>
      </c>
      <c r="E86">
        <v>3</v>
      </c>
      <c r="F86" t="s">
        <v>918</v>
      </c>
      <c r="G86">
        <v>0</v>
      </c>
      <c r="H86">
        <v>0</v>
      </c>
      <c r="I86" t="s">
        <v>656</v>
      </c>
    </row>
    <row r="87" spans="1:9" x14ac:dyDescent="0.3">
      <c r="A87" t="s">
        <v>1088</v>
      </c>
      <c r="B87" s="102" t="s">
        <v>1089</v>
      </c>
      <c r="C87" t="s">
        <v>1090</v>
      </c>
      <c r="D87">
        <v>3</v>
      </c>
      <c r="E87">
        <v>1</v>
      </c>
      <c r="F87" t="s">
        <v>918</v>
      </c>
      <c r="G87">
        <v>120</v>
      </c>
      <c r="H87">
        <v>360</v>
      </c>
    </row>
    <row r="88" spans="1:9" x14ac:dyDescent="0.3">
      <c r="A88" t="s">
        <v>2274</v>
      </c>
      <c r="B88" s="102" t="s">
        <v>2307</v>
      </c>
      <c r="C88" t="s">
        <v>2308</v>
      </c>
      <c r="D88">
        <v>1</v>
      </c>
      <c r="E88">
        <v>0</v>
      </c>
      <c r="F88" t="s">
        <v>918</v>
      </c>
      <c r="G88">
        <v>261</v>
      </c>
      <c r="H88">
        <v>261</v>
      </c>
    </row>
    <row r="89" spans="1:9" x14ac:dyDescent="0.3">
      <c r="A89" t="s">
        <v>2274</v>
      </c>
      <c r="B89" s="102" t="s">
        <v>2309</v>
      </c>
      <c r="C89" t="s">
        <v>2310</v>
      </c>
      <c r="D89">
        <v>1</v>
      </c>
      <c r="E89">
        <v>0</v>
      </c>
      <c r="F89" t="s">
        <v>918</v>
      </c>
      <c r="G89">
        <v>220</v>
      </c>
      <c r="H89">
        <v>220</v>
      </c>
    </row>
    <row r="90" spans="1:9" x14ac:dyDescent="0.3">
      <c r="A90" t="s">
        <v>2274</v>
      </c>
      <c r="B90" s="102" t="s">
        <v>2275</v>
      </c>
      <c r="C90" t="s">
        <v>2276</v>
      </c>
      <c r="D90">
        <v>1</v>
      </c>
      <c r="E90">
        <v>0</v>
      </c>
      <c r="F90" t="s">
        <v>918</v>
      </c>
      <c r="G90">
        <v>250</v>
      </c>
      <c r="H90">
        <v>250</v>
      </c>
    </row>
    <row r="91" spans="1:9" x14ac:dyDescent="0.3">
      <c r="A91" t="s">
        <v>2274</v>
      </c>
      <c r="B91" s="102" t="s">
        <v>2277</v>
      </c>
      <c r="C91" t="s">
        <v>2278</v>
      </c>
      <c r="D91">
        <v>1</v>
      </c>
      <c r="E91">
        <v>0</v>
      </c>
      <c r="F91" t="s">
        <v>918</v>
      </c>
      <c r="G91">
        <v>27</v>
      </c>
      <c r="H91">
        <v>27</v>
      </c>
    </row>
    <row r="92" spans="1:9" x14ac:dyDescent="0.3">
      <c r="A92" t="s">
        <v>2274</v>
      </c>
      <c r="B92" s="102" t="s">
        <v>2311</v>
      </c>
      <c r="C92" t="s">
        <v>2312</v>
      </c>
      <c r="D92">
        <v>4</v>
      </c>
      <c r="E92">
        <v>0</v>
      </c>
      <c r="F92" t="s">
        <v>918</v>
      </c>
      <c r="G92">
        <v>31.277999999999999</v>
      </c>
      <c r="H92">
        <v>125.11</v>
      </c>
    </row>
    <row r="93" spans="1:9" x14ac:dyDescent="0.3">
      <c r="A93" t="s">
        <v>2274</v>
      </c>
      <c r="B93" s="102" t="s">
        <v>2279</v>
      </c>
      <c r="C93" t="s">
        <v>2280</v>
      </c>
      <c r="D93">
        <v>1</v>
      </c>
      <c r="E93">
        <v>0</v>
      </c>
      <c r="F93" t="s">
        <v>918</v>
      </c>
      <c r="G93">
        <v>115</v>
      </c>
      <c r="H93">
        <v>115</v>
      </c>
    </row>
    <row r="94" spans="1:9" x14ac:dyDescent="0.3">
      <c r="A94" t="s">
        <v>316</v>
      </c>
      <c r="B94" s="102" t="s">
        <v>1513</v>
      </c>
      <c r="C94" t="s">
        <v>2313</v>
      </c>
      <c r="D94">
        <v>0</v>
      </c>
      <c r="E94">
        <v>0</v>
      </c>
      <c r="F94" t="s">
        <v>918</v>
      </c>
      <c r="G94">
        <v>0</v>
      </c>
      <c r="H94">
        <v>0</v>
      </c>
    </row>
    <row r="95" spans="1:9" x14ac:dyDescent="0.3">
      <c r="A95" t="s">
        <v>316</v>
      </c>
      <c r="B95" s="102" t="s">
        <v>2314</v>
      </c>
      <c r="C95" t="s">
        <v>139</v>
      </c>
      <c r="D95">
        <v>0</v>
      </c>
      <c r="E95">
        <v>0</v>
      </c>
      <c r="F95" t="s">
        <v>918</v>
      </c>
      <c r="G95">
        <v>3.3519999999999999</v>
      </c>
      <c r="H95">
        <v>0</v>
      </c>
    </row>
    <row r="96" spans="1:9" x14ac:dyDescent="0.3">
      <c r="A96" t="s">
        <v>316</v>
      </c>
      <c r="B96" s="102" t="s">
        <v>2315</v>
      </c>
      <c r="C96" t="s">
        <v>144</v>
      </c>
      <c r="D96">
        <v>0</v>
      </c>
      <c r="E96">
        <v>2</v>
      </c>
      <c r="F96" t="s">
        <v>918</v>
      </c>
      <c r="G96">
        <v>6.6890000000000001</v>
      </c>
      <c r="H96">
        <v>0</v>
      </c>
      <c r="I96" t="s">
        <v>656</v>
      </c>
    </row>
    <row r="97" spans="1:8" x14ac:dyDescent="0.3">
      <c r="A97" t="s">
        <v>316</v>
      </c>
      <c r="B97" s="102" t="s">
        <v>2316</v>
      </c>
      <c r="C97" t="s">
        <v>2316</v>
      </c>
      <c r="D97">
        <v>0</v>
      </c>
      <c r="E97">
        <v>0</v>
      </c>
      <c r="F97" t="s">
        <v>918</v>
      </c>
      <c r="G97">
        <v>0</v>
      </c>
      <c r="H97">
        <v>0</v>
      </c>
    </row>
    <row r="98" spans="1:8" x14ac:dyDescent="0.3">
      <c r="A98" t="s">
        <v>316</v>
      </c>
      <c r="B98" s="102" t="s">
        <v>2317</v>
      </c>
      <c r="C98" t="s">
        <v>149</v>
      </c>
      <c r="D98">
        <v>0</v>
      </c>
      <c r="E98">
        <v>0</v>
      </c>
      <c r="F98" t="s">
        <v>918</v>
      </c>
      <c r="G98">
        <v>0</v>
      </c>
      <c r="H98">
        <v>0</v>
      </c>
    </row>
    <row r="99" spans="1:8" x14ac:dyDescent="0.3">
      <c r="A99" t="s">
        <v>316</v>
      </c>
      <c r="B99" s="102" t="s">
        <v>154</v>
      </c>
      <c r="C99" t="s">
        <v>154</v>
      </c>
      <c r="D99">
        <v>2</v>
      </c>
      <c r="E99">
        <v>0</v>
      </c>
      <c r="F99" t="s">
        <v>918</v>
      </c>
      <c r="G99">
        <v>4.1900000000000004</v>
      </c>
      <c r="H99">
        <v>8.3800000000000008</v>
      </c>
    </row>
    <row r="100" spans="1:8" x14ac:dyDescent="0.3">
      <c r="A100" t="s">
        <v>316</v>
      </c>
      <c r="B100" s="102" t="s">
        <v>159</v>
      </c>
      <c r="C100" t="s">
        <v>159</v>
      </c>
      <c r="D100">
        <v>2</v>
      </c>
      <c r="E100">
        <v>0</v>
      </c>
      <c r="F100" t="s">
        <v>918</v>
      </c>
      <c r="G100">
        <v>22.667000000000002</v>
      </c>
      <c r="H100">
        <v>45.33</v>
      </c>
    </row>
    <row r="101" spans="1:8" x14ac:dyDescent="0.3">
      <c r="A101" t="s">
        <v>316</v>
      </c>
      <c r="B101" s="102" t="s">
        <v>1512</v>
      </c>
      <c r="C101" t="s">
        <v>1512</v>
      </c>
      <c r="D101">
        <v>2</v>
      </c>
      <c r="E101">
        <v>0</v>
      </c>
      <c r="F101" t="s">
        <v>918</v>
      </c>
      <c r="G101">
        <v>125</v>
      </c>
      <c r="H101">
        <v>250</v>
      </c>
    </row>
    <row r="102" spans="1:8" x14ac:dyDescent="0.3">
      <c r="A102" t="s">
        <v>316</v>
      </c>
      <c r="B102" s="102" t="s">
        <v>1513</v>
      </c>
      <c r="C102" t="s">
        <v>1513</v>
      </c>
      <c r="D102">
        <v>1</v>
      </c>
      <c r="E102">
        <v>0</v>
      </c>
      <c r="F102" t="s">
        <v>918</v>
      </c>
      <c r="G102">
        <v>0</v>
      </c>
      <c r="H102">
        <v>0</v>
      </c>
    </row>
    <row r="103" spans="1:8" x14ac:dyDescent="0.3">
      <c r="A103" t="s">
        <v>316</v>
      </c>
      <c r="B103" s="102" t="s">
        <v>162</v>
      </c>
      <c r="C103" t="s">
        <v>162</v>
      </c>
      <c r="D103">
        <v>0</v>
      </c>
      <c r="E103">
        <v>0</v>
      </c>
      <c r="F103" t="s">
        <v>918</v>
      </c>
      <c r="G103">
        <v>0</v>
      </c>
      <c r="H103">
        <v>0</v>
      </c>
    </row>
    <row r="104" spans="1:8" x14ac:dyDescent="0.3">
      <c r="A104" t="s">
        <v>316</v>
      </c>
      <c r="B104" s="102" t="s">
        <v>1514</v>
      </c>
      <c r="C104" t="s">
        <v>1514</v>
      </c>
      <c r="D104">
        <v>1</v>
      </c>
      <c r="E104">
        <v>0</v>
      </c>
      <c r="F104" t="s">
        <v>918</v>
      </c>
      <c r="G104">
        <v>0</v>
      </c>
      <c r="H104">
        <v>0</v>
      </c>
    </row>
    <row r="105" spans="1:8" x14ac:dyDescent="0.3">
      <c r="A105" t="s">
        <v>316</v>
      </c>
      <c r="B105" s="102" t="s">
        <v>173</v>
      </c>
      <c r="C105" t="s">
        <v>173</v>
      </c>
      <c r="D105">
        <v>0</v>
      </c>
      <c r="E105">
        <v>0</v>
      </c>
      <c r="F105" t="s">
        <v>918</v>
      </c>
      <c r="G105">
        <v>0</v>
      </c>
      <c r="H105">
        <v>0</v>
      </c>
    </row>
    <row r="106" spans="1:8" x14ac:dyDescent="0.3">
      <c r="A106" t="s">
        <v>316</v>
      </c>
      <c r="B106" s="102" t="s">
        <v>1515</v>
      </c>
      <c r="C106" t="s">
        <v>1515</v>
      </c>
      <c r="D106">
        <v>1</v>
      </c>
      <c r="E106">
        <v>0</v>
      </c>
      <c r="F106" t="s">
        <v>918</v>
      </c>
      <c r="G106">
        <v>0</v>
      </c>
      <c r="H106">
        <v>0</v>
      </c>
    </row>
    <row r="107" spans="1:8" x14ac:dyDescent="0.3">
      <c r="A107" t="s">
        <v>316</v>
      </c>
      <c r="B107" s="102" t="s">
        <v>175</v>
      </c>
      <c r="C107" t="s">
        <v>175</v>
      </c>
      <c r="D107">
        <v>0</v>
      </c>
      <c r="E107">
        <v>0</v>
      </c>
      <c r="F107" t="s">
        <v>918</v>
      </c>
      <c r="G107">
        <v>0</v>
      </c>
      <c r="H107">
        <v>0</v>
      </c>
    </row>
    <row r="108" spans="1:8" x14ac:dyDescent="0.3">
      <c r="A108" t="s">
        <v>316</v>
      </c>
      <c r="B108" s="102" t="s">
        <v>1516</v>
      </c>
      <c r="C108" t="s">
        <v>1516</v>
      </c>
      <c r="D108">
        <v>1</v>
      </c>
      <c r="E108">
        <v>0</v>
      </c>
      <c r="F108" t="s">
        <v>918</v>
      </c>
      <c r="G108">
        <v>0</v>
      </c>
      <c r="H108">
        <v>0</v>
      </c>
    </row>
    <row r="109" spans="1:8" x14ac:dyDescent="0.3">
      <c r="A109" t="s">
        <v>316</v>
      </c>
      <c r="B109" s="102" t="s">
        <v>180</v>
      </c>
      <c r="C109" t="s">
        <v>180</v>
      </c>
      <c r="D109">
        <v>0</v>
      </c>
      <c r="E109">
        <v>0</v>
      </c>
      <c r="F109" t="s">
        <v>918</v>
      </c>
      <c r="G109">
        <v>0</v>
      </c>
      <c r="H109">
        <v>0</v>
      </c>
    </row>
    <row r="110" spans="1:8" x14ac:dyDescent="0.3">
      <c r="A110" t="s">
        <v>316</v>
      </c>
      <c r="B110" s="102" t="s">
        <v>2318</v>
      </c>
      <c r="C110" t="s">
        <v>2318</v>
      </c>
      <c r="D110">
        <v>0</v>
      </c>
      <c r="E110">
        <v>0</v>
      </c>
      <c r="F110" t="s">
        <v>918</v>
      </c>
      <c r="G110">
        <v>0</v>
      </c>
      <c r="H110">
        <v>0</v>
      </c>
    </row>
    <row r="111" spans="1:8" x14ac:dyDescent="0.3">
      <c r="A111" t="s">
        <v>316</v>
      </c>
      <c r="B111" s="102" t="s">
        <v>1517</v>
      </c>
      <c r="C111" t="s">
        <v>1517</v>
      </c>
      <c r="D111">
        <v>35</v>
      </c>
      <c r="E111">
        <v>0</v>
      </c>
      <c r="F111" t="s">
        <v>918</v>
      </c>
      <c r="G111">
        <v>0</v>
      </c>
      <c r="H111">
        <v>0</v>
      </c>
    </row>
  </sheetData>
  <autoFilter ref="A1:I83" xr:uid="{00000000-0009-0000-0000-00000E000000}"/>
  <pageMargins left="0.75" right="0.75" top="1" bottom="1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>
    <tabColor rgb="FF808080"/>
  </sheetPr>
  <dimension ref="A1:J331"/>
  <sheetViews>
    <sheetView zoomScaleNormal="100" workbookViewId="0">
      <pane ySplit="1" topLeftCell="A2" activePane="bottomLeft" state="frozen"/>
      <selection pane="bottomLeft"/>
    </sheetView>
  </sheetViews>
  <sheetFormatPr defaultColWidth="8.6640625" defaultRowHeight="14.4" x14ac:dyDescent="0.3"/>
  <cols>
    <col min="1" max="4" width="10" customWidth="1"/>
    <col min="5" max="5" width="13" customWidth="1"/>
    <col min="6" max="6" width="10" customWidth="1"/>
    <col min="7" max="7" width="13" customWidth="1"/>
    <col min="8" max="8" width="11" customWidth="1"/>
    <col min="9" max="10" width="10" customWidth="1"/>
  </cols>
  <sheetData>
    <row r="1" spans="1:10" ht="15" customHeight="1" x14ac:dyDescent="0.3">
      <c r="A1" s="7" t="s">
        <v>1091</v>
      </c>
      <c r="B1" s="7" t="s">
        <v>1092</v>
      </c>
      <c r="C1" s="7" t="s">
        <v>1093</v>
      </c>
      <c r="D1" s="7" t="s">
        <v>911</v>
      </c>
      <c r="E1" s="7" t="s">
        <v>1094</v>
      </c>
      <c r="F1" s="7" t="s">
        <v>272</v>
      </c>
      <c r="G1" s="7" t="s">
        <v>1095</v>
      </c>
      <c r="H1" s="7" t="s">
        <v>1096</v>
      </c>
      <c r="I1" s="7" t="s">
        <v>1097</v>
      </c>
      <c r="J1" s="7" t="s">
        <v>1098</v>
      </c>
    </row>
    <row r="2" spans="1:10" ht="15" customHeight="1" x14ac:dyDescent="0.3">
      <c r="A2" s="90">
        <v>1</v>
      </c>
      <c r="B2" s="90" t="s">
        <v>1100</v>
      </c>
      <c r="C2" s="90" t="s">
        <v>80</v>
      </c>
      <c r="D2" s="90" t="s">
        <v>1101</v>
      </c>
      <c r="E2" s="66">
        <v>9596.41</v>
      </c>
      <c r="F2" s="30">
        <v>87</v>
      </c>
      <c r="G2" s="66">
        <v>834888</v>
      </c>
      <c r="H2" s="66">
        <v>834888</v>
      </c>
      <c r="I2" s="30">
        <v>49.02</v>
      </c>
      <c r="J2" s="30">
        <v>49.02</v>
      </c>
    </row>
    <row r="3" spans="1:10" ht="15" customHeight="1" x14ac:dyDescent="0.3">
      <c r="A3" s="90">
        <v>2</v>
      </c>
      <c r="B3" s="90" t="s">
        <v>1100</v>
      </c>
      <c r="C3" s="90" t="s">
        <v>1102</v>
      </c>
      <c r="D3" s="90" t="s">
        <v>918</v>
      </c>
      <c r="E3" s="66">
        <v>33050.42</v>
      </c>
      <c r="F3" s="30">
        <v>4</v>
      </c>
      <c r="G3" s="66">
        <v>132201.69</v>
      </c>
      <c r="H3" s="66">
        <v>967089.69</v>
      </c>
      <c r="I3" s="30">
        <v>56.79</v>
      </c>
      <c r="J3" s="30">
        <v>7.76</v>
      </c>
    </row>
    <row r="4" spans="1:10" ht="15" customHeight="1" x14ac:dyDescent="0.3">
      <c r="A4" s="90">
        <v>3</v>
      </c>
      <c r="B4" s="90" t="s">
        <v>1100</v>
      </c>
      <c r="C4" s="90" t="s">
        <v>931</v>
      </c>
      <c r="D4" s="90" t="s">
        <v>918</v>
      </c>
      <c r="E4" s="66">
        <v>58.28</v>
      </c>
      <c r="F4" s="30">
        <v>1633</v>
      </c>
      <c r="G4" s="66">
        <v>95175.53</v>
      </c>
      <c r="H4" s="66">
        <v>1062265.22</v>
      </c>
      <c r="I4" s="30">
        <v>62.37</v>
      </c>
      <c r="J4" s="30">
        <v>5.59</v>
      </c>
    </row>
    <row r="5" spans="1:10" ht="15" customHeight="1" x14ac:dyDescent="0.3">
      <c r="A5" s="90">
        <v>4</v>
      </c>
      <c r="B5" s="90" t="s">
        <v>1100</v>
      </c>
      <c r="C5" s="90" t="s">
        <v>1103</v>
      </c>
      <c r="D5" s="90" t="s">
        <v>918</v>
      </c>
      <c r="E5" s="66">
        <v>2566.13</v>
      </c>
      <c r="F5" s="30">
        <v>37</v>
      </c>
      <c r="G5" s="66">
        <v>94946.78</v>
      </c>
      <c r="H5" s="66">
        <v>1157212</v>
      </c>
      <c r="I5" s="30">
        <v>67.95</v>
      </c>
      <c r="J5" s="30">
        <v>5.58</v>
      </c>
    </row>
    <row r="6" spans="1:10" ht="15" customHeight="1" x14ac:dyDescent="0.3">
      <c r="A6" s="90">
        <v>5</v>
      </c>
      <c r="B6" s="90" t="s">
        <v>1100</v>
      </c>
      <c r="C6" s="90" t="s">
        <v>1104</v>
      </c>
      <c r="D6" s="90" t="s">
        <v>918</v>
      </c>
      <c r="E6" s="66">
        <v>42000</v>
      </c>
      <c r="F6" s="30">
        <v>1</v>
      </c>
      <c r="G6" s="66">
        <v>42000</v>
      </c>
      <c r="H6" s="66">
        <v>1199212</v>
      </c>
      <c r="I6" s="30">
        <v>70.42</v>
      </c>
      <c r="J6" s="30">
        <v>2.4700000000000002</v>
      </c>
    </row>
    <row r="7" spans="1:10" ht="15" customHeight="1" x14ac:dyDescent="0.3">
      <c r="A7" s="90">
        <v>6</v>
      </c>
      <c r="B7" s="90" t="s">
        <v>1100</v>
      </c>
      <c r="C7" s="90" t="s">
        <v>929</v>
      </c>
      <c r="D7" s="90" t="s">
        <v>918</v>
      </c>
      <c r="E7" s="66">
        <v>71.27</v>
      </c>
      <c r="F7" s="30">
        <v>436</v>
      </c>
      <c r="G7" s="66">
        <v>31073.599999999999</v>
      </c>
      <c r="H7" s="66">
        <v>1230285.6000000001</v>
      </c>
      <c r="I7" s="30">
        <v>72.239999999999995</v>
      </c>
      <c r="J7" s="30">
        <v>1.82</v>
      </c>
    </row>
    <row r="8" spans="1:10" ht="15" customHeight="1" x14ac:dyDescent="0.3">
      <c r="A8" s="90">
        <v>7</v>
      </c>
      <c r="B8" s="90" t="s">
        <v>1100</v>
      </c>
      <c r="C8" s="90" t="s">
        <v>1106</v>
      </c>
      <c r="D8" s="90" t="s">
        <v>1107</v>
      </c>
      <c r="E8" s="66">
        <v>6.54</v>
      </c>
      <c r="F8" s="30">
        <v>4356.6400000000003</v>
      </c>
      <c r="G8" s="66">
        <v>28498.16</v>
      </c>
      <c r="H8" s="66">
        <v>1258783.76</v>
      </c>
      <c r="I8" s="30">
        <v>73.91</v>
      </c>
      <c r="J8" s="30">
        <v>1.67</v>
      </c>
    </row>
    <row r="9" spans="1:10" ht="15" customHeight="1" x14ac:dyDescent="0.3">
      <c r="A9" s="90">
        <v>8</v>
      </c>
      <c r="B9" s="90" t="s">
        <v>1100</v>
      </c>
      <c r="C9" s="90" t="s">
        <v>1105</v>
      </c>
      <c r="D9" s="90" t="s">
        <v>918</v>
      </c>
      <c r="E9" s="66">
        <v>18.37</v>
      </c>
      <c r="F9" s="30">
        <v>1528</v>
      </c>
      <c r="G9" s="66">
        <v>28066.46</v>
      </c>
      <c r="H9" s="66">
        <v>1286850.22</v>
      </c>
      <c r="I9" s="30">
        <v>75.56</v>
      </c>
      <c r="J9" s="30">
        <v>1.65</v>
      </c>
    </row>
    <row r="10" spans="1:10" ht="15" customHeight="1" x14ac:dyDescent="0.3">
      <c r="A10" s="90">
        <v>9</v>
      </c>
      <c r="B10" s="90" t="s">
        <v>1100</v>
      </c>
      <c r="C10" s="90" t="s">
        <v>1108</v>
      </c>
      <c r="D10" s="90" t="s">
        <v>918</v>
      </c>
      <c r="E10" s="66">
        <v>270.39999999999998</v>
      </c>
      <c r="F10" s="30">
        <v>88</v>
      </c>
      <c r="G10" s="66">
        <v>23795.16</v>
      </c>
      <c r="H10" s="66">
        <v>1310645.3799999999</v>
      </c>
      <c r="I10" s="30">
        <v>76.959999999999994</v>
      </c>
      <c r="J10" s="30">
        <v>1.4</v>
      </c>
    </row>
    <row r="11" spans="1:10" ht="15" customHeight="1" x14ac:dyDescent="0.3">
      <c r="A11" s="90">
        <v>10</v>
      </c>
      <c r="B11" s="90" t="s">
        <v>1100</v>
      </c>
      <c r="C11" s="90" t="s">
        <v>1111</v>
      </c>
      <c r="D11" s="90" t="s">
        <v>918</v>
      </c>
      <c r="E11" s="66">
        <v>1714.09</v>
      </c>
      <c r="F11" s="30">
        <v>13</v>
      </c>
      <c r="G11" s="66">
        <v>22283.16</v>
      </c>
      <c r="H11" s="66">
        <v>1332928.54</v>
      </c>
      <c r="I11" s="30">
        <v>78.27</v>
      </c>
      <c r="J11" s="30">
        <v>1.31</v>
      </c>
    </row>
    <row r="12" spans="1:10" ht="15" customHeight="1" x14ac:dyDescent="0.3">
      <c r="A12" s="90">
        <v>11</v>
      </c>
      <c r="B12" s="90" t="s">
        <v>1100</v>
      </c>
      <c r="C12" s="90" t="s">
        <v>1110</v>
      </c>
      <c r="D12" s="90" t="s">
        <v>918</v>
      </c>
      <c r="E12" s="66">
        <v>1613.08</v>
      </c>
      <c r="F12" s="30">
        <v>13</v>
      </c>
      <c r="G12" s="66">
        <v>20970</v>
      </c>
      <c r="H12" s="66">
        <v>1353898.54</v>
      </c>
      <c r="I12" s="30">
        <v>79.5</v>
      </c>
      <c r="J12" s="30">
        <v>1.23</v>
      </c>
    </row>
    <row r="13" spans="1:10" ht="15" customHeight="1" x14ac:dyDescent="0.3">
      <c r="A13" s="90">
        <v>12</v>
      </c>
      <c r="B13" s="90" t="s">
        <v>1100</v>
      </c>
      <c r="C13" s="90" t="s">
        <v>1109</v>
      </c>
      <c r="D13" s="90" t="s">
        <v>918</v>
      </c>
      <c r="E13" s="66">
        <v>20731</v>
      </c>
      <c r="F13" s="30">
        <v>1</v>
      </c>
      <c r="G13" s="66">
        <v>20731</v>
      </c>
      <c r="H13" s="66">
        <v>1374629.54</v>
      </c>
      <c r="I13" s="30">
        <v>80.72</v>
      </c>
      <c r="J13" s="30">
        <v>1.22</v>
      </c>
    </row>
    <row r="14" spans="1:10" ht="15" customHeight="1" x14ac:dyDescent="0.3">
      <c r="A14" s="90">
        <v>13</v>
      </c>
      <c r="B14" s="90" t="s">
        <v>1100</v>
      </c>
      <c r="C14" s="90" t="s">
        <v>1112</v>
      </c>
      <c r="D14" s="90" t="s">
        <v>918</v>
      </c>
      <c r="E14" s="66">
        <v>2003.15</v>
      </c>
      <c r="F14" s="30">
        <v>9</v>
      </c>
      <c r="G14" s="66">
        <v>18028.32</v>
      </c>
      <c r="H14" s="66">
        <v>1392657.86</v>
      </c>
      <c r="I14" s="30">
        <v>81.77</v>
      </c>
      <c r="J14" s="30">
        <v>1.06</v>
      </c>
    </row>
    <row r="15" spans="1:10" ht="15" customHeight="1" x14ac:dyDescent="0.3">
      <c r="A15" s="90">
        <v>14</v>
      </c>
      <c r="B15" s="90" t="s">
        <v>1100</v>
      </c>
      <c r="C15" s="90" t="s">
        <v>1113</v>
      </c>
      <c r="D15" s="90" t="s">
        <v>918</v>
      </c>
      <c r="E15" s="66">
        <v>1683.87</v>
      </c>
      <c r="F15" s="30">
        <v>8</v>
      </c>
      <c r="G15" s="66">
        <v>13470.97</v>
      </c>
      <c r="H15" s="66">
        <v>1406128.83</v>
      </c>
      <c r="I15" s="30">
        <v>82.57</v>
      </c>
      <c r="J15" s="30">
        <v>0.79</v>
      </c>
    </row>
    <row r="16" spans="1:10" ht="15" customHeight="1" x14ac:dyDescent="0.3">
      <c r="A16" s="90">
        <v>15</v>
      </c>
      <c r="B16" s="90" t="s">
        <v>1100</v>
      </c>
      <c r="C16" s="90" t="s">
        <v>1118</v>
      </c>
      <c r="D16" s="90" t="s">
        <v>918</v>
      </c>
      <c r="E16" s="66">
        <v>542.54</v>
      </c>
      <c r="F16" s="30">
        <v>20</v>
      </c>
      <c r="G16" s="66">
        <v>10850.73</v>
      </c>
      <c r="H16" s="66">
        <v>1416979.56</v>
      </c>
      <c r="I16" s="30">
        <v>83.2</v>
      </c>
      <c r="J16" s="30">
        <v>0.64</v>
      </c>
    </row>
    <row r="17" spans="1:10" ht="15" customHeight="1" x14ac:dyDescent="0.3">
      <c r="A17" s="90">
        <v>16</v>
      </c>
      <c r="B17" s="90" t="s">
        <v>1100</v>
      </c>
      <c r="C17" s="90" t="s">
        <v>1114</v>
      </c>
      <c r="D17" s="90" t="s">
        <v>1115</v>
      </c>
      <c r="E17" s="66">
        <v>2669.03</v>
      </c>
      <c r="F17" s="30">
        <v>4</v>
      </c>
      <c r="G17" s="66">
        <v>10676.12</v>
      </c>
      <c r="H17" s="66">
        <v>1427655.6799999999</v>
      </c>
      <c r="I17" s="30">
        <v>83.83</v>
      </c>
      <c r="J17" s="30">
        <v>0.63</v>
      </c>
    </row>
    <row r="18" spans="1:10" ht="15" customHeight="1" x14ac:dyDescent="0.3">
      <c r="A18" s="90">
        <v>17</v>
      </c>
      <c r="B18" s="90" t="s">
        <v>1100</v>
      </c>
      <c r="C18" s="90" t="s">
        <v>1116</v>
      </c>
      <c r="D18" s="90" t="s">
        <v>1115</v>
      </c>
      <c r="E18" s="66">
        <v>3476.4</v>
      </c>
      <c r="F18" s="30">
        <v>3</v>
      </c>
      <c r="G18" s="66">
        <v>10429.200000000001</v>
      </c>
      <c r="H18" s="66">
        <v>1438084.88</v>
      </c>
      <c r="I18" s="30">
        <v>84.44</v>
      </c>
      <c r="J18" s="30">
        <v>0.61</v>
      </c>
    </row>
    <row r="19" spans="1:10" ht="15" customHeight="1" x14ac:dyDescent="0.3">
      <c r="A19" s="90">
        <v>18</v>
      </c>
      <c r="B19" s="90" t="s">
        <v>1100</v>
      </c>
      <c r="C19" s="90" t="s">
        <v>1126</v>
      </c>
      <c r="D19" s="90" t="s">
        <v>918</v>
      </c>
      <c r="E19" s="66">
        <v>442.61</v>
      </c>
      <c r="F19" s="30">
        <v>23</v>
      </c>
      <c r="G19" s="66">
        <v>10180</v>
      </c>
      <c r="H19" s="66">
        <v>1448264.88</v>
      </c>
      <c r="I19" s="30">
        <v>85.04</v>
      </c>
      <c r="J19" s="30">
        <v>0.6</v>
      </c>
    </row>
    <row r="20" spans="1:10" ht="15" customHeight="1" x14ac:dyDescent="0.3">
      <c r="A20" s="90">
        <v>19</v>
      </c>
      <c r="B20" s="90" t="s">
        <v>1100</v>
      </c>
      <c r="C20" s="90" t="s">
        <v>1117</v>
      </c>
      <c r="D20" s="90" t="s">
        <v>918</v>
      </c>
      <c r="E20" s="66">
        <v>5005.6000000000004</v>
      </c>
      <c r="F20" s="30">
        <v>2</v>
      </c>
      <c r="G20" s="66">
        <v>10011.200000000001</v>
      </c>
      <c r="H20" s="66">
        <v>1458276.08</v>
      </c>
      <c r="I20" s="30">
        <v>85.63</v>
      </c>
      <c r="J20" s="30">
        <v>0.59</v>
      </c>
    </row>
    <row r="21" spans="1:10" ht="15" customHeight="1" x14ac:dyDescent="0.3">
      <c r="A21" s="90">
        <v>20</v>
      </c>
      <c r="B21" s="90" t="s">
        <v>1100</v>
      </c>
      <c r="C21" s="90" t="s">
        <v>1123</v>
      </c>
      <c r="D21" s="90" t="s">
        <v>918</v>
      </c>
      <c r="E21" s="66">
        <v>241.02</v>
      </c>
      <c r="F21" s="30">
        <v>41</v>
      </c>
      <c r="G21" s="66">
        <v>9881.9699999999993</v>
      </c>
      <c r="H21" s="66">
        <v>1468158.05</v>
      </c>
      <c r="I21" s="30">
        <v>86.21</v>
      </c>
      <c r="J21" s="30">
        <v>0.57999999999999996</v>
      </c>
    </row>
    <row r="22" spans="1:10" ht="15" customHeight="1" x14ac:dyDescent="0.3">
      <c r="A22" s="90">
        <v>21</v>
      </c>
      <c r="B22" s="90" t="s">
        <v>1100</v>
      </c>
      <c r="C22" s="90" t="s">
        <v>917</v>
      </c>
      <c r="D22" s="90" t="s">
        <v>918</v>
      </c>
      <c r="E22" s="66">
        <v>89.64</v>
      </c>
      <c r="F22" s="30">
        <v>110</v>
      </c>
      <c r="G22" s="66">
        <v>9860.5</v>
      </c>
      <c r="H22" s="66">
        <v>1478018.55</v>
      </c>
      <c r="I22" s="30">
        <v>86.79</v>
      </c>
      <c r="J22" s="30">
        <v>0.57999999999999996</v>
      </c>
    </row>
    <row r="23" spans="1:10" ht="15" customHeight="1" x14ac:dyDescent="0.3">
      <c r="A23" s="90">
        <v>22</v>
      </c>
      <c r="B23" s="90" t="s">
        <v>1100</v>
      </c>
      <c r="C23" s="90" t="s">
        <v>1119</v>
      </c>
      <c r="D23" s="90" t="s">
        <v>918</v>
      </c>
      <c r="E23" s="66">
        <v>250</v>
      </c>
      <c r="F23" s="30">
        <v>36</v>
      </c>
      <c r="G23" s="66">
        <v>9000</v>
      </c>
      <c r="H23" s="66">
        <v>1487018.55</v>
      </c>
      <c r="I23" s="30">
        <v>87.32</v>
      </c>
      <c r="J23" s="30">
        <v>0.53</v>
      </c>
    </row>
    <row r="24" spans="1:10" ht="15" customHeight="1" x14ac:dyDescent="0.3">
      <c r="A24" s="90">
        <v>23</v>
      </c>
      <c r="B24" s="90" t="s">
        <v>1100</v>
      </c>
      <c r="C24" s="90" t="s">
        <v>1120</v>
      </c>
      <c r="D24" s="90" t="s">
        <v>918</v>
      </c>
      <c r="E24" s="66">
        <v>1123.08</v>
      </c>
      <c r="F24" s="30">
        <v>8</v>
      </c>
      <c r="G24" s="66">
        <v>8984.6</v>
      </c>
      <c r="H24" s="66">
        <v>1496003.15</v>
      </c>
      <c r="I24" s="30">
        <v>87.84</v>
      </c>
      <c r="J24" s="30">
        <v>0.53</v>
      </c>
    </row>
    <row r="25" spans="1:10" ht="15" customHeight="1" x14ac:dyDescent="0.3">
      <c r="A25" s="90">
        <v>24</v>
      </c>
      <c r="B25" s="90" t="s">
        <v>1100</v>
      </c>
      <c r="C25" s="90" t="s">
        <v>1124</v>
      </c>
      <c r="D25" s="90" t="s">
        <v>1107</v>
      </c>
      <c r="E25" s="66">
        <v>10.55</v>
      </c>
      <c r="F25" s="30">
        <v>795.63</v>
      </c>
      <c r="G25" s="66">
        <v>8397.2800000000007</v>
      </c>
      <c r="H25" s="66">
        <v>1504400.43</v>
      </c>
      <c r="I25" s="30">
        <v>88.34</v>
      </c>
      <c r="J25" s="30">
        <v>0.49</v>
      </c>
    </row>
    <row r="26" spans="1:10" ht="15" customHeight="1" x14ac:dyDescent="0.3">
      <c r="A26" s="90">
        <v>25</v>
      </c>
      <c r="B26" s="90" t="s">
        <v>1100</v>
      </c>
      <c r="C26" s="90" t="s">
        <v>1121</v>
      </c>
      <c r="D26" s="90" t="s">
        <v>918</v>
      </c>
      <c r="E26" s="66">
        <v>41.38</v>
      </c>
      <c r="F26" s="30">
        <v>200</v>
      </c>
      <c r="G26" s="66">
        <v>8276</v>
      </c>
      <c r="H26" s="66">
        <v>1512676.43</v>
      </c>
      <c r="I26" s="30">
        <v>88.82</v>
      </c>
      <c r="J26" s="30">
        <v>0.49</v>
      </c>
    </row>
    <row r="27" spans="1:10" ht="15" customHeight="1" x14ac:dyDescent="0.3">
      <c r="A27" s="90">
        <v>26</v>
      </c>
      <c r="B27" s="90" t="s">
        <v>1100</v>
      </c>
      <c r="C27" s="90" t="s">
        <v>1122</v>
      </c>
      <c r="D27" s="90" t="s">
        <v>918</v>
      </c>
      <c r="E27" s="66">
        <v>8000</v>
      </c>
      <c r="F27" s="30">
        <v>1</v>
      </c>
      <c r="G27" s="66">
        <v>8000</v>
      </c>
      <c r="H27" s="66">
        <v>1520676.43</v>
      </c>
      <c r="I27" s="30">
        <v>89.29</v>
      </c>
      <c r="J27" s="30">
        <v>0.47</v>
      </c>
    </row>
    <row r="28" spans="1:10" ht="15" customHeight="1" x14ac:dyDescent="0.3">
      <c r="A28" s="90">
        <v>27</v>
      </c>
      <c r="B28" s="90" t="s">
        <v>1100</v>
      </c>
      <c r="C28" s="90" t="s">
        <v>1129</v>
      </c>
      <c r="D28" s="90" t="s">
        <v>1130</v>
      </c>
      <c r="E28" s="66">
        <v>865.85</v>
      </c>
      <c r="F28" s="30">
        <v>7</v>
      </c>
      <c r="G28" s="66">
        <v>6060.96</v>
      </c>
      <c r="H28" s="66">
        <v>1526737.39</v>
      </c>
      <c r="I28" s="30">
        <v>89.65</v>
      </c>
      <c r="J28" s="30">
        <v>0.36</v>
      </c>
    </row>
    <row r="29" spans="1:10" ht="15" customHeight="1" x14ac:dyDescent="0.3">
      <c r="A29" s="90">
        <v>28</v>
      </c>
      <c r="B29" s="90" t="s">
        <v>1100</v>
      </c>
      <c r="C29" s="90" t="s">
        <v>1127</v>
      </c>
      <c r="D29" s="90" t="s">
        <v>918</v>
      </c>
      <c r="E29" s="66">
        <v>5500</v>
      </c>
      <c r="F29" s="30">
        <v>1</v>
      </c>
      <c r="G29" s="66">
        <v>5500</v>
      </c>
      <c r="H29" s="66">
        <v>1532237.39</v>
      </c>
      <c r="I29" s="30">
        <v>89.97</v>
      </c>
      <c r="J29" s="30">
        <v>0.32</v>
      </c>
    </row>
    <row r="30" spans="1:10" ht="15" customHeight="1" x14ac:dyDescent="0.3">
      <c r="A30" s="90">
        <v>29</v>
      </c>
      <c r="B30" s="90" t="s">
        <v>1100</v>
      </c>
      <c r="C30" s="90" t="s">
        <v>1128</v>
      </c>
      <c r="D30" s="90" t="s">
        <v>918</v>
      </c>
      <c r="E30" s="66">
        <v>5500</v>
      </c>
      <c r="F30" s="30">
        <v>1</v>
      </c>
      <c r="G30" s="66">
        <v>5500</v>
      </c>
      <c r="H30" s="66">
        <v>1537737.39</v>
      </c>
      <c r="I30" s="30">
        <v>90.29</v>
      </c>
      <c r="J30" s="30">
        <v>0.32</v>
      </c>
    </row>
    <row r="31" spans="1:10" ht="15" customHeight="1" x14ac:dyDescent="0.3">
      <c r="A31" s="90">
        <v>30</v>
      </c>
      <c r="B31" s="90" t="s">
        <v>1100</v>
      </c>
      <c r="C31" s="90" t="s">
        <v>1131</v>
      </c>
      <c r="D31" s="90" t="s">
        <v>918</v>
      </c>
      <c r="E31" s="66">
        <v>5220.42</v>
      </c>
      <c r="F31" s="30">
        <v>1</v>
      </c>
      <c r="G31" s="66">
        <v>5220.42</v>
      </c>
      <c r="H31" s="66">
        <v>1542957.81</v>
      </c>
      <c r="I31" s="30">
        <v>90.6</v>
      </c>
      <c r="J31" s="30">
        <v>0.31</v>
      </c>
    </row>
    <row r="32" spans="1:10" ht="15" customHeight="1" x14ac:dyDescent="0.3">
      <c r="A32" s="90">
        <v>31</v>
      </c>
      <c r="B32" s="90" t="s">
        <v>1100</v>
      </c>
      <c r="C32" s="90" t="s">
        <v>1060</v>
      </c>
      <c r="D32" s="90" t="s">
        <v>918</v>
      </c>
      <c r="E32" s="66">
        <v>24.48</v>
      </c>
      <c r="F32" s="30">
        <v>213</v>
      </c>
      <c r="G32" s="66">
        <v>5214</v>
      </c>
      <c r="H32" s="66">
        <v>1548171.81</v>
      </c>
      <c r="I32" s="30">
        <v>90.91</v>
      </c>
      <c r="J32" s="30">
        <v>0.31</v>
      </c>
    </row>
    <row r="33" spans="1:10" ht="15" customHeight="1" x14ac:dyDescent="0.3">
      <c r="A33" s="90">
        <v>32</v>
      </c>
      <c r="B33" s="90" t="s">
        <v>1100</v>
      </c>
      <c r="C33" s="90" t="s">
        <v>1137</v>
      </c>
      <c r="D33" s="90" t="s">
        <v>1107</v>
      </c>
      <c r="E33" s="66">
        <v>7.63</v>
      </c>
      <c r="F33" s="30">
        <v>663.93</v>
      </c>
      <c r="G33" s="66">
        <v>5064.2700000000004</v>
      </c>
      <c r="H33" s="66">
        <v>1553236.08</v>
      </c>
      <c r="I33" s="30">
        <v>91.2</v>
      </c>
      <c r="J33" s="30">
        <v>0.3</v>
      </c>
    </row>
    <row r="34" spans="1:10" ht="15" customHeight="1" x14ac:dyDescent="0.3">
      <c r="A34" s="90">
        <v>33</v>
      </c>
      <c r="B34" s="90" t="s">
        <v>1100</v>
      </c>
      <c r="C34" s="90" t="s">
        <v>1133</v>
      </c>
      <c r="D34" s="90" t="s">
        <v>918</v>
      </c>
      <c r="E34" s="66">
        <v>384.69</v>
      </c>
      <c r="F34" s="30">
        <v>13</v>
      </c>
      <c r="G34" s="66">
        <v>5000.92</v>
      </c>
      <c r="H34" s="66">
        <v>1558237</v>
      </c>
      <c r="I34" s="30">
        <v>91.5</v>
      </c>
      <c r="J34" s="30">
        <v>0.28999999999999998</v>
      </c>
    </row>
    <row r="35" spans="1:10" ht="15" customHeight="1" x14ac:dyDescent="0.3">
      <c r="A35" s="90">
        <v>34</v>
      </c>
      <c r="B35" s="90" t="s">
        <v>1100</v>
      </c>
      <c r="C35" s="90" t="s">
        <v>1132</v>
      </c>
      <c r="D35" s="90" t="s">
        <v>918</v>
      </c>
      <c r="E35" s="66">
        <v>5000</v>
      </c>
      <c r="F35" s="30">
        <v>1</v>
      </c>
      <c r="G35" s="66">
        <v>5000</v>
      </c>
      <c r="H35" s="66">
        <v>1563237</v>
      </c>
      <c r="I35" s="30">
        <v>91.79</v>
      </c>
      <c r="J35" s="30">
        <v>0.28999999999999998</v>
      </c>
    </row>
    <row r="36" spans="1:10" ht="15" customHeight="1" x14ac:dyDescent="0.3">
      <c r="A36" s="90">
        <v>35</v>
      </c>
      <c r="B36" s="90" t="s">
        <v>1100</v>
      </c>
      <c r="C36" s="90" t="s">
        <v>1134</v>
      </c>
      <c r="D36" s="90" t="s">
        <v>1115</v>
      </c>
      <c r="E36" s="66">
        <v>137</v>
      </c>
      <c r="F36" s="30">
        <v>35</v>
      </c>
      <c r="G36" s="66">
        <v>4795</v>
      </c>
      <c r="H36" s="66">
        <v>1568032</v>
      </c>
      <c r="I36" s="30">
        <v>92.07</v>
      </c>
      <c r="J36" s="30">
        <v>0.28000000000000003</v>
      </c>
    </row>
    <row r="37" spans="1:10" ht="15" customHeight="1" x14ac:dyDescent="0.3">
      <c r="A37" s="90">
        <v>36</v>
      </c>
      <c r="B37" s="90" t="s">
        <v>1100</v>
      </c>
      <c r="C37" s="90" t="s">
        <v>925</v>
      </c>
      <c r="D37" s="90" t="s">
        <v>918</v>
      </c>
      <c r="E37" s="66">
        <v>52.63</v>
      </c>
      <c r="F37" s="30">
        <v>77</v>
      </c>
      <c r="G37" s="66">
        <v>4052.82</v>
      </c>
      <c r="H37" s="66">
        <v>1572084.82</v>
      </c>
      <c r="I37" s="30">
        <v>92.31</v>
      </c>
      <c r="J37" s="30">
        <v>0.24</v>
      </c>
    </row>
    <row r="38" spans="1:10" ht="15" customHeight="1" x14ac:dyDescent="0.3">
      <c r="A38" s="90">
        <v>37</v>
      </c>
      <c r="B38" s="90" t="s">
        <v>1100</v>
      </c>
      <c r="C38" s="90" t="s">
        <v>1135</v>
      </c>
      <c r="D38" s="90" t="s">
        <v>918</v>
      </c>
      <c r="E38" s="66">
        <v>98.14</v>
      </c>
      <c r="F38" s="30">
        <v>40</v>
      </c>
      <c r="G38" s="66">
        <v>3925.64</v>
      </c>
      <c r="H38" s="66">
        <v>1576010.46</v>
      </c>
      <c r="I38" s="30">
        <v>92.54</v>
      </c>
      <c r="J38" s="30">
        <v>0.23</v>
      </c>
    </row>
    <row r="39" spans="1:10" ht="15" customHeight="1" x14ac:dyDescent="0.3">
      <c r="A39" s="90">
        <v>38</v>
      </c>
      <c r="B39" s="90" t="s">
        <v>1100</v>
      </c>
      <c r="C39" s="90" t="s">
        <v>921</v>
      </c>
      <c r="D39" s="90" t="s">
        <v>918</v>
      </c>
      <c r="E39" s="66">
        <v>69.06</v>
      </c>
      <c r="F39" s="30">
        <v>55</v>
      </c>
      <c r="G39" s="66">
        <v>3798.52</v>
      </c>
      <c r="H39" s="66">
        <v>1579808.98</v>
      </c>
      <c r="I39" s="30">
        <v>92.76</v>
      </c>
      <c r="J39" s="30">
        <v>0.22</v>
      </c>
    </row>
    <row r="40" spans="1:10" ht="15" customHeight="1" x14ac:dyDescent="0.3">
      <c r="A40" s="90">
        <v>39</v>
      </c>
      <c r="B40" s="90" t="s">
        <v>1100</v>
      </c>
      <c r="C40" s="90" t="s">
        <v>934</v>
      </c>
      <c r="D40" s="90" t="s">
        <v>918</v>
      </c>
      <c r="E40" s="66">
        <v>121.7</v>
      </c>
      <c r="F40" s="30">
        <v>30</v>
      </c>
      <c r="G40" s="66">
        <v>3651.02</v>
      </c>
      <c r="H40" s="66">
        <v>1583460</v>
      </c>
      <c r="I40" s="30">
        <v>92.98</v>
      </c>
      <c r="J40" s="30">
        <v>0.21</v>
      </c>
    </row>
    <row r="41" spans="1:10" ht="15" customHeight="1" x14ac:dyDescent="0.3">
      <c r="A41" s="90">
        <v>40</v>
      </c>
      <c r="B41" s="90" t="s">
        <v>1100</v>
      </c>
      <c r="C41" s="90" t="s">
        <v>1136</v>
      </c>
      <c r="D41" s="90" t="s">
        <v>918</v>
      </c>
      <c r="E41" s="66">
        <v>1206.33</v>
      </c>
      <c r="F41" s="30">
        <v>3</v>
      </c>
      <c r="G41" s="66">
        <v>3619</v>
      </c>
      <c r="H41" s="66">
        <v>1587079</v>
      </c>
      <c r="I41" s="30">
        <v>93.19</v>
      </c>
      <c r="J41" s="30">
        <v>0.21</v>
      </c>
    </row>
    <row r="42" spans="1:10" ht="15" customHeight="1" x14ac:dyDescent="0.3">
      <c r="A42" s="90">
        <v>41</v>
      </c>
      <c r="B42" s="90" t="s">
        <v>1100</v>
      </c>
      <c r="C42" s="90" t="s">
        <v>2319</v>
      </c>
      <c r="D42" s="90" t="s">
        <v>918</v>
      </c>
      <c r="E42" s="66">
        <v>175</v>
      </c>
      <c r="F42" s="30">
        <v>20</v>
      </c>
      <c r="G42" s="66">
        <v>3500</v>
      </c>
      <c r="H42" s="66">
        <v>1590579</v>
      </c>
      <c r="I42" s="30">
        <v>93.4</v>
      </c>
      <c r="J42" s="30">
        <v>0.21</v>
      </c>
    </row>
    <row r="43" spans="1:10" ht="15" customHeight="1" x14ac:dyDescent="0.3">
      <c r="A43" s="90">
        <v>42</v>
      </c>
      <c r="B43" s="90" t="s">
        <v>1100</v>
      </c>
      <c r="C43" s="90" t="s">
        <v>1149</v>
      </c>
      <c r="D43" s="90" t="s">
        <v>918</v>
      </c>
      <c r="E43" s="66">
        <v>577.41999999999996</v>
      </c>
      <c r="F43" s="30">
        <v>6</v>
      </c>
      <c r="G43" s="66">
        <v>3464.53</v>
      </c>
      <c r="H43" s="66">
        <v>1594043.53</v>
      </c>
      <c r="I43" s="30">
        <v>93.6</v>
      </c>
      <c r="J43" s="30">
        <v>0.2</v>
      </c>
    </row>
    <row r="44" spans="1:10" ht="15" customHeight="1" x14ac:dyDescent="0.3">
      <c r="A44" s="90">
        <v>43</v>
      </c>
      <c r="B44" s="90" t="s">
        <v>1100</v>
      </c>
      <c r="C44" s="90" t="s">
        <v>1138</v>
      </c>
      <c r="D44" s="90" t="s">
        <v>918</v>
      </c>
      <c r="E44" s="66">
        <v>1650</v>
      </c>
      <c r="F44" s="30">
        <v>2</v>
      </c>
      <c r="G44" s="66">
        <v>3300</v>
      </c>
      <c r="H44" s="66">
        <v>1597343.53</v>
      </c>
      <c r="I44" s="30">
        <v>93.79</v>
      </c>
      <c r="J44" s="30">
        <v>0.19</v>
      </c>
    </row>
    <row r="45" spans="1:10" ht="15" customHeight="1" x14ac:dyDescent="0.3">
      <c r="A45" s="90">
        <v>44</v>
      </c>
      <c r="B45" s="90" t="s">
        <v>1100</v>
      </c>
      <c r="C45" s="90" t="s">
        <v>1139</v>
      </c>
      <c r="D45" s="90" t="s">
        <v>918</v>
      </c>
      <c r="E45" s="66">
        <v>3298.31</v>
      </c>
      <c r="F45" s="30">
        <v>1</v>
      </c>
      <c r="G45" s="66">
        <v>3298.31</v>
      </c>
      <c r="H45" s="66">
        <v>1600641.84</v>
      </c>
      <c r="I45" s="30">
        <v>93.99</v>
      </c>
      <c r="J45" s="30">
        <v>0.19</v>
      </c>
    </row>
    <row r="46" spans="1:10" ht="15" customHeight="1" x14ac:dyDescent="0.3">
      <c r="A46" s="90">
        <v>45</v>
      </c>
      <c r="B46" s="90" t="s">
        <v>1100</v>
      </c>
      <c r="C46" s="90" t="s">
        <v>1143</v>
      </c>
      <c r="D46" s="90" t="s">
        <v>1107</v>
      </c>
      <c r="E46" s="66">
        <v>4.46</v>
      </c>
      <c r="F46" s="30">
        <v>675.73</v>
      </c>
      <c r="G46" s="66">
        <v>3011.19</v>
      </c>
      <c r="H46" s="66">
        <v>1603653.03</v>
      </c>
      <c r="I46" s="30">
        <v>94.16</v>
      </c>
      <c r="J46" s="30">
        <v>0.18</v>
      </c>
    </row>
    <row r="47" spans="1:10" ht="15" customHeight="1" x14ac:dyDescent="0.3">
      <c r="A47" s="90">
        <v>46</v>
      </c>
      <c r="B47" s="90" t="s">
        <v>1100</v>
      </c>
      <c r="C47" s="90" t="s">
        <v>1039</v>
      </c>
      <c r="D47" s="90" t="s">
        <v>918</v>
      </c>
      <c r="E47" s="66">
        <v>2965</v>
      </c>
      <c r="F47" s="30">
        <v>1</v>
      </c>
      <c r="G47" s="66">
        <v>2965</v>
      </c>
      <c r="H47" s="66">
        <v>1606618.03</v>
      </c>
      <c r="I47" s="30">
        <v>94.34</v>
      </c>
      <c r="J47" s="30">
        <v>0.17</v>
      </c>
    </row>
    <row r="48" spans="1:10" ht="15" customHeight="1" x14ac:dyDescent="0.3">
      <c r="A48" s="90">
        <v>47</v>
      </c>
      <c r="B48" s="90" t="s">
        <v>1100</v>
      </c>
      <c r="C48" s="90" t="s">
        <v>1140</v>
      </c>
      <c r="D48" s="90" t="s">
        <v>918</v>
      </c>
      <c r="E48" s="66">
        <v>83.36</v>
      </c>
      <c r="F48" s="30">
        <v>31</v>
      </c>
      <c r="G48" s="66">
        <v>2584.31</v>
      </c>
      <c r="H48" s="66">
        <v>1609202.34</v>
      </c>
      <c r="I48" s="30">
        <v>94.49</v>
      </c>
      <c r="J48" s="30">
        <v>0.15</v>
      </c>
    </row>
    <row r="49" spans="1:10" ht="15" customHeight="1" x14ac:dyDescent="0.3">
      <c r="A49" s="90">
        <v>48</v>
      </c>
      <c r="B49" s="90" t="s">
        <v>1100</v>
      </c>
      <c r="C49" s="90" t="s">
        <v>1518</v>
      </c>
      <c r="D49" s="90" t="s">
        <v>918</v>
      </c>
      <c r="E49" s="66">
        <v>105.77</v>
      </c>
      <c r="F49" s="30">
        <v>23</v>
      </c>
      <c r="G49" s="66">
        <v>2432.71</v>
      </c>
      <c r="H49" s="66">
        <v>1611635.05</v>
      </c>
      <c r="I49" s="30">
        <v>94.63</v>
      </c>
      <c r="J49" s="30">
        <v>0.14000000000000001</v>
      </c>
    </row>
    <row r="50" spans="1:10" ht="15" customHeight="1" x14ac:dyDescent="0.3">
      <c r="A50" s="90">
        <v>49</v>
      </c>
      <c r="B50" s="90" t="s">
        <v>1100</v>
      </c>
      <c r="C50" s="90" t="s">
        <v>1150</v>
      </c>
      <c r="D50" s="90" t="s">
        <v>918</v>
      </c>
      <c r="E50" s="66">
        <v>330.3</v>
      </c>
      <c r="F50" s="30">
        <v>7</v>
      </c>
      <c r="G50" s="66">
        <v>2312.1</v>
      </c>
      <c r="H50" s="66">
        <v>1613947.15</v>
      </c>
      <c r="I50" s="30">
        <v>94.77</v>
      </c>
      <c r="J50" s="30">
        <v>0.14000000000000001</v>
      </c>
    </row>
    <row r="51" spans="1:10" ht="15" customHeight="1" x14ac:dyDescent="0.3">
      <c r="A51" s="90">
        <v>50</v>
      </c>
      <c r="B51" s="90" t="s">
        <v>1100</v>
      </c>
      <c r="C51" s="90" t="s">
        <v>1141</v>
      </c>
      <c r="D51" s="90" t="s">
        <v>918</v>
      </c>
      <c r="E51" s="66">
        <v>383.48</v>
      </c>
      <c r="F51" s="30">
        <v>6</v>
      </c>
      <c r="G51" s="66">
        <v>2300.88</v>
      </c>
      <c r="H51" s="66">
        <v>1616248.03</v>
      </c>
      <c r="I51" s="30">
        <v>94.9</v>
      </c>
      <c r="J51" s="30">
        <v>0.14000000000000001</v>
      </c>
    </row>
    <row r="52" spans="1:10" ht="15" customHeight="1" x14ac:dyDescent="0.3">
      <c r="A52" s="90">
        <v>51</v>
      </c>
      <c r="B52" s="90" t="s">
        <v>1100</v>
      </c>
      <c r="C52" s="90" t="s">
        <v>1142</v>
      </c>
      <c r="D52" s="90" t="s">
        <v>918</v>
      </c>
      <c r="E52" s="66">
        <v>2229</v>
      </c>
      <c r="F52" s="30">
        <v>1</v>
      </c>
      <c r="G52" s="66">
        <v>2229</v>
      </c>
      <c r="H52" s="66">
        <v>1618477.03</v>
      </c>
      <c r="I52" s="30">
        <v>95.03</v>
      </c>
      <c r="J52" s="30">
        <v>0.13</v>
      </c>
    </row>
    <row r="53" spans="1:10" ht="15" customHeight="1" x14ac:dyDescent="0.3">
      <c r="A53" s="90">
        <v>52</v>
      </c>
      <c r="B53" s="90" t="s">
        <v>1100</v>
      </c>
      <c r="C53" s="90" t="s">
        <v>927</v>
      </c>
      <c r="D53" s="90" t="s">
        <v>918</v>
      </c>
      <c r="E53" s="66">
        <v>64.27</v>
      </c>
      <c r="F53" s="30">
        <v>32</v>
      </c>
      <c r="G53" s="66">
        <v>2056.61</v>
      </c>
      <c r="H53" s="66">
        <v>1620533.64</v>
      </c>
      <c r="I53" s="30">
        <v>95.16</v>
      </c>
      <c r="J53" s="30">
        <v>0.12</v>
      </c>
    </row>
    <row r="54" spans="1:10" ht="15" customHeight="1" x14ac:dyDescent="0.3">
      <c r="A54" s="90">
        <v>53</v>
      </c>
      <c r="B54" s="90" t="s">
        <v>1100</v>
      </c>
      <c r="C54" s="90" t="s">
        <v>1144</v>
      </c>
      <c r="D54" s="90" t="s">
        <v>918</v>
      </c>
      <c r="E54" s="66">
        <v>5.12</v>
      </c>
      <c r="F54" s="30">
        <v>400</v>
      </c>
      <c r="G54" s="66">
        <v>2048</v>
      </c>
      <c r="H54" s="66">
        <v>1622581.64</v>
      </c>
      <c r="I54" s="30">
        <v>95.28</v>
      </c>
      <c r="J54" s="30">
        <v>0.12</v>
      </c>
    </row>
    <row r="55" spans="1:10" ht="15" customHeight="1" x14ac:dyDescent="0.3">
      <c r="A55" s="90">
        <v>54</v>
      </c>
      <c r="B55" s="90" t="s">
        <v>1100</v>
      </c>
      <c r="C55" s="90" t="s">
        <v>1145</v>
      </c>
      <c r="D55" s="90" t="s">
        <v>1146</v>
      </c>
      <c r="E55" s="66">
        <v>95.73</v>
      </c>
      <c r="F55" s="30">
        <v>20</v>
      </c>
      <c r="G55" s="66">
        <v>1914.56</v>
      </c>
      <c r="H55" s="66">
        <v>1624496.2</v>
      </c>
      <c r="I55" s="30">
        <v>95.39</v>
      </c>
      <c r="J55" s="30">
        <v>0.11</v>
      </c>
    </row>
    <row r="56" spans="1:10" ht="15" customHeight="1" x14ac:dyDescent="0.3">
      <c r="A56" s="90">
        <v>55</v>
      </c>
      <c r="B56" s="90" t="s">
        <v>1100</v>
      </c>
      <c r="C56" s="90" t="s">
        <v>1147</v>
      </c>
      <c r="D56" s="90" t="s">
        <v>918</v>
      </c>
      <c r="E56" s="66">
        <v>1793</v>
      </c>
      <c r="F56" s="30">
        <v>1</v>
      </c>
      <c r="G56" s="66">
        <v>1793</v>
      </c>
      <c r="H56" s="66">
        <v>1626289.2</v>
      </c>
      <c r="I56" s="30">
        <v>95.49</v>
      </c>
      <c r="J56" s="30">
        <v>0.11</v>
      </c>
    </row>
    <row r="57" spans="1:10" ht="15" customHeight="1" x14ac:dyDescent="0.3">
      <c r="A57" s="90">
        <v>56</v>
      </c>
      <c r="B57" s="90" t="s">
        <v>1100</v>
      </c>
      <c r="C57" s="90" t="s">
        <v>967</v>
      </c>
      <c r="D57" s="90" t="s">
        <v>918</v>
      </c>
      <c r="E57" s="66">
        <v>854</v>
      </c>
      <c r="F57" s="30">
        <v>2</v>
      </c>
      <c r="G57" s="66">
        <v>1708</v>
      </c>
      <c r="H57" s="66">
        <v>1627997.2</v>
      </c>
      <c r="I57" s="30">
        <v>95.59</v>
      </c>
      <c r="J57" s="30">
        <v>0.1</v>
      </c>
    </row>
    <row r="58" spans="1:10" ht="15" customHeight="1" x14ac:dyDescent="0.3">
      <c r="A58" s="90">
        <v>57</v>
      </c>
      <c r="B58" s="90" t="s">
        <v>1100</v>
      </c>
      <c r="C58" s="90" t="s">
        <v>1151</v>
      </c>
      <c r="D58" s="90" t="s">
        <v>918</v>
      </c>
      <c r="E58" s="66">
        <v>400</v>
      </c>
      <c r="F58" s="30">
        <v>4</v>
      </c>
      <c r="G58" s="66">
        <v>1600</v>
      </c>
      <c r="H58" s="66">
        <v>1629597.2</v>
      </c>
      <c r="I58" s="30">
        <v>95.69</v>
      </c>
      <c r="J58" s="30">
        <v>0.09</v>
      </c>
    </row>
    <row r="59" spans="1:10" ht="15" customHeight="1" x14ac:dyDescent="0.3">
      <c r="A59" s="90">
        <v>58</v>
      </c>
      <c r="B59" s="90" t="s">
        <v>1100</v>
      </c>
      <c r="C59" s="90" t="s">
        <v>991</v>
      </c>
      <c r="D59" s="90" t="s">
        <v>918</v>
      </c>
      <c r="E59" s="66">
        <v>395</v>
      </c>
      <c r="F59" s="30">
        <v>4</v>
      </c>
      <c r="G59" s="66">
        <v>1580</v>
      </c>
      <c r="H59" s="66">
        <v>1631177.2</v>
      </c>
      <c r="I59" s="30">
        <v>95.78</v>
      </c>
      <c r="J59" s="30">
        <v>0.09</v>
      </c>
    </row>
    <row r="60" spans="1:10" ht="15" customHeight="1" x14ac:dyDescent="0.3">
      <c r="A60" s="90">
        <v>59</v>
      </c>
      <c r="B60" s="90" t="s">
        <v>1100</v>
      </c>
      <c r="C60" s="90" t="s">
        <v>1152</v>
      </c>
      <c r="D60" s="90" t="s">
        <v>918</v>
      </c>
      <c r="E60" s="66">
        <v>309.60000000000002</v>
      </c>
      <c r="F60" s="30">
        <v>5</v>
      </c>
      <c r="G60" s="66">
        <v>1548</v>
      </c>
      <c r="H60" s="66">
        <v>1632725.2</v>
      </c>
      <c r="I60" s="30">
        <v>95.87</v>
      </c>
      <c r="J60" s="30">
        <v>0.09</v>
      </c>
    </row>
    <row r="61" spans="1:10" ht="15" customHeight="1" x14ac:dyDescent="0.3">
      <c r="A61" s="90">
        <v>60</v>
      </c>
      <c r="B61" s="90" t="s">
        <v>1100</v>
      </c>
      <c r="C61" s="90" t="s">
        <v>1519</v>
      </c>
      <c r="D61" s="90" t="s">
        <v>918</v>
      </c>
      <c r="E61" s="66">
        <v>1539</v>
      </c>
      <c r="F61" s="30">
        <v>1</v>
      </c>
      <c r="G61" s="66">
        <v>1539</v>
      </c>
      <c r="H61" s="66">
        <v>1634264.2</v>
      </c>
      <c r="I61" s="30">
        <v>95.96</v>
      </c>
      <c r="J61" s="30">
        <v>0.09</v>
      </c>
    </row>
    <row r="62" spans="1:10" ht="15" customHeight="1" x14ac:dyDescent="0.3">
      <c r="A62" s="90">
        <v>61</v>
      </c>
      <c r="B62" s="90" t="s">
        <v>1100</v>
      </c>
      <c r="C62" s="90" t="s">
        <v>1153</v>
      </c>
      <c r="D62" s="90" t="s">
        <v>918</v>
      </c>
      <c r="E62" s="66">
        <v>1400</v>
      </c>
      <c r="F62" s="30">
        <v>1</v>
      </c>
      <c r="G62" s="66">
        <v>1400</v>
      </c>
      <c r="H62" s="66">
        <v>1635664.2</v>
      </c>
      <c r="I62" s="30">
        <v>96.04</v>
      </c>
      <c r="J62" s="30">
        <v>0.08</v>
      </c>
    </row>
    <row r="63" spans="1:10" ht="15" customHeight="1" x14ac:dyDescent="0.3">
      <c r="A63" s="90">
        <v>62</v>
      </c>
      <c r="B63" s="90" t="s">
        <v>1100</v>
      </c>
      <c r="C63" s="90" t="s">
        <v>1520</v>
      </c>
      <c r="D63" s="90" t="s">
        <v>918</v>
      </c>
      <c r="E63" s="66">
        <v>43.64</v>
      </c>
      <c r="F63" s="30">
        <v>32</v>
      </c>
      <c r="G63" s="66">
        <v>1396.5</v>
      </c>
      <c r="H63" s="66">
        <v>1637060.7</v>
      </c>
      <c r="I63" s="30">
        <v>96.13</v>
      </c>
      <c r="J63" s="30">
        <v>0.08</v>
      </c>
    </row>
    <row r="64" spans="1:10" ht="15" customHeight="1" x14ac:dyDescent="0.3">
      <c r="A64" s="90">
        <v>63</v>
      </c>
      <c r="B64" s="90" t="s">
        <v>1100</v>
      </c>
      <c r="C64" s="90" t="s">
        <v>1156</v>
      </c>
      <c r="D64" s="90" t="s">
        <v>918</v>
      </c>
      <c r="E64" s="66">
        <v>190</v>
      </c>
      <c r="F64" s="30">
        <v>7</v>
      </c>
      <c r="G64" s="66">
        <v>1330</v>
      </c>
      <c r="H64" s="66">
        <v>1638390.7</v>
      </c>
      <c r="I64" s="30">
        <v>96.2</v>
      </c>
      <c r="J64" s="30">
        <v>0.08</v>
      </c>
    </row>
    <row r="65" spans="1:10" ht="15" customHeight="1" x14ac:dyDescent="0.3">
      <c r="A65" s="90">
        <v>64</v>
      </c>
      <c r="B65" s="90" t="s">
        <v>1100</v>
      </c>
      <c r="C65" s="90" t="s">
        <v>1512</v>
      </c>
      <c r="D65" s="90" t="s">
        <v>918</v>
      </c>
      <c r="E65" s="66">
        <v>125</v>
      </c>
      <c r="F65" s="30">
        <v>10</v>
      </c>
      <c r="G65" s="66">
        <v>1250</v>
      </c>
      <c r="H65" s="66">
        <v>1639640.7</v>
      </c>
      <c r="I65" s="30">
        <v>96.28</v>
      </c>
      <c r="J65" s="30">
        <v>7.0000000000000007E-2</v>
      </c>
    </row>
    <row r="66" spans="1:10" ht="15" customHeight="1" x14ac:dyDescent="0.3">
      <c r="A66" s="90">
        <v>65</v>
      </c>
      <c r="B66" s="90" t="s">
        <v>1100</v>
      </c>
      <c r="C66" s="90" t="s">
        <v>1166</v>
      </c>
      <c r="D66" s="90" t="s">
        <v>918</v>
      </c>
      <c r="E66" s="66">
        <v>415</v>
      </c>
      <c r="F66" s="30">
        <v>3</v>
      </c>
      <c r="G66" s="66">
        <v>1245</v>
      </c>
      <c r="H66" s="66">
        <v>1640885.7</v>
      </c>
      <c r="I66" s="30">
        <v>96.35</v>
      </c>
      <c r="J66" s="30">
        <v>7.0000000000000007E-2</v>
      </c>
    </row>
    <row r="67" spans="1:10" ht="15" customHeight="1" x14ac:dyDescent="0.3">
      <c r="A67" s="90">
        <v>66</v>
      </c>
      <c r="B67" s="90" t="s">
        <v>1100</v>
      </c>
      <c r="C67" s="90" t="s">
        <v>1154</v>
      </c>
      <c r="D67" s="90" t="s">
        <v>1146</v>
      </c>
      <c r="E67" s="66">
        <v>201.85</v>
      </c>
      <c r="F67" s="30">
        <v>6</v>
      </c>
      <c r="G67" s="66">
        <v>1211.0999999999999</v>
      </c>
      <c r="H67" s="66">
        <v>1642096.8</v>
      </c>
      <c r="I67" s="30">
        <v>96.42</v>
      </c>
      <c r="J67" s="30">
        <v>7.0000000000000007E-2</v>
      </c>
    </row>
    <row r="68" spans="1:10" ht="15" customHeight="1" x14ac:dyDescent="0.3">
      <c r="A68" s="90">
        <v>67</v>
      </c>
      <c r="B68" s="90" t="s">
        <v>1157</v>
      </c>
      <c r="C68" s="90" t="s">
        <v>1155</v>
      </c>
      <c r="D68" s="90" t="s">
        <v>918</v>
      </c>
      <c r="E68" s="66">
        <v>400</v>
      </c>
      <c r="F68" s="30">
        <v>3</v>
      </c>
      <c r="G68" s="66">
        <v>1200</v>
      </c>
      <c r="H68" s="66">
        <v>1643296.8</v>
      </c>
      <c r="I68" s="30">
        <v>96.49</v>
      </c>
      <c r="J68" s="30">
        <v>7.0000000000000007E-2</v>
      </c>
    </row>
    <row r="69" spans="1:10" ht="15" customHeight="1" x14ac:dyDescent="0.3">
      <c r="A69" s="90">
        <v>68</v>
      </c>
      <c r="B69" s="90" t="s">
        <v>1157</v>
      </c>
      <c r="C69" s="90" t="s">
        <v>1162</v>
      </c>
      <c r="D69" s="90" t="s">
        <v>1107</v>
      </c>
      <c r="E69" s="66">
        <v>133.33000000000001</v>
      </c>
      <c r="F69" s="30">
        <v>9</v>
      </c>
      <c r="G69" s="66">
        <v>1200</v>
      </c>
      <c r="H69" s="66">
        <v>1644496.8</v>
      </c>
      <c r="I69" s="30">
        <v>96.56</v>
      </c>
      <c r="J69" s="30">
        <v>7.0000000000000007E-2</v>
      </c>
    </row>
    <row r="70" spans="1:10" ht="15" customHeight="1" x14ac:dyDescent="0.3">
      <c r="A70" s="90">
        <v>69</v>
      </c>
      <c r="B70" s="90" t="s">
        <v>1157</v>
      </c>
      <c r="C70" s="90" t="s">
        <v>1158</v>
      </c>
      <c r="D70" s="90" t="s">
        <v>918</v>
      </c>
      <c r="E70" s="66">
        <v>122</v>
      </c>
      <c r="F70" s="30">
        <v>9</v>
      </c>
      <c r="G70" s="66">
        <v>1098</v>
      </c>
      <c r="H70" s="66">
        <v>1645594.8</v>
      </c>
      <c r="I70" s="30">
        <v>96.63</v>
      </c>
      <c r="J70" s="30">
        <v>0.06</v>
      </c>
    </row>
    <row r="71" spans="1:10" ht="15" customHeight="1" x14ac:dyDescent="0.3">
      <c r="A71" s="90">
        <v>70</v>
      </c>
      <c r="B71" s="90" t="s">
        <v>1157</v>
      </c>
      <c r="C71" s="90" t="s">
        <v>1168</v>
      </c>
      <c r="D71" s="90" t="s">
        <v>918</v>
      </c>
      <c r="E71" s="66">
        <v>265</v>
      </c>
      <c r="F71" s="30">
        <v>4</v>
      </c>
      <c r="G71" s="66">
        <v>1060</v>
      </c>
      <c r="H71" s="66">
        <v>1646654.8</v>
      </c>
      <c r="I71" s="30">
        <v>96.69</v>
      </c>
      <c r="J71" s="30">
        <v>0.06</v>
      </c>
    </row>
    <row r="72" spans="1:10" ht="15" customHeight="1" x14ac:dyDescent="0.3">
      <c r="A72" s="90">
        <v>71</v>
      </c>
      <c r="B72" s="90" t="s">
        <v>1157</v>
      </c>
      <c r="C72" s="90" t="s">
        <v>1521</v>
      </c>
      <c r="D72" s="90" t="s">
        <v>918</v>
      </c>
      <c r="E72" s="66">
        <v>174.58</v>
      </c>
      <c r="F72" s="30">
        <v>6</v>
      </c>
      <c r="G72" s="66">
        <v>1047.48</v>
      </c>
      <c r="H72" s="66">
        <v>1647702.28</v>
      </c>
      <c r="I72" s="30">
        <v>96.75</v>
      </c>
      <c r="J72" s="30">
        <v>0.06</v>
      </c>
    </row>
    <row r="73" spans="1:10" ht="15" customHeight="1" x14ac:dyDescent="0.3">
      <c r="A73" s="90">
        <v>72</v>
      </c>
      <c r="B73" s="90" t="s">
        <v>1157</v>
      </c>
      <c r="C73" s="90" t="s">
        <v>1159</v>
      </c>
      <c r="D73" s="90" t="s">
        <v>918</v>
      </c>
      <c r="E73" s="66">
        <v>976</v>
      </c>
      <c r="F73" s="30">
        <v>1</v>
      </c>
      <c r="G73" s="66">
        <v>976</v>
      </c>
      <c r="H73" s="66">
        <v>1648678.28</v>
      </c>
      <c r="I73" s="30">
        <v>96.81</v>
      </c>
      <c r="J73" s="30">
        <v>0.06</v>
      </c>
    </row>
    <row r="74" spans="1:10" ht="15" customHeight="1" x14ac:dyDescent="0.3">
      <c r="A74" s="90">
        <v>73</v>
      </c>
      <c r="B74" s="90" t="s">
        <v>1157</v>
      </c>
      <c r="C74" s="90" t="s">
        <v>1522</v>
      </c>
      <c r="D74" s="90" t="s">
        <v>918</v>
      </c>
      <c r="E74" s="66">
        <v>19.510000000000002</v>
      </c>
      <c r="F74" s="30">
        <v>50</v>
      </c>
      <c r="G74" s="66">
        <v>975.5</v>
      </c>
      <c r="H74" s="66">
        <v>1649653.78</v>
      </c>
      <c r="I74" s="30">
        <v>96.87</v>
      </c>
      <c r="J74" s="30">
        <v>0.06</v>
      </c>
    </row>
    <row r="75" spans="1:10" ht="15" customHeight="1" x14ac:dyDescent="0.3">
      <c r="A75" s="90">
        <v>74</v>
      </c>
      <c r="B75" s="90" t="s">
        <v>1157</v>
      </c>
      <c r="C75" s="90" t="s">
        <v>1160</v>
      </c>
      <c r="D75" s="90" t="s">
        <v>918</v>
      </c>
      <c r="E75" s="66">
        <v>240</v>
      </c>
      <c r="F75" s="30">
        <v>4</v>
      </c>
      <c r="G75" s="66">
        <v>960</v>
      </c>
      <c r="H75" s="66">
        <v>1650613.78</v>
      </c>
      <c r="I75" s="30">
        <v>96.92</v>
      </c>
      <c r="J75" s="30">
        <v>0.06</v>
      </c>
    </row>
    <row r="76" spans="1:10" ht="15" customHeight="1" x14ac:dyDescent="0.3">
      <c r="A76" s="90">
        <v>75</v>
      </c>
      <c r="B76" s="90" t="s">
        <v>1157</v>
      </c>
      <c r="C76" s="90" t="s">
        <v>1161</v>
      </c>
      <c r="D76" s="90" t="s">
        <v>918</v>
      </c>
      <c r="E76" s="66">
        <v>475</v>
      </c>
      <c r="F76" s="30">
        <v>2</v>
      </c>
      <c r="G76" s="66">
        <v>950</v>
      </c>
      <c r="H76" s="66">
        <v>1651563.78</v>
      </c>
      <c r="I76" s="30">
        <v>96.98</v>
      </c>
      <c r="J76" s="30">
        <v>0.06</v>
      </c>
    </row>
    <row r="77" spans="1:10" ht="15" customHeight="1" x14ac:dyDescent="0.3">
      <c r="A77" s="90">
        <v>76</v>
      </c>
      <c r="B77" s="90" t="s">
        <v>1157</v>
      </c>
      <c r="C77" s="90" t="s">
        <v>1163</v>
      </c>
      <c r="D77" s="90" t="s">
        <v>918</v>
      </c>
      <c r="E77" s="66">
        <v>122.44</v>
      </c>
      <c r="F77" s="30">
        <v>7</v>
      </c>
      <c r="G77" s="66">
        <v>857.08</v>
      </c>
      <c r="H77" s="66">
        <v>1652420.86</v>
      </c>
      <c r="I77" s="30">
        <v>97.03</v>
      </c>
      <c r="J77" s="30">
        <v>0.05</v>
      </c>
    </row>
    <row r="78" spans="1:10" ht="15" customHeight="1" x14ac:dyDescent="0.3">
      <c r="A78" s="90">
        <v>77</v>
      </c>
      <c r="B78" s="90" t="s">
        <v>1157</v>
      </c>
      <c r="C78" s="90" t="s">
        <v>1164</v>
      </c>
      <c r="D78" s="90" t="s">
        <v>918</v>
      </c>
      <c r="E78" s="66">
        <v>427</v>
      </c>
      <c r="F78" s="30">
        <v>2</v>
      </c>
      <c r="G78" s="66">
        <v>854</v>
      </c>
      <c r="H78" s="66">
        <v>1653274.86</v>
      </c>
      <c r="I78" s="30">
        <v>97.08</v>
      </c>
      <c r="J78" s="30">
        <v>0.05</v>
      </c>
    </row>
    <row r="79" spans="1:10" ht="15" customHeight="1" x14ac:dyDescent="0.3">
      <c r="A79" s="90">
        <v>78</v>
      </c>
      <c r="B79" s="90" t="s">
        <v>1157</v>
      </c>
      <c r="C79" s="90" t="s">
        <v>1165</v>
      </c>
      <c r="D79" s="90" t="s">
        <v>918</v>
      </c>
      <c r="E79" s="66">
        <v>84.93</v>
      </c>
      <c r="F79" s="30">
        <v>10</v>
      </c>
      <c r="G79" s="66">
        <v>849.3</v>
      </c>
      <c r="H79" s="66">
        <v>1654124.16</v>
      </c>
      <c r="I79" s="30">
        <v>97.13</v>
      </c>
      <c r="J79" s="30">
        <v>0.05</v>
      </c>
    </row>
    <row r="80" spans="1:10" ht="15" customHeight="1" x14ac:dyDescent="0.3">
      <c r="A80" s="90">
        <v>79</v>
      </c>
      <c r="B80" s="90" t="s">
        <v>1157</v>
      </c>
      <c r="C80" s="90" t="s">
        <v>1180</v>
      </c>
      <c r="D80" s="90" t="s">
        <v>918</v>
      </c>
      <c r="E80" s="66">
        <v>16.34</v>
      </c>
      <c r="F80" s="30">
        <v>50</v>
      </c>
      <c r="G80" s="66">
        <v>816.8</v>
      </c>
      <c r="H80" s="66">
        <v>1654940.96</v>
      </c>
      <c r="I80" s="30">
        <v>97.18</v>
      </c>
      <c r="J80" s="30">
        <v>0.05</v>
      </c>
    </row>
    <row r="81" spans="1:10" ht="15" customHeight="1" x14ac:dyDescent="0.3">
      <c r="A81" s="90">
        <v>80</v>
      </c>
      <c r="B81" s="90" t="s">
        <v>1157</v>
      </c>
      <c r="C81" s="90" t="s">
        <v>1167</v>
      </c>
      <c r="D81" s="90" t="s">
        <v>918</v>
      </c>
      <c r="E81" s="66">
        <v>811.78</v>
      </c>
      <c r="F81" s="30">
        <v>1</v>
      </c>
      <c r="G81" s="66">
        <v>811.78</v>
      </c>
      <c r="H81" s="66">
        <v>1655752.74</v>
      </c>
      <c r="I81" s="30">
        <v>97.22</v>
      </c>
      <c r="J81" s="30">
        <v>0.05</v>
      </c>
    </row>
    <row r="82" spans="1:10" ht="15" customHeight="1" x14ac:dyDescent="0.3">
      <c r="A82" s="90">
        <v>81</v>
      </c>
      <c r="B82" s="90" t="s">
        <v>1157</v>
      </c>
      <c r="C82" s="90" t="s">
        <v>1169</v>
      </c>
      <c r="D82" s="90" t="s">
        <v>918</v>
      </c>
      <c r="E82" s="66">
        <v>88</v>
      </c>
      <c r="F82" s="30">
        <v>9</v>
      </c>
      <c r="G82" s="66">
        <v>792</v>
      </c>
      <c r="H82" s="66">
        <v>1656544.74</v>
      </c>
      <c r="I82" s="30">
        <v>97.27</v>
      </c>
      <c r="J82" s="30">
        <v>0.05</v>
      </c>
    </row>
    <row r="83" spans="1:10" ht="15" customHeight="1" x14ac:dyDescent="0.3">
      <c r="A83" s="90">
        <v>82</v>
      </c>
      <c r="B83" s="90" t="s">
        <v>1157</v>
      </c>
      <c r="C83" s="90" t="s">
        <v>1170</v>
      </c>
      <c r="D83" s="90" t="s">
        <v>918</v>
      </c>
      <c r="E83" s="66">
        <v>390</v>
      </c>
      <c r="F83" s="30">
        <v>2</v>
      </c>
      <c r="G83" s="66">
        <v>780</v>
      </c>
      <c r="H83" s="66">
        <v>1657324.74</v>
      </c>
      <c r="I83" s="30">
        <v>97.32</v>
      </c>
      <c r="J83" s="30">
        <v>0.05</v>
      </c>
    </row>
    <row r="84" spans="1:10" ht="15" customHeight="1" x14ac:dyDescent="0.3">
      <c r="A84" s="90">
        <v>83</v>
      </c>
      <c r="B84" s="90" t="s">
        <v>1157</v>
      </c>
      <c r="C84" s="90" t="s">
        <v>1171</v>
      </c>
      <c r="D84" s="90" t="s">
        <v>918</v>
      </c>
      <c r="E84" s="66">
        <v>62.87</v>
      </c>
      <c r="F84" s="30">
        <v>12</v>
      </c>
      <c r="G84" s="66">
        <v>754.44</v>
      </c>
      <c r="H84" s="66">
        <v>1658079.18</v>
      </c>
      <c r="I84" s="30">
        <v>97.36</v>
      </c>
      <c r="J84" s="30">
        <v>0.04</v>
      </c>
    </row>
    <row r="85" spans="1:10" ht="15" customHeight="1" x14ac:dyDescent="0.3">
      <c r="A85" s="90">
        <v>84</v>
      </c>
      <c r="B85" s="90" t="s">
        <v>1157</v>
      </c>
      <c r="C85" s="90" t="s">
        <v>1172</v>
      </c>
      <c r="D85" s="90" t="s">
        <v>918</v>
      </c>
      <c r="E85" s="66">
        <v>752.97</v>
      </c>
      <c r="F85" s="30">
        <v>1</v>
      </c>
      <c r="G85" s="66">
        <v>752.97</v>
      </c>
      <c r="H85" s="66">
        <v>1658832.15</v>
      </c>
      <c r="I85" s="30">
        <v>97.4</v>
      </c>
      <c r="J85" s="30">
        <v>0.04</v>
      </c>
    </row>
    <row r="86" spans="1:10" ht="15" customHeight="1" x14ac:dyDescent="0.3">
      <c r="A86" s="90">
        <v>85</v>
      </c>
      <c r="B86" s="90" t="s">
        <v>1157</v>
      </c>
      <c r="C86" s="90" t="s">
        <v>1173</v>
      </c>
      <c r="D86" s="90" t="s">
        <v>918</v>
      </c>
      <c r="E86" s="66">
        <v>750</v>
      </c>
      <c r="F86" s="30">
        <v>1</v>
      </c>
      <c r="G86" s="66">
        <v>750</v>
      </c>
      <c r="H86" s="66">
        <v>1659582.15</v>
      </c>
      <c r="I86" s="30">
        <v>97.45</v>
      </c>
      <c r="J86" s="30">
        <v>0.04</v>
      </c>
    </row>
    <row r="87" spans="1:10" ht="15" customHeight="1" x14ac:dyDescent="0.3">
      <c r="A87" s="90">
        <v>86</v>
      </c>
      <c r="B87" s="90" t="s">
        <v>1157</v>
      </c>
      <c r="C87" s="90" t="s">
        <v>1174</v>
      </c>
      <c r="D87" s="90" t="s">
        <v>918</v>
      </c>
      <c r="E87" s="66">
        <v>733.08</v>
      </c>
      <c r="F87" s="30">
        <v>1</v>
      </c>
      <c r="G87" s="66">
        <v>733.08</v>
      </c>
      <c r="H87" s="66">
        <v>1660315.23</v>
      </c>
      <c r="I87" s="30">
        <v>97.49</v>
      </c>
      <c r="J87" s="30">
        <v>0.04</v>
      </c>
    </row>
    <row r="88" spans="1:10" ht="15" customHeight="1" x14ac:dyDescent="0.3">
      <c r="A88" s="90">
        <v>87</v>
      </c>
      <c r="B88" s="90" t="s">
        <v>1157</v>
      </c>
      <c r="C88" s="90" t="s">
        <v>1175</v>
      </c>
      <c r="D88" s="90" t="s">
        <v>918</v>
      </c>
      <c r="E88" s="66">
        <v>69.3</v>
      </c>
      <c r="F88" s="30">
        <v>10.199999999999999</v>
      </c>
      <c r="G88" s="66">
        <v>706.86</v>
      </c>
      <c r="H88" s="66">
        <v>1661022.09</v>
      </c>
      <c r="I88" s="30">
        <v>97.53</v>
      </c>
      <c r="J88" s="30">
        <v>0.04</v>
      </c>
    </row>
    <row r="89" spans="1:10" ht="15" customHeight="1" x14ac:dyDescent="0.3">
      <c r="A89" s="90">
        <v>88</v>
      </c>
      <c r="B89" s="90" t="s">
        <v>1157</v>
      </c>
      <c r="C89" s="90" t="s">
        <v>1176</v>
      </c>
      <c r="D89" s="90" t="s">
        <v>918</v>
      </c>
      <c r="E89" s="66">
        <v>700</v>
      </c>
      <c r="F89" s="30">
        <v>1</v>
      </c>
      <c r="G89" s="66">
        <v>700</v>
      </c>
      <c r="H89" s="66">
        <v>1661722.09</v>
      </c>
      <c r="I89" s="30">
        <v>97.57</v>
      </c>
      <c r="J89" s="30">
        <v>0.04</v>
      </c>
    </row>
    <row r="90" spans="1:10" ht="15" customHeight="1" x14ac:dyDescent="0.3">
      <c r="A90" s="90">
        <v>89</v>
      </c>
      <c r="B90" s="90" t="s">
        <v>1157</v>
      </c>
      <c r="C90" s="90" t="s">
        <v>1177</v>
      </c>
      <c r="D90" s="90" t="s">
        <v>918</v>
      </c>
      <c r="E90" s="66">
        <v>349</v>
      </c>
      <c r="F90" s="30">
        <v>2</v>
      </c>
      <c r="G90" s="66">
        <v>698</v>
      </c>
      <c r="H90" s="66">
        <v>1662420.09</v>
      </c>
      <c r="I90" s="30">
        <v>97.61</v>
      </c>
      <c r="J90" s="30">
        <v>0.04</v>
      </c>
    </row>
    <row r="91" spans="1:10" ht="15" customHeight="1" x14ac:dyDescent="0.3">
      <c r="A91" s="90">
        <v>90</v>
      </c>
      <c r="B91" s="90" t="s">
        <v>1157</v>
      </c>
      <c r="C91" s="90" t="s">
        <v>1087</v>
      </c>
      <c r="D91" s="90" t="s">
        <v>918</v>
      </c>
      <c r="E91" s="66">
        <v>115</v>
      </c>
      <c r="F91" s="30">
        <v>6</v>
      </c>
      <c r="G91" s="66">
        <v>690</v>
      </c>
      <c r="H91" s="66">
        <v>1663110.09</v>
      </c>
      <c r="I91" s="30">
        <v>97.66</v>
      </c>
      <c r="J91" s="30">
        <v>0.04</v>
      </c>
    </row>
    <row r="92" spans="1:10" ht="15" customHeight="1" x14ac:dyDescent="0.3">
      <c r="A92" s="90">
        <v>91</v>
      </c>
      <c r="B92" s="90" t="s">
        <v>1157</v>
      </c>
      <c r="C92" s="90" t="s">
        <v>1209</v>
      </c>
      <c r="D92" s="90" t="s">
        <v>918</v>
      </c>
      <c r="E92" s="66">
        <v>76.44</v>
      </c>
      <c r="F92" s="30">
        <v>9</v>
      </c>
      <c r="G92" s="66">
        <v>688</v>
      </c>
      <c r="H92" s="66">
        <v>1663798.09</v>
      </c>
      <c r="I92" s="30">
        <v>97.7</v>
      </c>
      <c r="J92" s="30">
        <v>0.04</v>
      </c>
    </row>
    <row r="93" spans="1:10" ht="15" customHeight="1" x14ac:dyDescent="0.3">
      <c r="A93" s="90">
        <v>92</v>
      </c>
      <c r="B93" s="90" t="s">
        <v>1157</v>
      </c>
      <c r="C93" s="90" t="s">
        <v>975</v>
      </c>
      <c r="D93" s="90" t="s">
        <v>918</v>
      </c>
      <c r="E93" s="66">
        <v>24.5</v>
      </c>
      <c r="F93" s="30">
        <v>28</v>
      </c>
      <c r="G93" s="66">
        <v>686</v>
      </c>
      <c r="H93" s="66">
        <v>1664484.09</v>
      </c>
      <c r="I93" s="30">
        <v>97.74</v>
      </c>
      <c r="J93" s="30">
        <v>0.04</v>
      </c>
    </row>
    <row r="94" spans="1:10" ht="15" customHeight="1" x14ac:dyDescent="0.3">
      <c r="A94" s="90">
        <v>93</v>
      </c>
      <c r="B94" s="90" t="s">
        <v>1157</v>
      </c>
      <c r="C94" s="90" t="s">
        <v>1178</v>
      </c>
      <c r="D94" s="90" t="s">
        <v>918</v>
      </c>
      <c r="E94" s="66">
        <v>340</v>
      </c>
      <c r="F94" s="30">
        <v>2</v>
      </c>
      <c r="G94" s="66">
        <v>680</v>
      </c>
      <c r="H94" s="66">
        <v>1665164.09</v>
      </c>
      <c r="I94" s="30">
        <v>97.78</v>
      </c>
      <c r="J94" s="30">
        <v>0.04</v>
      </c>
    </row>
    <row r="95" spans="1:10" ht="15" customHeight="1" x14ac:dyDescent="0.3">
      <c r="A95" s="90">
        <v>94</v>
      </c>
      <c r="B95" s="90" t="s">
        <v>1157</v>
      </c>
      <c r="C95" s="90" t="s">
        <v>159</v>
      </c>
      <c r="D95" s="90" t="s">
        <v>918</v>
      </c>
      <c r="E95" s="66">
        <v>34</v>
      </c>
      <c r="F95" s="30">
        <v>20</v>
      </c>
      <c r="G95" s="66">
        <v>680</v>
      </c>
      <c r="H95" s="66">
        <v>1665844.09</v>
      </c>
      <c r="I95" s="30">
        <v>97.82</v>
      </c>
      <c r="J95" s="30">
        <v>0.04</v>
      </c>
    </row>
    <row r="96" spans="1:10" ht="15" customHeight="1" x14ac:dyDescent="0.3">
      <c r="A96" s="90">
        <v>95</v>
      </c>
      <c r="B96" s="90" t="s">
        <v>1157</v>
      </c>
      <c r="C96" s="90" t="s">
        <v>1179</v>
      </c>
      <c r="D96" s="90" t="s">
        <v>918</v>
      </c>
      <c r="E96" s="66">
        <v>650</v>
      </c>
      <c r="F96" s="30">
        <v>1</v>
      </c>
      <c r="G96" s="66">
        <v>650</v>
      </c>
      <c r="H96" s="66">
        <v>1666494.09</v>
      </c>
      <c r="I96" s="30">
        <v>97.85</v>
      </c>
      <c r="J96" s="30">
        <v>0.04</v>
      </c>
    </row>
    <row r="97" spans="1:10" ht="15" customHeight="1" x14ac:dyDescent="0.3">
      <c r="A97" s="90">
        <v>96</v>
      </c>
      <c r="B97" s="90" t="s">
        <v>1157</v>
      </c>
      <c r="C97" s="90" t="s">
        <v>1181</v>
      </c>
      <c r="D97" s="90" t="s">
        <v>918</v>
      </c>
      <c r="E97" s="66">
        <v>211.04</v>
      </c>
      <c r="F97" s="30">
        <v>3</v>
      </c>
      <c r="G97" s="66">
        <v>633.12</v>
      </c>
      <c r="H97" s="66">
        <v>1667127.21</v>
      </c>
      <c r="I97" s="30">
        <v>97.89</v>
      </c>
      <c r="J97" s="30">
        <v>0.04</v>
      </c>
    </row>
    <row r="98" spans="1:10" ht="15" customHeight="1" x14ac:dyDescent="0.3">
      <c r="A98" s="90">
        <v>97</v>
      </c>
      <c r="B98" s="90" t="s">
        <v>1157</v>
      </c>
      <c r="C98" s="90" t="s">
        <v>1182</v>
      </c>
      <c r="D98" s="90" t="s">
        <v>918</v>
      </c>
      <c r="E98" s="66">
        <v>310</v>
      </c>
      <c r="F98" s="30">
        <v>2</v>
      </c>
      <c r="G98" s="66">
        <v>620</v>
      </c>
      <c r="H98" s="66">
        <v>1667747.21</v>
      </c>
      <c r="I98" s="30">
        <v>97.93</v>
      </c>
      <c r="J98" s="30">
        <v>0.04</v>
      </c>
    </row>
    <row r="99" spans="1:10" ht="15" customHeight="1" x14ac:dyDescent="0.3">
      <c r="A99" s="90">
        <v>98</v>
      </c>
      <c r="B99" s="90" t="s">
        <v>1157</v>
      </c>
      <c r="C99" s="90" t="s">
        <v>1192</v>
      </c>
      <c r="D99" s="90" t="s">
        <v>918</v>
      </c>
      <c r="E99" s="66">
        <v>4.7300000000000004</v>
      </c>
      <c r="F99" s="30">
        <v>130</v>
      </c>
      <c r="G99" s="66">
        <v>615</v>
      </c>
      <c r="H99" s="66">
        <v>1668362.21</v>
      </c>
      <c r="I99" s="30">
        <v>97.96</v>
      </c>
      <c r="J99" s="30">
        <v>0.04</v>
      </c>
    </row>
    <row r="100" spans="1:10" ht="15" customHeight="1" x14ac:dyDescent="0.3">
      <c r="A100" s="90">
        <v>99</v>
      </c>
      <c r="B100" s="90" t="s">
        <v>1157</v>
      </c>
      <c r="C100" s="90" t="s">
        <v>1183</v>
      </c>
      <c r="D100" s="90" t="s">
        <v>918</v>
      </c>
      <c r="E100" s="66">
        <v>122</v>
      </c>
      <c r="F100" s="30">
        <v>5</v>
      </c>
      <c r="G100" s="66">
        <v>610</v>
      </c>
      <c r="H100" s="66">
        <v>1668972.21</v>
      </c>
      <c r="I100" s="30">
        <v>98</v>
      </c>
      <c r="J100" s="30">
        <v>0.04</v>
      </c>
    </row>
    <row r="101" spans="1:10" ht="15" customHeight="1" x14ac:dyDescent="0.3">
      <c r="A101" s="90">
        <v>100</v>
      </c>
      <c r="B101" s="90" t="s">
        <v>1157</v>
      </c>
      <c r="C101" s="90" t="s">
        <v>1004</v>
      </c>
      <c r="D101" s="90" t="s">
        <v>918</v>
      </c>
      <c r="E101" s="66">
        <v>603</v>
      </c>
      <c r="F101" s="30">
        <v>1</v>
      </c>
      <c r="G101" s="66">
        <v>603</v>
      </c>
      <c r="H101" s="66">
        <v>1669575.21</v>
      </c>
      <c r="I101" s="30">
        <v>98.03</v>
      </c>
      <c r="J101" s="30">
        <v>0.04</v>
      </c>
    </row>
    <row r="102" spans="1:10" ht="15" customHeight="1" x14ac:dyDescent="0.3">
      <c r="A102" s="90">
        <v>101</v>
      </c>
      <c r="B102" s="90" t="s">
        <v>1157</v>
      </c>
      <c r="C102" s="90" t="s">
        <v>1184</v>
      </c>
      <c r="D102" s="90" t="s">
        <v>918</v>
      </c>
      <c r="E102" s="66">
        <v>602</v>
      </c>
      <c r="F102" s="30">
        <v>1</v>
      </c>
      <c r="G102" s="66">
        <v>602</v>
      </c>
      <c r="H102" s="66">
        <v>1670177.21</v>
      </c>
      <c r="I102" s="30">
        <v>98.07</v>
      </c>
      <c r="J102" s="30">
        <v>0.04</v>
      </c>
    </row>
    <row r="103" spans="1:10" ht="15" customHeight="1" x14ac:dyDescent="0.3">
      <c r="A103" s="90">
        <v>102</v>
      </c>
      <c r="B103" s="90" t="s">
        <v>1157</v>
      </c>
      <c r="C103" s="90" t="s">
        <v>1197</v>
      </c>
      <c r="D103" s="90" t="s">
        <v>1107</v>
      </c>
      <c r="E103" s="66">
        <v>200</v>
      </c>
      <c r="F103" s="30">
        <v>3</v>
      </c>
      <c r="G103" s="66">
        <v>600</v>
      </c>
      <c r="H103" s="66">
        <v>1670777.21</v>
      </c>
      <c r="I103" s="30">
        <v>98.11</v>
      </c>
      <c r="J103" s="30">
        <v>0.04</v>
      </c>
    </row>
    <row r="104" spans="1:10" ht="15" customHeight="1" x14ac:dyDescent="0.3">
      <c r="A104" s="90">
        <v>103</v>
      </c>
      <c r="B104" s="90" t="s">
        <v>1157</v>
      </c>
      <c r="C104" s="90" t="s">
        <v>961</v>
      </c>
      <c r="D104" s="90" t="s">
        <v>918</v>
      </c>
      <c r="E104" s="66">
        <v>68.53</v>
      </c>
      <c r="F104" s="30">
        <v>8</v>
      </c>
      <c r="G104" s="66">
        <v>548.20000000000005</v>
      </c>
      <c r="H104" s="66">
        <v>1671325.41</v>
      </c>
      <c r="I104" s="30">
        <v>98.14</v>
      </c>
      <c r="J104" s="30">
        <v>0.03</v>
      </c>
    </row>
    <row r="105" spans="1:10" ht="15" customHeight="1" x14ac:dyDescent="0.3">
      <c r="A105" s="90">
        <v>104</v>
      </c>
      <c r="B105" s="90" t="s">
        <v>1157</v>
      </c>
      <c r="C105" s="90" t="s">
        <v>923</v>
      </c>
      <c r="D105" s="90" t="s">
        <v>918</v>
      </c>
      <c r="E105" s="66">
        <v>49.41</v>
      </c>
      <c r="F105" s="30">
        <v>11</v>
      </c>
      <c r="G105" s="66">
        <v>543.46</v>
      </c>
      <c r="H105" s="66">
        <v>1671868.87</v>
      </c>
      <c r="I105" s="30">
        <v>98.17</v>
      </c>
      <c r="J105" s="30">
        <v>0.03</v>
      </c>
    </row>
    <row r="106" spans="1:10" ht="15" customHeight="1" x14ac:dyDescent="0.3">
      <c r="A106" s="90">
        <v>105</v>
      </c>
      <c r="B106" s="90" t="s">
        <v>1157</v>
      </c>
      <c r="C106" s="90" t="s">
        <v>1185</v>
      </c>
      <c r="D106" s="90" t="s">
        <v>918</v>
      </c>
      <c r="E106" s="66">
        <v>523.62</v>
      </c>
      <c r="F106" s="30">
        <v>1</v>
      </c>
      <c r="G106" s="66">
        <v>523.62</v>
      </c>
      <c r="H106" s="66">
        <v>1672392.49</v>
      </c>
      <c r="I106" s="30">
        <v>98.2</v>
      </c>
      <c r="J106" s="30">
        <v>0.03</v>
      </c>
    </row>
    <row r="107" spans="1:10" ht="15" customHeight="1" x14ac:dyDescent="0.3">
      <c r="A107" s="90">
        <v>106</v>
      </c>
      <c r="B107" s="90" t="s">
        <v>1157</v>
      </c>
      <c r="C107" s="90" t="s">
        <v>1007</v>
      </c>
      <c r="D107" s="90" t="s">
        <v>918</v>
      </c>
      <c r="E107" s="66">
        <v>520</v>
      </c>
      <c r="F107" s="30">
        <v>1</v>
      </c>
      <c r="G107" s="66">
        <v>520</v>
      </c>
      <c r="H107" s="66">
        <v>1672912.49</v>
      </c>
      <c r="I107" s="30">
        <v>98.23</v>
      </c>
      <c r="J107" s="30">
        <v>0.03</v>
      </c>
    </row>
    <row r="108" spans="1:10" ht="15" customHeight="1" x14ac:dyDescent="0.3">
      <c r="A108" s="90">
        <v>107</v>
      </c>
      <c r="B108" s="90" t="s">
        <v>1157</v>
      </c>
      <c r="C108" s="90" t="s">
        <v>1186</v>
      </c>
      <c r="D108" s="90" t="s">
        <v>918</v>
      </c>
      <c r="E108" s="66">
        <v>49</v>
      </c>
      <c r="F108" s="30">
        <v>10.199999999999999</v>
      </c>
      <c r="G108" s="66">
        <v>499.8</v>
      </c>
      <c r="H108" s="66">
        <v>1673412.29</v>
      </c>
      <c r="I108" s="30">
        <v>98.26</v>
      </c>
      <c r="J108" s="30">
        <v>0.03</v>
      </c>
    </row>
    <row r="109" spans="1:10" ht="15" customHeight="1" x14ac:dyDescent="0.3">
      <c r="A109" s="90">
        <v>108</v>
      </c>
      <c r="B109" s="90" t="s">
        <v>1157</v>
      </c>
      <c r="C109" s="90" t="s">
        <v>1187</v>
      </c>
      <c r="D109" s="90" t="s">
        <v>918</v>
      </c>
      <c r="E109" s="66">
        <v>486.25</v>
      </c>
      <c r="F109" s="30">
        <v>1</v>
      </c>
      <c r="G109" s="66">
        <v>486.25</v>
      </c>
      <c r="H109" s="66">
        <v>1673898.54</v>
      </c>
      <c r="I109" s="30">
        <v>98.29</v>
      </c>
      <c r="J109" s="30">
        <v>0.03</v>
      </c>
    </row>
    <row r="110" spans="1:10" ht="15" customHeight="1" x14ac:dyDescent="0.3">
      <c r="A110" s="90">
        <v>109</v>
      </c>
      <c r="B110" s="90" t="s">
        <v>1157</v>
      </c>
      <c r="C110" s="90" t="s">
        <v>2320</v>
      </c>
      <c r="D110" s="90" t="s">
        <v>918</v>
      </c>
      <c r="E110" s="66">
        <v>59.65</v>
      </c>
      <c r="F110" s="30">
        <v>8</v>
      </c>
      <c r="G110" s="66">
        <v>477.2</v>
      </c>
      <c r="H110" s="66">
        <v>1674375.74</v>
      </c>
      <c r="I110" s="30">
        <v>98.32</v>
      </c>
      <c r="J110" s="30">
        <v>0.03</v>
      </c>
    </row>
    <row r="111" spans="1:10" ht="15" customHeight="1" x14ac:dyDescent="0.3">
      <c r="A111" s="90">
        <v>110</v>
      </c>
      <c r="B111" s="90" t="s">
        <v>1157</v>
      </c>
      <c r="C111" s="90" t="s">
        <v>1188</v>
      </c>
      <c r="D111" s="90" t="s">
        <v>918</v>
      </c>
      <c r="E111" s="66">
        <v>23.52</v>
      </c>
      <c r="F111" s="30">
        <v>20</v>
      </c>
      <c r="G111" s="66">
        <v>470.4</v>
      </c>
      <c r="H111" s="66">
        <v>1674846.14</v>
      </c>
      <c r="I111" s="30">
        <v>98.34</v>
      </c>
      <c r="J111" s="30">
        <v>0.03</v>
      </c>
    </row>
    <row r="112" spans="1:10" ht="15" customHeight="1" x14ac:dyDescent="0.3">
      <c r="A112" s="90">
        <v>111</v>
      </c>
      <c r="B112" s="90" t="s">
        <v>1157</v>
      </c>
      <c r="C112" s="90" t="s">
        <v>1189</v>
      </c>
      <c r="D112" s="90" t="s">
        <v>918</v>
      </c>
      <c r="E112" s="66">
        <v>148.66999999999999</v>
      </c>
      <c r="F112" s="30">
        <v>3</v>
      </c>
      <c r="G112" s="66">
        <v>446</v>
      </c>
      <c r="H112" s="66">
        <v>1675292.14</v>
      </c>
      <c r="I112" s="30">
        <v>98.37</v>
      </c>
      <c r="J112" s="30">
        <v>0.03</v>
      </c>
    </row>
    <row r="113" spans="1:10" ht="15" customHeight="1" x14ac:dyDescent="0.3">
      <c r="A113" s="90">
        <v>112</v>
      </c>
      <c r="B113" s="90" t="s">
        <v>1157</v>
      </c>
      <c r="C113" s="90" t="s">
        <v>154</v>
      </c>
      <c r="D113" s="90" t="s">
        <v>918</v>
      </c>
      <c r="E113" s="66">
        <v>22</v>
      </c>
      <c r="F113" s="30">
        <v>20</v>
      </c>
      <c r="G113" s="66">
        <v>440</v>
      </c>
      <c r="H113" s="66">
        <v>1675732.14</v>
      </c>
      <c r="I113" s="30">
        <v>98.4</v>
      </c>
      <c r="J113" s="30">
        <v>0.03</v>
      </c>
    </row>
    <row r="114" spans="1:10" ht="15" customHeight="1" x14ac:dyDescent="0.3">
      <c r="A114" s="90">
        <v>113</v>
      </c>
      <c r="B114" s="90" t="s">
        <v>1157</v>
      </c>
      <c r="C114" s="90" t="s">
        <v>1190</v>
      </c>
      <c r="D114" s="90" t="s">
        <v>918</v>
      </c>
      <c r="E114" s="66">
        <v>220</v>
      </c>
      <c r="F114" s="30">
        <v>2</v>
      </c>
      <c r="G114" s="66">
        <v>440</v>
      </c>
      <c r="H114" s="66">
        <v>1676172.14</v>
      </c>
      <c r="I114" s="30">
        <v>98.42</v>
      </c>
      <c r="J114" s="30">
        <v>0.03</v>
      </c>
    </row>
    <row r="115" spans="1:10" ht="15" customHeight="1" x14ac:dyDescent="0.3">
      <c r="A115" s="90">
        <v>114</v>
      </c>
      <c r="B115" s="90" t="s">
        <v>1157</v>
      </c>
      <c r="C115" s="90" t="s">
        <v>1523</v>
      </c>
      <c r="D115" s="90" t="s">
        <v>918</v>
      </c>
      <c r="E115" s="66">
        <v>220</v>
      </c>
      <c r="F115" s="30">
        <v>2</v>
      </c>
      <c r="G115" s="66">
        <v>440</v>
      </c>
      <c r="H115" s="66">
        <v>1676612.14</v>
      </c>
      <c r="I115" s="30">
        <v>98.45</v>
      </c>
      <c r="J115" s="30">
        <v>0.03</v>
      </c>
    </row>
    <row r="116" spans="1:10" ht="15" customHeight="1" x14ac:dyDescent="0.3">
      <c r="A116" s="90">
        <v>115</v>
      </c>
      <c r="B116" s="90" t="s">
        <v>1157</v>
      </c>
      <c r="C116" s="90" t="s">
        <v>963</v>
      </c>
      <c r="D116" s="90" t="s">
        <v>918</v>
      </c>
      <c r="E116" s="66">
        <v>54.5</v>
      </c>
      <c r="F116" s="30">
        <v>8</v>
      </c>
      <c r="G116" s="66">
        <v>436</v>
      </c>
      <c r="H116" s="66">
        <v>1677048.14</v>
      </c>
      <c r="I116" s="30">
        <v>98.47</v>
      </c>
      <c r="J116" s="30">
        <v>0.03</v>
      </c>
    </row>
    <row r="117" spans="1:10" ht="15" customHeight="1" x14ac:dyDescent="0.3">
      <c r="A117" s="90">
        <v>116</v>
      </c>
      <c r="B117" s="90" t="s">
        <v>1157</v>
      </c>
      <c r="C117" s="90" t="s">
        <v>1191</v>
      </c>
      <c r="D117" s="90" t="s">
        <v>918</v>
      </c>
      <c r="E117" s="66">
        <v>420</v>
      </c>
      <c r="F117" s="30">
        <v>1</v>
      </c>
      <c r="G117" s="66">
        <v>420</v>
      </c>
      <c r="H117" s="66">
        <v>1677468.14</v>
      </c>
      <c r="I117" s="30">
        <v>98.5</v>
      </c>
      <c r="J117" s="30">
        <v>0.02</v>
      </c>
    </row>
    <row r="118" spans="1:10" ht="15" customHeight="1" x14ac:dyDescent="0.3">
      <c r="A118" s="90">
        <v>117</v>
      </c>
      <c r="B118" s="90" t="s">
        <v>1157</v>
      </c>
      <c r="C118" s="90" t="s">
        <v>1193</v>
      </c>
      <c r="D118" s="90" t="s">
        <v>918</v>
      </c>
      <c r="E118" s="66">
        <v>103.75</v>
      </c>
      <c r="F118" s="30">
        <v>4</v>
      </c>
      <c r="G118" s="66">
        <v>415</v>
      </c>
      <c r="H118" s="66">
        <v>1677883.14</v>
      </c>
      <c r="I118" s="30">
        <v>98.52</v>
      </c>
      <c r="J118" s="30">
        <v>0.02</v>
      </c>
    </row>
    <row r="119" spans="1:10" ht="15" customHeight="1" x14ac:dyDescent="0.3">
      <c r="A119" s="90">
        <v>118</v>
      </c>
      <c r="B119" s="90" t="s">
        <v>1157</v>
      </c>
      <c r="C119" s="90" t="s">
        <v>1194</v>
      </c>
      <c r="D119" s="90" t="s">
        <v>918</v>
      </c>
      <c r="E119" s="66">
        <v>412.37</v>
      </c>
      <c r="F119" s="30">
        <v>1</v>
      </c>
      <c r="G119" s="66">
        <v>412.37</v>
      </c>
      <c r="H119" s="66">
        <v>1678295.51</v>
      </c>
      <c r="I119" s="30">
        <v>98.55</v>
      </c>
      <c r="J119" s="30">
        <v>0.02</v>
      </c>
    </row>
    <row r="120" spans="1:10" ht="15" customHeight="1" x14ac:dyDescent="0.3">
      <c r="A120" s="90">
        <v>119</v>
      </c>
      <c r="B120" s="90" t="s">
        <v>1157</v>
      </c>
      <c r="C120" s="90" t="s">
        <v>1195</v>
      </c>
      <c r="D120" s="90" t="s">
        <v>918</v>
      </c>
      <c r="E120" s="66">
        <v>408.6</v>
      </c>
      <c r="F120" s="30">
        <v>1</v>
      </c>
      <c r="G120" s="66">
        <v>408.6</v>
      </c>
      <c r="H120" s="66">
        <v>1678704.11</v>
      </c>
      <c r="I120" s="30">
        <v>98.57</v>
      </c>
      <c r="J120" s="30">
        <v>0.02</v>
      </c>
    </row>
    <row r="121" spans="1:10" ht="15" customHeight="1" x14ac:dyDescent="0.3">
      <c r="A121" s="90">
        <v>120</v>
      </c>
      <c r="B121" s="90" t="s">
        <v>1157</v>
      </c>
      <c r="C121" s="90" t="s">
        <v>1196</v>
      </c>
      <c r="D121" s="90" t="s">
        <v>918</v>
      </c>
      <c r="E121" s="66">
        <v>407.6</v>
      </c>
      <c r="F121" s="30">
        <v>1</v>
      </c>
      <c r="G121" s="66">
        <v>407.6</v>
      </c>
      <c r="H121" s="66">
        <v>1679111.71</v>
      </c>
      <c r="I121" s="30">
        <v>98.59</v>
      </c>
      <c r="J121" s="30">
        <v>0.02</v>
      </c>
    </row>
    <row r="122" spans="1:10" ht="15" customHeight="1" x14ac:dyDescent="0.3">
      <c r="A122" s="90">
        <v>121</v>
      </c>
      <c r="B122" s="90" t="s">
        <v>1157</v>
      </c>
      <c r="C122" s="90" t="s">
        <v>1198</v>
      </c>
      <c r="D122" s="90" t="s">
        <v>918</v>
      </c>
      <c r="E122" s="66">
        <v>200</v>
      </c>
      <c r="F122" s="30">
        <v>2</v>
      </c>
      <c r="G122" s="66">
        <v>400</v>
      </c>
      <c r="H122" s="66">
        <v>1679511.71</v>
      </c>
      <c r="I122" s="30">
        <v>98.62</v>
      </c>
      <c r="J122" s="30">
        <v>0.02</v>
      </c>
    </row>
    <row r="123" spans="1:10" ht="15" customHeight="1" x14ac:dyDescent="0.3">
      <c r="A123" s="90">
        <v>122</v>
      </c>
      <c r="B123" s="90" t="s">
        <v>1157</v>
      </c>
      <c r="C123" s="90" t="s">
        <v>1199</v>
      </c>
      <c r="D123" s="90" t="s">
        <v>918</v>
      </c>
      <c r="E123" s="66">
        <v>400</v>
      </c>
      <c r="F123" s="30">
        <v>1</v>
      </c>
      <c r="G123" s="66">
        <v>400</v>
      </c>
      <c r="H123" s="66">
        <v>1679911.71</v>
      </c>
      <c r="I123" s="30">
        <v>98.64</v>
      </c>
      <c r="J123" s="30">
        <v>0.02</v>
      </c>
    </row>
    <row r="124" spans="1:10" ht="15" customHeight="1" x14ac:dyDescent="0.3">
      <c r="A124" s="90">
        <v>123</v>
      </c>
      <c r="B124" s="90" t="s">
        <v>1157</v>
      </c>
      <c r="C124" s="90" t="s">
        <v>1041</v>
      </c>
      <c r="D124" s="90" t="s">
        <v>918</v>
      </c>
      <c r="E124" s="66">
        <v>80</v>
      </c>
      <c r="F124" s="30">
        <v>5</v>
      </c>
      <c r="G124" s="66">
        <v>400</v>
      </c>
      <c r="H124" s="66">
        <v>1680311.71</v>
      </c>
      <c r="I124" s="30">
        <v>98.67</v>
      </c>
      <c r="J124" s="30">
        <v>0.02</v>
      </c>
    </row>
    <row r="125" spans="1:10" ht="15" customHeight="1" x14ac:dyDescent="0.3">
      <c r="A125" s="90">
        <v>124</v>
      </c>
      <c r="B125" s="90" t="s">
        <v>1157</v>
      </c>
      <c r="C125" s="90" t="s">
        <v>1200</v>
      </c>
      <c r="D125" s="90" t="s">
        <v>918</v>
      </c>
      <c r="E125" s="66">
        <v>9.43</v>
      </c>
      <c r="F125" s="30">
        <v>41.93</v>
      </c>
      <c r="G125" s="66">
        <v>395.3</v>
      </c>
      <c r="H125" s="66">
        <v>1680707.01</v>
      </c>
      <c r="I125" s="30">
        <v>98.69</v>
      </c>
      <c r="J125" s="30">
        <v>0.02</v>
      </c>
    </row>
    <row r="126" spans="1:10" ht="15" customHeight="1" x14ac:dyDescent="0.3">
      <c r="A126" s="90">
        <v>125</v>
      </c>
      <c r="B126" s="90" t="s">
        <v>1157</v>
      </c>
      <c r="C126" s="90" t="s">
        <v>1524</v>
      </c>
      <c r="D126" s="90" t="s">
        <v>918</v>
      </c>
      <c r="E126" s="66">
        <v>2.9</v>
      </c>
      <c r="F126" s="30">
        <v>136</v>
      </c>
      <c r="G126" s="66">
        <v>394.4</v>
      </c>
      <c r="H126" s="66">
        <v>1681101.41</v>
      </c>
      <c r="I126" s="30">
        <v>98.71</v>
      </c>
      <c r="J126" s="30">
        <v>0.02</v>
      </c>
    </row>
    <row r="127" spans="1:10" ht="15" customHeight="1" x14ac:dyDescent="0.3">
      <c r="A127" s="90">
        <v>126</v>
      </c>
      <c r="B127" s="90" t="s">
        <v>1157</v>
      </c>
      <c r="C127" s="90" t="s">
        <v>965</v>
      </c>
      <c r="D127" s="90" t="s">
        <v>918</v>
      </c>
      <c r="E127" s="66">
        <v>56</v>
      </c>
      <c r="F127" s="30">
        <v>7</v>
      </c>
      <c r="G127" s="66">
        <v>392</v>
      </c>
      <c r="H127" s="66">
        <v>1681493.41</v>
      </c>
      <c r="I127" s="30">
        <v>98.73</v>
      </c>
      <c r="J127" s="30">
        <v>0.02</v>
      </c>
    </row>
    <row r="128" spans="1:10" ht="15" customHeight="1" x14ac:dyDescent="0.3">
      <c r="A128" s="90">
        <v>127</v>
      </c>
      <c r="B128" s="90" t="s">
        <v>1157</v>
      </c>
      <c r="C128" s="90" t="s">
        <v>1052</v>
      </c>
      <c r="D128" s="90" t="s">
        <v>918</v>
      </c>
      <c r="E128" s="66">
        <v>359.8</v>
      </c>
      <c r="F128" s="30">
        <v>1</v>
      </c>
      <c r="G128" s="66">
        <v>359.8</v>
      </c>
      <c r="H128" s="66">
        <v>1681853.21</v>
      </c>
      <c r="I128" s="30">
        <v>98.76</v>
      </c>
      <c r="J128" s="30">
        <v>0.02</v>
      </c>
    </row>
    <row r="129" spans="1:10" ht="15" customHeight="1" x14ac:dyDescent="0.3">
      <c r="A129" s="90">
        <v>128</v>
      </c>
      <c r="B129" s="90" t="s">
        <v>1157</v>
      </c>
      <c r="C129" s="90" t="s">
        <v>1201</v>
      </c>
      <c r="D129" s="90" t="s">
        <v>918</v>
      </c>
      <c r="E129" s="66">
        <v>59</v>
      </c>
      <c r="F129" s="30">
        <v>6</v>
      </c>
      <c r="G129" s="66">
        <v>354</v>
      </c>
      <c r="H129" s="66">
        <v>1682207.21</v>
      </c>
      <c r="I129" s="30">
        <v>98.78</v>
      </c>
      <c r="J129" s="30">
        <v>0.02</v>
      </c>
    </row>
    <row r="130" spans="1:10" ht="15" customHeight="1" x14ac:dyDescent="0.3">
      <c r="A130" s="90">
        <v>129</v>
      </c>
      <c r="B130" s="90" t="s">
        <v>1157</v>
      </c>
      <c r="C130" s="90" t="s">
        <v>1202</v>
      </c>
      <c r="D130" s="90" t="s">
        <v>918</v>
      </c>
      <c r="E130" s="66">
        <v>351.47</v>
      </c>
      <c r="F130" s="30">
        <v>1</v>
      </c>
      <c r="G130" s="66">
        <v>351.47</v>
      </c>
      <c r="H130" s="66">
        <v>1682558.68</v>
      </c>
      <c r="I130" s="30">
        <v>98.8</v>
      </c>
      <c r="J130" s="30">
        <v>0.02</v>
      </c>
    </row>
    <row r="131" spans="1:10" ht="15" customHeight="1" x14ac:dyDescent="0.3">
      <c r="A131" s="90">
        <v>130</v>
      </c>
      <c r="B131" s="90" t="s">
        <v>1157</v>
      </c>
      <c r="C131" s="90" t="s">
        <v>1203</v>
      </c>
      <c r="D131" s="90" t="s">
        <v>918</v>
      </c>
      <c r="E131" s="66">
        <v>347.93</v>
      </c>
      <c r="F131" s="30">
        <v>1</v>
      </c>
      <c r="G131" s="66">
        <v>347.93</v>
      </c>
      <c r="H131" s="66">
        <v>1682906.61</v>
      </c>
      <c r="I131" s="30">
        <v>98.82</v>
      </c>
      <c r="J131" s="30">
        <v>0.02</v>
      </c>
    </row>
    <row r="132" spans="1:10" ht="15" customHeight="1" x14ac:dyDescent="0.3">
      <c r="A132" s="90">
        <v>131</v>
      </c>
      <c r="B132" s="90" t="s">
        <v>1157</v>
      </c>
      <c r="C132" s="90" t="s">
        <v>1204</v>
      </c>
      <c r="D132" s="90" t="s">
        <v>918</v>
      </c>
      <c r="E132" s="66">
        <v>346</v>
      </c>
      <c r="F132" s="30">
        <v>1</v>
      </c>
      <c r="G132" s="66">
        <v>346</v>
      </c>
      <c r="H132" s="66">
        <v>1683252.61</v>
      </c>
      <c r="I132" s="30">
        <v>98.84</v>
      </c>
      <c r="J132" s="30">
        <v>0.02</v>
      </c>
    </row>
    <row r="133" spans="1:10" ht="15" customHeight="1" x14ac:dyDescent="0.3">
      <c r="A133" s="90">
        <v>132</v>
      </c>
      <c r="B133" s="90" t="s">
        <v>1157</v>
      </c>
      <c r="C133" s="90" t="s">
        <v>1205</v>
      </c>
      <c r="D133" s="90" t="s">
        <v>918</v>
      </c>
      <c r="E133" s="66">
        <v>323</v>
      </c>
      <c r="F133" s="30">
        <v>1</v>
      </c>
      <c r="G133" s="66">
        <v>323</v>
      </c>
      <c r="H133" s="66">
        <v>1683575.61</v>
      </c>
      <c r="I133" s="30">
        <v>98.86</v>
      </c>
      <c r="J133" s="30">
        <v>0.02</v>
      </c>
    </row>
    <row r="134" spans="1:10" ht="15" customHeight="1" x14ac:dyDescent="0.3">
      <c r="A134" s="90">
        <v>133</v>
      </c>
      <c r="B134" s="90" t="s">
        <v>1157</v>
      </c>
      <c r="C134" s="90" t="s">
        <v>1206</v>
      </c>
      <c r="D134" s="90" t="s">
        <v>918</v>
      </c>
      <c r="E134" s="66">
        <v>160</v>
      </c>
      <c r="F134" s="30">
        <v>2</v>
      </c>
      <c r="G134" s="66">
        <v>320</v>
      </c>
      <c r="H134" s="66">
        <v>1683895.61</v>
      </c>
      <c r="I134" s="30">
        <v>98.88</v>
      </c>
      <c r="J134" s="30">
        <v>0.02</v>
      </c>
    </row>
    <row r="135" spans="1:10" ht="15" customHeight="1" x14ac:dyDescent="0.3">
      <c r="A135" s="90">
        <v>134</v>
      </c>
      <c r="B135" s="90" t="s">
        <v>1157</v>
      </c>
      <c r="C135" s="90" t="s">
        <v>2321</v>
      </c>
      <c r="D135" s="90" t="s">
        <v>918</v>
      </c>
      <c r="E135" s="66">
        <v>80</v>
      </c>
      <c r="F135" s="30">
        <v>4</v>
      </c>
      <c r="G135" s="66">
        <v>320</v>
      </c>
      <c r="H135" s="66">
        <v>1684215.61</v>
      </c>
      <c r="I135" s="30">
        <v>98.89</v>
      </c>
      <c r="J135" s="30">
        <v>0.02</v>
      </c>
    </row>
    <row r="136" spans="1:10" ht="15" customHeight="1" x14ac:dyDescent="0.3">
      <c r="A136" s="90">
        <v>135</v>
      </c>
      <c r="B136" s="90" t="s">
        <v>1157</v>
      </c>
      <c r="C136" s="90" t="s">
        <v>947</v>
      </c>
      <c r="D136" s="90" t="s">
        <v>918</v>
      </c>
      <c r="E136" s="66">
        <v>106</v>
      </c>
      <c r="F136" s="30">
        <v>3</v>
      </c>
      <c r="G136" s="66">
        <v>318</v>
      </c>
      <c r="H136" s="66">
        <v>1684533.61</v>
      </c>
      <c r="I136" s="30">
        <v>98.91</v>
      </c>
      <c r="J136" s="30">
        <v>0.02</v>
      </c>
    </row>
    <row r="137" spans="1:10" ht="15" customHeight="1" x14ac:dyDescent="0.3">
      <c r="A137" s="90">
        <v>136</v>
      </c>
      <c r="B137" s="90" t="s">
        <v>1157</v>
      </c>
      <c r="C137" s="90" t="s">
        <v>1525</v>
      </c>
      <c r="D137" s="90" t="s">
        <v>918</v>
      </c>
      <c r="E137" s="66">
        <v>52.37</v>
      </c>
      <c r="F137" s="30">
        <v>6</v>
      </c>
      <c r="G137" s="66">
        <v>314.22000000000003</v>
      </c>
      <c r="H137" s="66">
        <v>1684847.83</v>
      </c>
      <c r="I137" s="30">
        <v>98.93</v>
      </c>
      <c r="J137" s="30">
        <v>0.02</v>
      </c>
    </row>
    <row r="138" spans="1:10" ht="15" customHeight="1" x14ac:dyDescent="0.3">
      <c r="A138" s="90">
        <v>137</v>
      </c>
      <c r="B138" s="90" t="s">
        <v>1157</v>
      </c>
      <c r="C138" s="90" t="s">
        <v>979</v>
      </c>
      <c r="D138" s="90" t="s">
        <v>918</v>
      </c>
      <c r="E138" s="66">
        <v>102</v>
      </c>
      <c r="F138" s="30">
        <v>3</v>
      </c>
      <c r="G138" s="66">
        <v>306</v>
      </c>
      <c r="H138" s="66">
        <v>1685153.83</v>
      </c>
      <c r="I138" s="30">
        <v>98.95</v>
      </c>
      <c r="J138" s="30">
        <v>0.02</v>
      </c>
    </row>
    <row r="139" spans="1:10" ht="15" customHeight="1" x14ac:dyDescent="0.3">
      <c r="A139" s="90">
        <v>138</v>
      </c>
      <c r="B139" s="90" t="s">
        <v>1157</v>
      </c>
      <c r="C139" s="90" t="s">
        <v>1214</v>
      </c>
      <c r="D139" s="90" t="s">
        <v>918</v>
      </c>
      <c r="E139" s="66">
        <v>12</v>
      </c>
      <c r="F139" s="30">
        <v>25</v>
      </c>
      <c r="G139" s="66">
        <v>300</v>
      </c>
      <c r="H139" s="66">
        <v>1685453.83</v>
      </c>
      <c r="I139" s="30">
        <v>98.97</v>
      </c>
      <c r="J139" s="30">
        <v>0.02</v>
      </c>
    </row>
    <row r="140" spans="1:10" ht="15" customHeight="1" x14ac:dyDescent="0.3">
      <c r="A140" s="90">
        <v>139</v>
      </c>
      <c r="B140" s="90" t="s">
        <v>1157</v>
      </c>
      <c r="C140" s="90" t="s">
        <v>1207</v>
      </c>
      <c r="D140" s="90" t="s">
        <v>918</v>
      </c>
      <c r="E140" s="66">
        <v>12</v>
      </c>
      <c r="F140" s="30">
        <v>25</v>
      </c>
      <c r="G140" s="66">
        <v>300</v>
      </c>
      <c r="H140" s="66">
        <v>1685753.83</v>
      </c>
      <c r="I140" s="30">
        <v>98.98</v>
      </c>
      <c r="J140" s="30">
        <v>0.02</v>
      </c>
    </row>
    <row r="141" spans="1:10" ht="15" customHeight="1" x14ac:dyDescent="0.3">
      <c r="A141" s="90">
        <v>140</v>
      </c>
      <c r="B141" s="90" t="s">
        <v>1157</v>
      </c>
      <c r="C141" s="90" t="s">
        <v>995</v>
      </c>
      <c r="D141" s="90" t="s">
        <v>918</v>
      </c>
      <c r="E141" s="66">
        <v>19.95</v>
      </c>
      <c r="F141" s="30">
        <v>15</v>
      </c>
      <c r="G141" s="66">
        <v>299.25</v>
      </c>
      <c r="H141" s="66">
        <v>1686053.08</v>
      </c>
      <c r="I141" s="30">
        <v>99</v>
      </c>
      <c r="J141" s="30">
        <v>0.02</v>
      </c>
    </row>
    <row r="142" spans="1:10" ht="15" customHeight="1" x14ac:dyDescent="0.3">
      <c r="A142" s="90">
        <v>141</v>
      </c>
      <c r="B142" s="90" t="s">
        <v>1157</v>
      </c>
      <c r="C142" s="90" t="s">
        <v>1047</v>
      </c>
      <c r="D142" s="90" t="s">
        <v>918</v>
      </c>
      <c r="E142" s="66">
        <v>40.86</v>
      </c>
      <c r="F142" s="30">
        <v>7</v>
      </c>
      <c r="G142" s="66">
        <v>286</v>
      </c>
      <c r="H142" s="66">
        <v>1686339.08</v>
      </c>
      <c r="I142" s="30">
        <v>99.02</v>
      </c>
      <c r="J142" s="30">
        <v>0.02</v>
      </c>
    </row>
    <row r="143" spans="1:10" ht="15" customHeight="1" x14ac:dyDescent="0.3">
      <c r="A143" s="90">
        <v>142</v>
      </c>
      <c r="B143" s="90" t="s">
        <v>1157</v>
      </c>
      <c r="C143" s="90" t="s">
        <v>1208</v>
      </c>
      <c r="D143" s="90" t="s">
        <v>918</v>
      </c>
      <c r="E143" s="66">
        <v>140</v>
      </c>
      <c r="F143" s="30">
        <v>2</v>
      </c>
      <c r="G143" s="66">
        <v>280</v>
      </c>
      <c r="H143" s="66">
        <v>1686619.08</v>
      </c>
      <c r="I143" s="30">
        <v>99.04</v>
      </c>
      <c r="J143" s="30">
        <v>0.02</v>
      </c>
    </row>
    <row r="144" spans="1:10" ht="15" customHeight="1" x14ac:dyDescent="0.3">
      <c r="A144" s="90">
        <v>143</v>
      </c>
      <c r="B144" s="90" t="s">
        <v>1157</v>
      </c>
      <c r="C144" s="90" t="s">
        <v>1079</v>
      </c>
      <c r="D144" s="90" t="s">
        <v>918</v>
      </c>
      <c r="E144" s="66">
        <v>135</v>
      </c>
      <c r="F144" s="30">
        <v>2</v>
      </c>
      <c r="G144" s="66">
        <v>270</v>
      </c>
      <c r="H144" s="66">
        <v>1686889.08</v>
      </c>
      <c r="I144" s="30">
        <v>99.05</v>
      </c>
      <c r="J144" s="30">
        <v>0.02</v>
      </c>
    </row>
    <row r="145" spans="1:10" ht="15" customHeight="1" x14ac:dyDescent="0.3">
      <c r="A145" s="90">
        <v>144</v>
      </c>
      <c r="B145" s="90" t="s">
        <v>1157</v>
      </c>
      <c r="C145" s="90" t="s">
        <v>1225</v>
      </c>
      <c r="D145" s="90" t="s">
        <v>918</v>
      </c>
      <c r="E145" s="66">
        <v>89.83</v>
      </c>
      <c r="F145" s="30">
        <v>3</v>
      </c>
      <c r="G145" s="66">
        <v>269.5</v>
      </c>
      <c r="H145" s="66">
        <v>1687158.58</v>
      </c>
      <c r="I145" s="30">
        <v>99.07</v>
      </c>
      <c r="J145" s="30">
        <v>0.02</v>
      </c>
    </row>
    <row r="146" spans="1:10" ht="15" customHeight="1" x14ac:dyDescent="0.3">
      <c r="A146" s="90">
        <v>145</v>
      </c>
      <c r="B146" s="90" t="s">
        <v>1157</v>
      </c>
      <c r="C146" s="90" t="s">
        <v>1210</v>
      </c>
      <c r="D146" s="90" t="s">
        <v>918</v>
      </c>
      <c r="E146" s="66">
        <v>89</v>
      </c>
      <c r="F146" s="30">
        <v>3</v>
      </c>
      <c r="G146" s="66">
        <v>267</v>
      </c>
      <c r="H146" s="66">
        <v>1687425.58</v>
      </c>
      <c r="I146" s="30">
        <v>99.08</v>
      </c>
      <c r="J146" s="30">
        <v>0.02</v>
      </c>
    </row>
    <row r="147" spans="1:10" ht="15" customHeight="1" x14ac:dyDescent="0.3">
      <c r="A147" s="90">
        <v>146</v>
      </c>
      <c r="B147" s="90" t="s">
        <v>1157</v>
      </c>
      <c r="C147" s="90" t="s">
        <v>971</v>
      </c>
      <c r="D147" s="90" t="s">
        <v>918</v>
      </c>
      <c r="E147" s="66">
        <v>11</v>
      </c>
      <c r="F147" s="30">
        <v>24</v>
      </c>
      <c r="G147" s="66">
        <v>264</v>
      </c>
      <c r="H147" s="66">
        <v>1687689.58</v>
      </c>
      <c r="I147" s="30">
        <v>99.1</v>
      </c>
      <c r="J147" s="30">
        <v>0.02</v>
      </c>
    </row>
    <row r="148" spans="1:10" ht="15" customHeight="1" x14ac:dyDescent="0.3">
      <c r="A148" s="90">
        <v>147</v>
      </c>
      <c r="B148" s="90" t="s">
        <v>1157</v>
      </c>
      <c r="C148" s="90" t="s">
        <v>2308</v>
      </c>
      <c r="D148" s="90" t="s">
        <v>918</v>
      </c>
      <c r="E148" s="66">
        <v>261</v>
      </c>
      <c r="F148" s="30">
        <v>1</v>
      </c>
      <c r="G148" s="66">
        <v>261</v>
      </c>
      <c r="H148" s="66">
        <v>1687950.58</v>
      </c>
      <c r="I148" s="30">
        <v>99.11</v>
      </c>
      <c r="J148" s="30">
        <v>0.02</v>
      </c>
    </row>
    <row r="149" spans="1:10" ht="15" customHeight="1" x14ac:dyDescent="0.3">
      <c r="A149" s="90">
        <v>148</v>
      </c>
      <c r="B149" s="90" t="s">
        <v>1157</v>
      </c>
      <c r="C149" s="90" t="s">
        <v>1211</v>
      </c>
      <c r="D149" s="90" t="s">
        <v>918</v>
      </c>
      <c r="E149" s="66">
        <v>8</v>
      </c>
      <c r="F149" s="30">
        <v>32</v>
      </c>
      <c r="G149" s="66">
        <v>256</v>
      </c>
      <c r="H149" s="66">
        <v>1688206.58</v>
      </c>
      <c r="I149" s="30">
        <v>99.13</v>
      </c>
      <c r="J149" s="30">
        <v>0.02</v>
      </c>
    </row>
    <row r="150" spans="1:10" ht="15" customHeight="1" x14ac:dyDescent="0.3">
      <c r="A150" s="90">
        <v>149</v>
      </c>
      <c r="B150" s="90" t="s">
        <v>1157</v>
      </c>
      <c r="C150" s="90" t="s">
        <v>1212</v>
      </c>
      <c r="D150" s="90" t="s">
        <v>918</v>
      </c>
      <c r="E150" s="66">
        <v>29</v>
      </c>
      <c r="F150" s="30">
        <v>8.8000000000000007</v>
      </c>
      <c r="G150" s="66">
        <v>255.2</v>
      </c>
      <c r="H150" s="66">
        <v>1688461.78</v>
      </c>
      <c r="I150" s="30">
        <v>99.14</v>
      </c>
      <c r="J150" s="30">
        <v>0.01</v>
      </c>
    </row>
    <row r="151" spans="1:10" ht="15" customHeight="1" x14ac:dyDescent="0.3">
      <c r="A151" s="90">
        <v>150</v>
      </c>
      <c r="B151" s="90" t="s">
        <v>1157</v>
      </c>
      <c r="C151" s="90" t="s">
        <v>2276</v>
      </c>
      <c r="D151" s="90" t="s">
        <v>918</v>
      </c>
      <c r="E151" s="66">
        <v>250</v>
      </c>
      <c r="F151" s="30">
        <v>1</v>
      </c>
      <c r="G151" s="66">
        <v>250</v>
      </c>
      <c r="H151" s="66">
        <v>1688711.78</v>
      </c>
      <c r="I151" s="30">
        <v>99.16</v>
      </c>
      <c r="J151" s="30">
        <v>0.01</v>
      </c>
    </row>
    <row r="152" spans="1:10" ht="15" customHeight="1" x14ac:dyDescent="0.3">
      <c r="A152" s="90">
        <v>151</v>
      </c>
      <c r="B152" s="90" t="s">
        <v>1157</v>
      </c>
      <c r="C152" s="90" t="s">
        <v>937</v>
      </c>
      <c r="D152" s="90" t="s">
        <v>918</v>
      </c>
      <c r="E152" s="66">
        <v>245</v>
      </c>
      <c r="F152" s="30">
        <v>1</v>
      </c>
      <c r="G152" s="66">
        <v>245</v>
      </c>
      <c r="H152" s="66">
        <v>1688956.78</v>
      </c>
      <c r="I152" s="30">
        <v>99.17</v>
      </c>
      <c r="J152" s="30">
        <v>0.01</v>
      </c>
    </row>
    <row r="153" spans="1:10" ht="15" customHeight="1" x14ac:dyDescent="0.3">
      <c r="A153" s="90">
        <v>152</v>
      </c>
      <c r="B153" s="90" t="s">
        <v>1157</v>
      </c>
      <c r="C153" s="90" t="s">
        <v>1213</v>
      </c>
      <c r="D153" s="90" t="s">
        <v>918</v>
      </c>
      <c r="E153" s="66">
        <v>121</v>
      </c>
      <c r="F153" s="30">
        <v>2</v>
      </c>
      <c r="G153" s="66">
        <v>242</v>
      </c>
      <c r="H153" s="66">
        <v>1689198.78</v>
      </c>
      <c r="I153" s="30">
        <v>99.19</v>
      </c>
      <c r="J153" s="30">
        <v>0.01</v>
      </c>
    </row>
    <row r="154" spans="1:10" ht="15" customHeight="1" x14ac:dyDescent="0.3">
      <c r="A154" s="90">
        <v>153</v>
      </c>
      <c r="B154" s="90" t="s">
        <v>1157</v>
      </c>
      <c r="C154" s="90" t="s">
        <v>1226</v>
      </c>
      <c r="D154" s="90" t="s">
        <v>918</v>
      </c>
      <c r="E154" s="66">
        <v>16.91</v>
      </c>
      <c r="F154" s="30">
        <v>14</v>
      </c>
      <c r="G154" s="66">
        <v>236.7</v>
      </c>
      <c r="H154" s="66">
        <v>1689435.48</v>
      </c>
      <c r="I154" s="30">
        <v>99.2</v>
      </c>
      <c r="J154" s="30">
        <v>0.01</v>
      </c>
    </row>
    <row r="155" spans="1:10" ht="15" customHeight="1" x14ac:dyDescent="0.3">
      <c r="A155" s="90">
        <v>154</v>
      </c>
      <c r="B155" s="90" t="s">
        <v>1157</v>
      </c>
      <c r="C155" s="90" t="s">
        <v>1031</v>
      </c>
      <c r="D155" s="90" t="s">
        <v>918</v>
      </c>
      <c r="E155" s="66">
        <v>29</v>
      </c>
      <c r="F155" s="30">
        <v>8</v>
      </c>
      <c r="G155" s="66">
        <v>232</v>
      </c>
      <c r="H155" s="66">
        <v>1689667.48</v>
      </c>
      <c r="I155" s="30">
        <v>99.21</v>
      </c>
      <c r="J155" s="30">
        <v>0.01</v>
      </c>
    </row>
    <row r="156" spans="1:10" ht="15" customHeight="1" x14ac:dyDescent="0.3">
      <c r="A156" s="90">
        <v>155</v>
      </c>
      <c r="B156" s="90" t="s">
        <v>1157</v>
      </c>
      <c r="C156" s="90" t="s">
        <v>1049</v>
      </c>
      <c r="D156" s="90" t="s">
        <v>918</v>
      </c>
      <c r="E156" s="66">
        <v>45</v>
      </c>
      <c r="F156" s="30">
        <v>5</v>
      </c>
      <c r="G156" s="66">
        <v>225</v>
      </c>
      <c r="H156" s="66">
        <v>1689892.48</v>
      </c>
      <c r="I156" s="30">
        <v>99.23</v>
      </c>
      <c r="J156" s="30">
        <v>0.01</v>
      </c>
    </row>
    <row r="157" spans="1:10" ht="15" customHeight="1" x14ac:dyDescent="0.3">
      <c r="A157" s="90">
        <v>156</v>
      </c>
      <c r="B157" s="90" t="s">
        <v>1157</v>
      </c>
      <c r="C157" s="90" t="s">
        <v>1037</v>
      </c>
      <c r="D157" s="90" t="s">
        <v>918</v>
      </c>
      <c r="E157" s="66">
        <v>110</v>
      </c>
      <c r="F157" s="30">
        <v>2</v>
      </c>
      <c r="G157" s="66">
        <v>220</v>
      </c>
      <c r="H157" s="66">
        <v>1690112.48</v>
      </c>
      <c r="I157" s="30">
        <v>99.24</v>
      </c>
      <c r="J157" s="30">
        <v>0.01</v>
      </c>
    </row>
    <row r="158" spans="1:10" ht="15" customHeight="1" x14ac:dyDescent="0.3">
      <c r="A158" s="90">
        <v>157</v>
      </c>
      <c r="B158" s="90" t="s">
        <v>1157</v>
      </c>
      <c r="C158" s="90" t="s">
        <v>2310</v>
      </c>
      <c r="D158" s="90" t="s">
        <v>918</v>
      </c>
      <c r="E158" s="66">
        <v>220</v>
      </c>
      <c r="F158" s="30">
        <v>1</v>
      </c>
      <c r="G158" s="66">
        <v>220</v>
      </c>
      <c r="H158" s="66">
        <v>1690332.48</v>
      </c>
      <c r="I158" s="30">
        <v>99.25</v>
      </c>
      <c r="J158" s="30">
        <v>0.01</v>
      </c>
    </row>
    <row r="159" spans="1:10" ht="15" customHeight="1" x14ac:dyDescent="0.3">
      <c r="A159" s="90">
        <v>158</v>
      </c>
      <c r="B159" s="90" t="s">
        <v>1157</v>
      </c>
      <c r="C159" s="90" t="s">
        <v>1215</v>
      </c>
      <c r="D159" s="90" t="s">
        <v>918</v>
      </c>
      <c r="E159" s="66">
        <v>14.53</v>
      </c>
      <c r="F159" s="30">
        <v>15</v>
      </c>
      <c r="G159" s="66">
        <v>218</v>
      </c>
      <c r="H159" s="66">
        <v>1690550.48</v>
      </c>
      <c r="I159" s="30">
        <v>99.27</v>
      </c>
      <c r="J159" s="30">
        <v>0.01</v>
      </c>
    </row>
    <row r="160" spans="1:10" ht="15" customHeight="1" x14ac:dyDescent="0.3">
      <c r="A160" s="90">
        <v>159</v>
      </c>
      <c r="B160" s="90" t="s">
        <v>1157</v>
      </c>
      <c r="C160" s="90" t="s">
        <v>973</v>
      </c>
      <c r="D160" s="90" t="s">
        <v>918</v>
      </c>
      <c r="E160" s="66">
        <v>9</v>
      </c>
      <c r="F160" s="30">
        <v>24</v>
      </c>
      <c r="G160" s="66">
        <v>216</v>
      </c>
      <c r="H160" s="66">
        <v>1690766.48</v>
      </c>
      <c r="I160" s="30">
        <v>99.28</v>
      </c>
      <c r="J160" s="30">
        <v>0.01</v>
      </c>
    </row>
    <row r="161" spans="1:10" ht="15" customHeight="1" x14ac:dyDescent="0.3">
      <c r="A161" s="90">
        <v>160</v>
      </c>
      <c r="B161" s="90" t="s">
        <v>1157</v>
      </c>
      <c r="C161" s="90" t="s">
        <v>1216</v>
      </c>
      <c r="D161" s="90" t="s">
        <v>918</v>
      </c>
      <c r="E161" s="66">
        <v>43</v>
      </c>
      <c r="F161" s="30">
        <v>5</v>
      </c>
      <c r="G161" s="66">
        <v>215</v>
      </c>
      <c r="H161" s="66">
        <v>1690981.48</v>
      </c>
      <c r="I161" s="30">
        <v>99.29</v>
      </c>
      <c r="J161" s="30">
        <v>0.01</v>
      </c>
    </row>
    <row r="162" spans="1:10" ht="15" customHeight="1" x14ac:dyDescent="0.3">
      <c r="A162" s="90">
        <v>161</v>
      </c>
      <c r="B162" s="90" t="s">
        <v>1157</v>
      </c>
      <c r="C162" s="90" t="s">
        <v>1217</v>
      </c>
      <c r="D162" s="90" t="s">
        <v>918</v>
      </c>
      <c r="E162" s="66">
        <v>97.12</v>
      </c>
      <c r="F162" s="30">
        <v>2.2000000000000002</v>
      </c>
      <c r="G162" s="66">
        <v>213.66</v>
      </c>
      <c r="H162" s="66">
        <v>1691195.14</v>
      </c>
      <c r="I162" s="30">
        <v>99.3</v>
      </c>
      <c r="J162" s="30">
        <v>0.01</v>
      </c>
    </row>
    <row r="163" spans="1:10" ht="15" customHeight="1" x14ac:dyDescent="0.3">
      <c r="A163" s="90">
        <v>162</v>
      </c>
      <c r="B163" s="90" t="s">
        <v>1157</v>
      </c>
      <c r="C163" s="90" t="s">
        <v>1218</v>
      </c>
      <c r="D163" s="90" t="s">
        <v>918</v>
      </c>
      <c r="E163" s="66">
        <v>29.27</v>
      </c>
      <c r="F163" s="30">
        <v>7</v>
      </c>
      <c r="G163" s="66">
        <v>204.89</v>
      </c>
      <c r="H163" s="66">
        <v>1691400.03</v>
      </c>
      <c r="I163" s="30">
        <v>99.32</v>
      </c>
      <c r="J163" s="30">
        <v>0.01</v>
      </c>
    </row>
    <row r="164" spans="1:10" ht="15" customHeight="1" x14ac:dyDescent="0.3">
      <c r="A164" s="90">
        <v>163</v>
      </c>
      <c r="B164" s="90" t="s">
        <v>1157</v>
      </c>
      <c r="C164" s="90" t="s">
        <v>1219</v>
      </c>
      <c r="D164" s="90" t="s">
        <v>1107</v>
      </c>
      <c r="E164" s="66">
        <v>204</v>
      </c>
      <c r="F164" s="30">
        <v>1</v>
      </c>
      <c r="G164" s="66">
        <v>204</v>
      </c>
      <c r="H164" s="66">
        <v>1691604.03</v>
      </c>
      <c r="I164" s="30">
        <v>99.33</v>
      </c>
      <c r="J164" s="30">
        <v>0.01</v>
      </c>
    </row>
    <row r="165" spans="1:10" ht="15" customHeight="1" x14ac:dyDescent="0.3">
      <c r="A165" s="90">
        <v>164</v>
      </c>
      <c r="B165" s="90" t="s">
        <v>1157</v>
      </c>
      <c r="C165" s="90" t="s">
        <v>1220</v>
      </c>
      <c r="D165" s="90" t="s">
        <v>1221</v>
      </c>
      <c r="E165" s="66">
        <v>25</v>
      </c>
      <c r="F165" s="30">
        <v>8</v>
      </c>
      <c r="G165" s="66">
        <v>200</v>
      </c>
      <c r="H165" s="66">
        <v>1691804.03</v>
      </c>
      <c r="I165" s="30">
        <v>99.34</v>
      </c>
      <c r="J165" s="30">
        <v>0.01</v>
      </c>
    </row>
    <row r="166" spans="1:10" ht="15" customHeight="1" x14ac:dyDescent="0.3">
      <c r="A166" s="90">
        <v>165</v>
      </c>
      <c r="B166" s="90" t="s">
        <v>1157</v>
      </c>
      <c r="C166" s="90" t="s">
        <v>1222</v>
      </c>
      <c r="D166" s="90" t="s">
        <v>918</v>
      </c>
      <c r="E166" s="66">
        <v>2.5299999999999998</v>
      </c>
      <c r="F166" s="30">
        <v>79</v>
      </c>
      <c r="G166" s="66">
        <v>200</v>
      </c>
      <c r="H166" s="66">
        <v>1692004.03</v>
      </c>
      <c r="I166" s="30">
        <v>99.35</v>
      </c>
      <c r="J166" s="30">
        <v>0.01</v>
      </c>
    </row>
    <row r="167" spans="1:10" ht="15" customHeight="1" x14ac:dyDescent="0.3">
      <c r="A167" s="90">
        <v>166</v>
      </c>
      <c r="B167" s="90" t="s">
        <v>596</v>
      </c>
      <c r="C167" s="90" t="s">
        <v>1223</v>
      </c>
      <c r="D167" s="90" t="s">
        <v>918</v>
      </c>
      <c r="E167" s="66">
        <v>200</v>
      </c>
      <c r="F167" s="30">
        <v>1</v>
      </c>
      <c r="G167" s="66">
        <v>200</v>
      </c>
      <c r="H167" s="66">
        <v>1692204.03</v>
      </c>
      <c r="I167" s="30">
        <v>99.36</v>
      </c>
      <c r="J167" s="30">
        <v>0.01</v>
      </c>
    </row>
    <row r="168" spans="1:10" ht="15" customHeight="1" x14ac:dyDescent="0.3">
      <c r="A168" s="90">
        <v>167</v>
      </c>
      <c r="B168" s="90" t="s">
        <v>596</v>
      </c>
      <c r="C168" s="90" t="s">
        <v>1224</v>
      </c>
      <c r="D168" s="90" t="s">
        <v>918</v>
      </c>
      <c r="E168" s="66">
        <v>49</v>
      </c>
      <c r="F168" s="30">
        <v>4</v>
      </c>
      <c r="G168" s="66">
        <v>196</v>
      </c>
      <c r="H168" s="66">
        <v>1692400.03</v>
      </c>
      <c r="I168" s="30">
        <v>99.38</v>
      </c>
      <c r="J168" s="30">
        <v>0.01</v>
      </c>
    </row>
    <row r="169" spans="1:10" ht="15" customHeight="1" x14ac:dyDescent="0.3">
      <c r="A169" s="90">
        <v>168</v>
      </c>
      <c r="B169" s="90" t="s">
        <v>596</v>
      </c>
      <c r="C169" s="90" t="s">
        <v>1068</v>
      </c>
      <c r="D169" s="90" t="s">
        <v>918</v>
      </c>
      <c r="E169" s="66">
        <v>62.67</v>
      </c>
      <c r="F169" s="30">
        <v>3</v>
      </c>
      <c r="G169" s="66">
        <v>188.02</v>
      </c>
      <c r="H169" s="66">
        <v>1692588.05</v>
      </c>
      <c r="I169" s="30">
        <v>99.39</v>
      </c>
      <c r="J169" s="30">
        <v>0.01</v>
      </c>
    </row>
    <row r="170" spans="1:10" ht="15" customHeight="1" x14ac:dyDescent="0.3">
      <c r="A170" s="90">
        <v>169</v>
      </c>
      <c r="B170" s="90" t="s">
        <v>596</v>
      </c>
      <c r="C170" s="90" t="s">
        <v>1227</v>
      </c>
      <c r="D170" s="90" t="s">
        <v>918</v>
      </c>
      <c r="E170" s="66">
        <v>29</v>
      </c>
      <c r="F170" s="30">
        <v>5.9</v>
      </c>
      <c r="G170" s="66">
        <v>171.1</v>
      </c>
      <c r="H170" s="66">
        <v>1692759.15</v>
      </c>
      <c r="I170" s="30">
        <v>99.4</v>
      </c>
      <c r="J170" s="30">
        <v>0.01</v>
      </c>
    </row>
    <row r="171" spans="1:10" ht="15" customHeight="1" x14ac:dyDescent="0.3">
      <c r="A171" s="90">
        <v>170</v>
      </c>
      <c r="B171" s="90" t="s">
        <v>596</v>
      </c>
      <c r="C171" s="90" t="s">
        <v>1228</v>
      </c>
      <c r="D171" s="90" t="s">
        <v>918</v>
      </c>
      <c r="E171" s="66">
        <v>41.52</v>
      </c>
      <c r="F171" s="30">
        <v>4.0599999999999996</v>
      </c>
      <c r="G171" s="66">
        <v>168.57</v>
      </c>
      <c r="H171" s="66">
        <v>1692927.72</v>
      </c>
      <c r="I171" s="30">
        <v>99.41</v>
      </c>
      <c r="J171" s="30">
        <v>0.01</v>
      </c>
    </row>
    <row r="172" spans="1:10" ht="15" customHeight="1" x14ac:dyDescent="0.3">
      <c r="A172" s="90">
        <v>171</v>
      </c>
      <c r="B172" s="90" t="s">
        <v>596</v>
      </c>
      <c r="C172" s="90" t="s">
        <v>993</v>
      </c>
      <c r="D172" s="90" t="s">
        <v>918</v>
      </c>
      <c r="E172" s="66">
        <v>80</v>
      </c>
      <c r="F172" s="30">
        <v>2</v>
      </c>
      <c r="G172" s="66">
        <v>160</v>
      </c>
      <c r="H172" s="66">
        <v>1693087.72</v>
      </c>
      <c r="I172" s="30">
        <v>99.42</v>
      </c>
      <c r="J172" s="30">
        <v>0.01</v>
      </c>
    </row>
    <row r="173" spans="1:10" ht="15" customHeight="1" x14ac:dyDescent="0.3">
      <c r="A173" s="90">
        <v>172</v>
      </c>
      <c r="B173" s="90" t="s">
        <v>596</v>
      </c>
      <c r="C173" s="90" t="s">
        <v>1229</v>
      </c>
      <c r="D173" s="90" t="s">
        <v>918</v>
      </c>
      <c r="E173" s="66">
        <v>160</v>
      </c>
      <c r="F173" s="30">
        <v>1</v>
      </c>
      <c r="G173" s="66">
        <v>160</v>
      </c>
      <c r="H173" s="66">
        <v>1693247.72</v>
      </c>
      <c r="I173" s="30">
        <v>99.42</v>
      </c>
      <c r="J173" s="30">
        <v>0.01</v>
      </c>
    </row>
    <row r="174" spans="1:10" ht="15" customHeight="1" x14ac:dyDescent="0.3">
      <c r="A174" s="90">
        <v>173</v>
      </c>
      <c r="B174" s="90" t="s">
        <v>596</v>
      </c>
      <c r="C174" s="90" t="s">
        <v>1230</v>
      </c>
      <c r="D174" s="90" t="s">
        <v>918</v>
      </c>
      <c r="E174" s="66">
        <v>159</v>
      </c>
      <c r="F174" s="30">
        <v>1</v>
      </c>
      <c r="G174" s="66">
        <v>159</v>
      </c>
      <c r="H174" s="66">
        <v>1693406.72</v>
      </c>
      <c r="I174" s="30">
        <v>99.43</v>
      </c>
      <c r="J174" s="30">
        <v>0.01</v>
      </c>
    </row>
    <row r="175" spans="1:10" ht="15" customHeight="1" x14ac:dyDescent="0.3">
      <c r="A175" s="90">
        <v>174</v>
      </c>
      <c r="B175" s="90" t="s">
        <v>596</v>
      </c>
      <c r="C175" s="90" t="s">
        <v>1231</v>
      </c>
      <c r="D175" s="90" t="s">
        <v>1221</v>
      </c>
      <c r="E175" s="66">
        <v>17.440000000000001</v>
      </c>
      <c r="F175" s="30">
        <v>9</v>
      </c>
      <c r="G175" s="66">
        <v>157</v>
      </c>
      <c r="H175" s="66">
        <v>1693563.72</v>
      </c>
      <c r="I175" s="30">
        <v>99.44</v>
      </c>
      <c r="J175" s="30">
        <v>0.01</v>
      </c>
    </row>
    <row r="176" spans="1:10" ht="15" customHeight="1" x14ac:dyDescent="0.3">
      <c r="A176" s="90">
        <v>175</v>
      </c>
      <c r="B176" s="90" t="s">
        <v>596</v>
      </c>
      <c r="C176" s="90" t="s">
        <v>977</v>
      </c>
      <c r="D176" s="90" t="s">
        <v>918</v>
      </c>
      <c r="E176" s="66">
        <v>15.54</v>
      </c>
      <c r="F176" s="30">
        <v>10</v>
      </c>
      <c r="G176" s="66">
        <v>155.4</v>
      </c>
      <c r="H176" s="66">
        <v>1693719.12</v>
      </c>
      <c r="I176" s="30">
        <v>99.45</v>
      </c>
      <c r="J176" s="30">
        <v>0.01</v>
      </c>
    </row>
    <row r="177" spans="1:10" ht="15" customHeight="1" x14ac:dyDescent="0.3">
      <c r="A177" s="90">
        <v>176</v>
      </c>
      <c r="B177" s="90" t="s">
        <v>596</v>
      </c>
      <c r="C177" s="90" t="s">
        <v>1232</v>
      </c>
      <c r="D177" s="90" t="s">
        <v>918</v>
      </c>
      <c r="E177" s="66">
        <v>73</v>
      </c>
      <c r="F177" s="30">
        <v>2</v>
      </c>
      <c r="G177" s="66">
        <v>146</v>
      </c>
      <c r="H177" s="66">
        <v>1693865.12</v>
      </c>
      <c r="I177" s="30">
        <v>99.46</v>
      </c>
      <c r="J177" s="30">
        <v>0.01</v>
      </c>
    </row>
    <row r="178" spans="1:10" ht="15" customHeight="1" x14ac:dyDescent="0.3">
      <c r="A178" s="90">
        <v>177</v>
      </c>
      <c r="B178" s="90" t="s">
        <v>596</v>
      </c>
      <c r="C178" s="90" t="s">
        <v>1233</v>
      </c>
      <c r="D178" s="90" t="s">
        <v>918</v>
      </c>
      <c r="E178" s="66">
        <v>68</v>
      </c>
      <c r="F178" s="30">
        <v>2</v>
      </c>
      <c r="G178" s="66">
        <v>136</v>
      </c>
      <c r="H178" s="66">
        <v>1694001.12</v>
      </c>
      <c r="I178" s="30">
        <v>99.47</v>
      </c>
      <c r="J178" s="30">
        <v>0.01</v>
      </c>
    </row>
    <row r="179" spans="1:10" ht="15" customHeight="1" x14ac:dyDescent="0.3">
      <c r="A179" s="90">
        <v>178</v>
      </c>
      <c r="B179" s="90" t="s">
        <v>596</v>
      </c>
      <c r="C179" s="90" t="s">
        <v>1054</v>
      </c>
      <c r="D179" s="90" t="s">
        <v>918</v>
      </c>
      <c r="E179" s="66">
        <v>132</v>
      </c>
      <c r="F179" s="30">
        <v>1</v>
      </c>
      <c r="G179" s="66">
        <v>132</v>
      </c>
      <c r="H179" s="66">
        <v>1694133.12</v>
      </c>
      <c r="I179" s="30">
        <v>99.48</v>
      </c>
      <c r="J179" s="30">
        <v>0.01</v>
      </c>
    </row>
    <row r="180" spans="1:10" ht="15" customHeight="1" x14ac:dyDescent="0.3">
      <c r="A180" s="90">
        <v>179</v>
      </c>
      <c r="B180" s="90" t="s">
        <v>596</v>
      </c>
      <c r="C180" s="90" t="s">
        <v>1244</v>
      </c>
      <c r="D180" s="90" t="s">
        <v>918</v>
      </c>
      <c r="E180" s="66">
        <v>0.31</v>
      </c>
      <c r="F180" s="30">
        <v>430</v>
      </c>
      <c r="G180" s="66">
        <v>131.30000000000001</v>
      </c>
      <c r="H180" s="66">
        <v>1694264.42</v>
      </c>
      <c r="I180" s="30">
        <v>99.48</v>
      </c>
      <c r="J180" s="30">
        <v>0.01</v>
      </c>
    </row>
    <row r="181" spans="1:10" ht="15" customHeight="1" x14ac:dyDescent="0.3">
      <c r="A181" s="90">
        <v>180</v>
      </c>
      <c r="B181" s="90" t="s">
        <v>596</v>
      </c>
      <c r="C181" s="90" t="s">
        <v>1234</v>
      </c>
      <c r="D181" s="90" t="s">
        <v>918</v>
      </c>
      <c r="E181" s="66">
        <v>65</v>
      </c>
      <c r="F181" s="30">
        <v>2</v>
      </c>
      <c r="G181" s="66">
        <v>130</v>
      </c>
      <c r="H181" s="66">
        <v>1694394.42</v>
      </c>
      <c r="I181" s="30">
        <v>99.49</v>
      </c>
      <c r="J181" s="30">
        <v>0.01</v>
      </c>
    </row>
    <row r="182" spans="1:10" ht="15" customHeight="1" x14ac:dyDescent="0.3">
      <c r="A182" s="90">
        <v>181</v>
      </c>
      <c r="B182" s="90" t="s">
        <v>596</v>
      </c>
      <c r="C182" s="90" t="s">
        <v>1077</v>
      </c>
      <c r="D182" s="90" t="s">
        <v>918</v>
      </c>
      <c r="E182" s="66">
        <v>130</v>
      </c>
      <c r="F182" s="30">
        <v>1</v>
      </c>
      <c r="G182" s="66">
        <v>130</v>
      </c>
      <c r="H182" s="66">
        <v>1694524.42</v>
      </c>
      <c r="I182" s="30">
        <v>99.5</v>
      </c>
      <c r="J182" s="30">
        <v>0.01</v>
      </c>
    </row>
    <row r="183" spans="1:10" ht="15" customHeight="1" x14ac:dyDescent="0.3">
      <c r="A183" s="90">
        <v>182</v>
      </c>
      <c r="B183" s="90" t="s">
        <v>596</v>
      </c>
      <c r="C183" s="90" t="s">
        <v>1235</v>
      </c>
      <c r="D183" s="90" t="s">
        <v>918</v>
      </c>
      <c r="E183" s="66">
        <v>129.9</v>
      </c>
      <c r="F183" s="30">
        <v>1</v>
      </c>
      <c r="G183" s="66">
        <v>129.9</v>
      </c>
      <c r="H183" s="66">
        <v>1694654.32</v>
      </c>
      <c r="I183" s="30">
        <v>99.51</v>
      </c>
      <c r="J183" s="30">
        <v>0.01</v>
      </c>
    </row>
    <row r="184" spans="1:10" ht="15" customHeight="1" x14ac:dyDescent="0.3">
      <c r="A184" s="90">
        <v>183</v>
      </c>
      <c r="B184" s="90" t="s">
        <v>596</v>
      </c>
      <c r="C184" s="90" t="s">
        <v>2312</v>
      </c>
      <c r="D184" s="90" t="s">
        <v>918</v>
      </c>
      <c r="E184" s="66">
        <v>31.28</v>
      </c>
      <c r="F184" s="30">
        <v>4</v>
      </c>
      <c r="G184" s="66">
        <v>125.11</v>
      </c>
      <c r="H184" s="66">
        <v>1694779.43</v>
      </c>
      <c r="I184" s="30">
        <v>99.51</v>
      </c>
      <c r="J184" s="30">
        <v>0.01</v>
      </c>
    </row>
    <row r="185" spans="1:10" ht="15" customHeight="1" x14ac:dyDescent="0.3">
      <c r="A185" s="90">
        <v>184</v>
      </c>
      <c r="B185" s="90" t="s">
        <v>596</v>
      </c>
      <c r="C185" s="90" t="s">
        <v>939</v>
      </c>
      <c r="D185" s="90" t="s">
        <v>918</v>
      </c>
      <c r="E185" s="66">
        <v>123.15</v>
      </c>
      <c r="F185" s="30">
        <v>1</v>
      </c>
      <c r="G185" s="66">
        <v>123.15</v>
      </c>
      <c r="H185" s="66">
        <v>1694902.58</v>
      </c>
      <c r="I185" s="30">
        <v>99.52</v>
      </c>
      <c r="J185" s="30">
        <v>0.01</v>
      </c>
    </row>
    <row r="186" spans="1:10" ht="15" customHeight="1" x14ac:dyDescent="0.3">
      <c r="A186" s="90">
        <v>185</v>
      </c>
      <c r="B186" s="90" t="s">
        <v>596</v>
      </c>
      <c r="C186" s="90" t="s">
        <v>1526</v>
      </c>
      <c r="D186" s="90" t="s">
        <v>918</v>
      </c>
      <c r="E186" s="66">
        <v>121</v>
      </c>
      <c r="F186" s="30">
        <v>1</v>
      </c>
      <c r="G186" s="66">
        <v>121</v>
      </c>
      <c r="H186" s="66">
        <v>1695023.58</v>
      </c>
      <c r="I186" s="30">
        <v>99.53</v>
      </c>
      <c r="J186" s="30">
        <v>0.01</v>
      </c>
    </row>
    <row r="187" spans="1:10" ht="15" customHeight="1" x14ac:dyDescent="0.3">
      <c r="A187" s="90">
        <v>186</v>
      </c>
      <c r="B187" s="90" t="s">
        <v>596</v>
      </c>
      <c r="C187" s="90" t="s">
        <v>1236</v>
      </c>
      <c r="D187" s="90" t="s">
        <v>918</v>
      </c>
      <c r="E187" s="66">
        <v>40</v>
      </c>
      <c r="F187" s="30">
        <v>3</v>
      </c>
      <c r="G187" s="66">
        <v>120</v>
      </c>
      <c r="H187" s="66">
        <v>1695143.58</v>
      </c>
      <c r="I187" s="30">
        <v>99.54</v>
      </c>
      <c r="J187" s="30">
        <v>0.01</v>
      </c>
    </row>
    <row r="188" spans="1:10" ht="15" customHeight="1" x14ac:dyDescent="0.3">
      <c r="A188" s="90">
        <v>187</v>
      </c>
      <c r="B188" s="90" t="s">
        <v>596</v>
      </c>
      <c r="C188" s="90" t="s">
        <v>1062</v>
      </c>
      <c r="D188" s="90" t="s">
        <v>918</v>
      </c>
      <c r="E188" s="66">
        <v>59.83</v>
      </c>
      <c r="F188" s="30">
        <v>2</v>
      </c>
      <c r="G188" s="66">
        <v>119.65</v>
      </c>
      <c r="H188" s="66">
        <v>1695263.23</v>
      </c>
      <c r="I188" s="30">
        <v>99.54</v>
      </c>
      <c r="J188" s="30">
        <v>0.01</v>
      </c>
    </row>
    <row r="189" spans="1:10" ht="15" customHeight="1" x14ac:dyDescent="0.3">
      <c r="A189" s="90">
        <v>188</v>
      </c>
      <c r="B189" s="90" t="s">
        <v>596</v>
      </c>
      <c r="C189" s="90" t="s">
        <v>1056</v>
      </c>
      <c r="D189" s="90" t="s">
        <v>918</v>
      </c>
      <c r="E189" s="66">
        <v>59</v>
      </c>
      <c r="F189" s="30">
        <v>2</v>
      </c>
      <c r="G189" s="66">
        <v>118</v>
      </c>
      <c r="H189" s="66">
        <v>1695381.23</v>
      </c>
      <c r="I189" s="30">
        <v>99.55</v>
      </c>
      <c r="J189" s="30">
        <v>0.01</v>
      </c>
    </row>
    <row r="190" spans="1:10" ht="15" customHeight="1" x14ac:dyDescent="0.3">
      <c r="A190" s="90">
        <v>189</v>
      </c>
      <c r="B190" s="90" t="s">
        <v>596</v>
      </c>
      <c r="C190" s="90" t="s">
        <v>1237</v>
      </c>
      <c r="D190" s="90" t="s">
        <v>918</v>
      </c>
      <c r="E190" s="66">
        <v>23.52</v>
      </c>
      <c r="F190" s="30">
        <v>5</v>
      </c>
      <c r="G190" s="66">
        <v>117.6</v>
      </c>
      <c r="H190" s="66">
        <v>1695498.83</v>
      </c>
      <c r="I190" s="30">
        <v>99.56</v>
      </c>
      <c r="J190" s="30">
        <v>0.01</v>
      </c>
    </row>
    <row r="191" spans="1:10" ht="15" customHeight="1" x14ac:dyDescent="0.3">
      <c r="A191" s="90">
        <v>190</v>
      </c>
      <c r="B191" s="90" t="s">
        <v>596</v>
      </c>
      <c r="C191" s="90" t="s">
        <v>1238</v>
      </c>
      <c r="D191" s="90" t="s">
        <v>918</v>
      </c>
      <c r="E191" s="66">
        <v>51.25</v>
      </c>
      <c r="F191" s="30">
        <v>2.2799999999999998</v>
      </c>
      <c r="G191" s="66">
        <v>116.85</v>
      </c>
      <c r="H191" s="66">
        <v>1695615.68</v>
      </c>
      <c r="I191" s="30">
        <v>99.56</v>
      </c>
      <c r="J191" s="30">
        <v>0.01</v>
      </c>
    </row>
    <row r="192" spans="1:10" ht="15" customHeight="1" x14ac:dyDescent="0.3">
      <c r="A192" s="90">
        <v>191</v>
      </c>
      <c r="B192" s="90" t="s">
        <v>596</v>
      </c>
      <c r="C192" s="90" t="s">
        <v>1239</v>
      </c>
      <c r="D192" s="90" t="s">
        <v>918</v>
      </c>
      <c r="E192" s="66">
        <v>115</v>
      </c>
      <c r="F192" s="30">
        <v>1</v>
      </c>
      <c r="G192" s="66">
        <v>115</v>
      </c>
      <c r="H192" s="66">
        <v>1695730.68</v>
      </c>
      <c r="I192" s="30">
        <v>99.57</v>
      </c>
      <c r="J192" s="30">
        <v>0.01</v>
      </c>
    </row>
    <row r="193" spans="1:10" ht="15" customHeight="1" x14ac:dyDescent="0.3">
      <c r="A193" s="90">
        <v>192</v>
      </c>
      <c r="B193" s="90" t="s">
        <v>596</v>
      </c>
      <c r="C193" s="90" t="s">
        <v>2280</v>
      </c>
      <c r="D193" s="90" t="s">
        <v>918</v>
      </c>
      <c r="E193" s="66">
        <v>115</v>
      </c>
      <c r="F193" s="30">
        <v>1</v>
      </c>
      <c r="G193" s="66">
        <v>115</v>
      </c>
      <c r="H193" s="66">
        <v>1695845.68</v>
      </c>
      <c r="I193" s="30">
        <v>99.58</v>
      </c>
      <c r="J193" s="30">
        <v>0.01</v>
      </c>
    </row>
    <row r="194" spans="1:10" ht="15" customHeight="1" x14ac:dyDescent="0.3">
      <c r="A194" s="90">
        <v>193</v>
      </c>
      <c r="B194" s="90" t="s">
        <v>596</v>
      </c>
      <c r="C194" s="90" t="s">
        <v>943</v>
      </c>
      <c r="D194" s="90" t="s">
        <v>918</v>
      </c>
      <c r="E194" s="66">
        <v>57</v>
      </c>
      <c r="F194" s="30">
        <v>2</v>
      </c>
      <c r="G194" s="66">
        <v>114</v>
      </c>
      <c r="H194" s="66">
        <v>1695959.68</v>
      </c>
      <c r="I194" s="30">
        <v>99.58</v>
      </c>
      <c r="J194" s="30">
        <v>0.01</v>
      </c>
    </row>
    <row r="195" spans="1:10" ht="15" customHeight="1" x14ac:dyDescent="0.3">
      <c r="A195" s="90">
        <v>194</v>
      </c>
      <c r="B195" s="90" t="s">
        <v>596</v>
      </c>
      <c r="C195" s="90" t="s">
        <v>1240</v>
      </c>
      <c r="D195" s="90" t="s">
        <v>918</v>
      </c>
      <c r="E195" s="66">
        <v>22.4</v>
      </c>
      <c r="F195" s="30">
        <v>5</v>
      </c>
      <c r="G195" s="66">
        <v>112</v>
      </c>
      <c r="H195" s="66">
        <v>1696071.6799999999</v>
      </c>
      <c r="I195" s="30">
        <v>99.59</v>
      </c>
      <c r="J195" s="30">
        <v>0.01</v>
      </c>
    </row>
    <row r="196" spans="1:10" ht="15" customHeight="1" x14ac:dyDescent="0.3">
      <c r="A196" s="90">
        <v>195</v>
      </c>
      <c r="B196" s="90" t="s">
        <v>596</v>
      </c>
      <c r="C196" s="90" t="s">
        <v>1241</v>
      </c>
      <c r="D196" s="90" t="s">
        <v>918</v>
      </c>
      <c r="E196" s="66">
        <v>55.9</v>
      </c>
      <c r="F196" s="30">
        <v>2</v>
      </c>
      <c r="G196" s="66">
        <v>111.8</v>
      </c>
      <c r="H196" s="66">
        <v>1696183.48</v>
      </c>
      <c r="I196" s="30">
        <v>99.6</v>
      </c>
      <c r="J196" s="30">
        <v>0.01</v>
      </c>
    </row>
    <row r="197" spans="1:10" ht="15" customHeight="1" x14ac:dyDescent="0.3">
      <c r="A197" s="90">
        <v>196</v>
      </c>
      <c r="B197" s="90" t="s">
        <v>596</v>
      </c>
      <c r="C197" s="90" t="s">
        <v>1020</v>
      </c>
      <c r="D197" s="90" t="s">
        <v>918</v>
      </c>
      <c r="E197" s="66">
        <v>110.08</v>
      </c>
      <c r="F197" s="30">
        <v>1</v>
      </c>
      <c r="G197" s="66">
        <v>110.08</v>
      </c>
      <c r="H197" s="66">
        <v>1696293.56</v>
      </c>
      <c r="I197" s="30">
        <v>99.6</v>
      </c>
      <c r="J197" s="30">
        <v>0.01</v>
      </c>
    </row>
    <row r="198" spans="1:10" ht="15" customHeight="1" x14ac:dyDescent="0.3">
      <c r="A198" s="90">
        <v>197</v>
      </c>
      <c r="B198" s="90" t="s">
        <v>596</v>
      </c>
      <c r="C198" s="90" t="s">
        <v>997</v>
      </c>
      <c r="D198" s="90" t="s">
        <v>918</v>
      </c>
      <c r="E198" s="66">
        <v>22</v>
      </c>
      <c r="F198" s="30">
        <v>5</v>
      </c>
      <c r="G198" s="66">
        <v>110</v>
      </c>
      <c r="H198" s="66">
        <v>1696403.56</v>
      </c>
      <c r="I198" s="30">
        <v>99.61</v>
      </c>
      <c r="J198" s="30">
        <v>0.01</v>
      </c>
    </row>
    <row r="199" spans="1:10" ht="15" customHeight="1" x14ac:dyDescent="0.3">
      <c r="A199" s="90">
        <v>198</v>
      </c>
      <c r="B199" s="90" t="s">
        <v>596</v>
      </c>
      <c r="C199" s="90" t="s">
        <v>1242</v>
      </c>
      <c r="D199" s="90" t="s">
        <v>918</v>
      </c>
      <c r="E199" s="66">
        <v>54.55</v>
      </c>
      <c r="F199" s="30">
        <v>2</v>
      </c>
      <c r="G199" s="66">
        <v>109.1</v>
      </c>
      <c r="H199" s="66">
        <v>1696512.66</v>
      </c>
      <c r="I199" s="30">
        <v>99.62</v>
      </c>
      <c r="J199" s="30">
        <v>0.01</v>
      </c>
    </row>
    <row r="200" spans="1:10" ht="15" customHeight="1" x14ac:dyDescent="0.3">
      <c r="A200" s="90">
        <v>199</v>
      </c>
      <c r="B200" s="90" t="s">
        <v>596</v>
      </c>
      <c r="C200" s="90" t="s">
        <v>1243</v>
      </c>
      <c r="D200" s="90" t="s">
        <v>918</v>
      </c>
      <c r="E200" s="66">
        <v>108.64</v>
      </c>
      <c r="F200" s="30">
        <v>1</v>
      </c>
      <c r="G200" s="66">
        <v>108.64</v>
      </c>
      <c r="H200" s="66">
        <v>1696621.3</v>
      </c>
      <c r="I200" s="30">
        <v>99.62</v>
      </c>
      <c r="J200" s="30">
        <v>0.01</v>
      </c>
    </row>
    <row r="201" spans="1:10" ht="15" customHeight="1" x14ac:dyDescent="0.3">
      <c r="A201" s="90">
        <v>200</v>
      </c>
      <c r="B201" s="90" t="s">
        <v>596</v>
      </c>
      <c r="C201" s="90" t="s">
        <v>1245</v>
      </c>
      <c r="D201" s="90" t="s">
        <v>918</v>
      </c>
      <c r="E201" s="66">
        <v>106.28</v>
      </c>
      <c r="F201" s="30">
        <v>1</v>
      </c>
      <c r="G201" s="66">
        <v>106.28</v>
      </c>
      <c r="H201" s="66">
        <v>1696727.58</v>
      </c>
      <c r="I201" s="30">
        <v>99.63</v>
      </c>
      <c r="J201" s="30">
        <v>0.01</v>
      </c>
    </row>
    <row r="202" spans="1:10" ht="15" customHeight="1" x14ac:dyDescent="0.3">
      <c r="A202" s="90">
        <v>201</v>
      </c>
      <c r="B202" s="90" t="s">
        <v>596</v>
      </c>
      <c r="C202" s="90" t="s">
        <v>1246</v>
      </c>
      <c r="D202" s="90" t="s">
        <v>918</v>
      </c>
      <c r="E202" s="66">
        <v>53.09</v>
      </c>
      <c r="F202" s="30">
        <v>2</v>
      </c>
      <c r="G202" s="66">
        <v>106.18</v>
      </c>
      <c r="H202" s="66">
        <v>1696833.76</v>
      </c>
      <c r="I202" s="30">
        <v>99.64</v>
      </c>
      <c r="J202" s="30">
        <v>0.01</v>
      </c>
    </row>
    <row r="203" spans="1:10" ht="15" customHeight="1" x14ac:dyDescent="0.3">
      <c r="A203" s="90">
        <v>202</v>
      </c>
      <c r="B203" s="90" t="s">
        <v>596</v>
      </c>
      <c r="C203" s="90" t="s">
        <v>1033</v>
      </c>
      <c r="D203" s="90" t="s">
        <v>918</v>
      </c>
      <c r="E203" s="66">
        <v>106</v>
      </c>
      <c r="F203" s="30">
        <v>1</v>
      </c>
      <c r="G203" s="66">
        <v>106</v>
      </c>
      <c r="H203" s="66">
        <v>1696939.76</v>
      </c>
      <c r="I203" s="30">
        <v>99.64</v>
      </c>
      <c r="J203" s="30">
        <v>0.01</v>
      </c>
    </row>
    <row r="204" spans="1:10" ht="15" customHeight="1" x14ac:dyDescent="0.3">
      <c r="A204" s="90">
        <v>203</v>
      </c>
      <c r="B204" s="90" t="s">
        <v>596</v>
      </c>
      <c r="C204" s="90" t="s">
        <v>1022</v>
      </c>
      <c r="D204" s="90" t="s">
        <v>918</v>
      </c>
      <c r="E204" s="66">
        <v>52.5</v>
      </c>
      <c r="F204" s="30">
        <v>2</v>
      </c>
      <c r="G204" s="66">
        <v>105</v>
      </c>
      <c r="H204" s="66">
        <v>1697044.76</v>
      </c>
      <c r="I204" s="30">
        <v>99.65</v>
      </c>
      <c r="J204" s="30">
        <v>0.01</v>
      </c>
    </row>
    <row r="205" spans="1:10" ht="15" customHeight="1" x14ac:dyDescent="0.3">
      <c r="A205" s="90">
        <v>204</v>
      </c>
      <c r="B205" s="90" t="s">
        <v>596</v>
      </c>
      <c r="C205" s="90" t="s">
        <v>1247</v>
      </c>
      <c r="D205" s="90" t="s">
        <v>918</v>
      </c>
      <c r="E205" s="66">
        <v>104.97</v>
      </c>
      <c r="F205" s="30">
        <v>1</v>
      </c>
      <c r="G205" s="66">
        <v>104.97</v>
      </c>
      <c r="H205" s="66">
        <v>1697149.73</v>
      </c>
      <c r="I205" s="30">
        <v>99.65</v>
      </c>
      <c r="J205" s="30">
        <v>0.01</v>
      </c>
    </row>
    <row r="206" spans="1:10" ht="15" customHeight="1" x14ac:dyDescent="0.3">
      <c r="A206" s="90">
        <v>205</v>
      </c>
      <c r="B206" s="90" t="s">
        <v>596</v>
      </c>
      <c r="C206" s="90" t="s">
        <v>1248</v>
      </c>
      <c r="D206" s="90" t="s">
        <v>918</v>
      </c>
      <c r="E206" s="66">
        <v>50</v>
      </c>
      <c r="F206" s="30">
        <v>2</v>
      </c>
      <c r="G206" s="66">
        <v>100</v>
      </c>
      <c r="H206" s="66">
        <v>1697249.73</v>
      </c>
      <c r="I206" s="30">
        <v>99.66</v>
      </c>
      <c r="J206" s="30">
        <v>0.01</v>
      </c>
    </row>
    <row r="207" spans="1:10" ht="15" customHeight="1" x14ac:dyDescent="0.3">
      <c r="A207" s="90">
        <v>206</v>
      </c>
      <c r="B207" s="90" t="s">
        <v>596</v>
      </c>
      <c r="C207" s="90" t="s">
        <v>1249</v>
      </c>
      <c r="D207" s="90" t="s">
        <v>918</v>
      </c>
      <c r="E207" s="66">
        <v>1</v>
      </c>
      <c r="F207" s="30">
        <v>100</v>
      </c>
      <c r="G207" s="66">
        <v>100</v>
      </c>
      <c r="H207" s="66">
        <v>1697349.73</v>
      </c>
      <c r="I207" s="30">
        <v>99.67</v>
      </c>
      <c r="J207" s="30">
        <v>0.01</v>
      </c>
    </row>
    <row r="208" spans="1:10" ht="15" customHeight="1" x14ac:dyDescent="0.3">
      <c r="A208" s="90">
        <v>207</v>
      </c>
      <c r="B208" s="90" t="s">
        <v>596</v>
      </c>
      <c r="C208" s="90" t="s">
        <v>1250</v>
      </c>
      <c r="D208" s="90" t="s">
        <v>918</v>
      </c>
      <c r="E208" s="66">
        <v>100</v>
      </c>
      <c r="F208" s="30">
        <v>1</v>
      </c>
      <c r="G208" s="66">
        <v>100</v>
      </c>
      <c r="H208" s="66">
        <v>1697449.73</v>
      </c>
      <c r="I208" s="30">
        <v>99.67</v>
      </c>
      <c r="J208" s="30">
        <v>0.01</v>
      </c>
    </row>
    <row r="209" spans="1:10" ht="15" customHeight="1" x14ac:dyDescent="0.3">
      <c r="A209" s="90">
        <v>208</v>
      </c>
      <c r="B209" s="90" t="s">
        <v>596</v>
      </c>
      <c r="C209" s="90" t="s">
        <v>1251</v>
      </c>
      <c r="D209" s="90" t="s">
        <v>918</v>
      </c>
      <c r="E209" s="66">
        <v>100</v>
      </c>
      <c r="F209" s="30">
        <v>1</v>
      </c>
      <c r="G209" s="66">
        <v>100</v>
      </c>
      <c r="H209" s="66">
        <v>1697549.73</v>
      </c>
      <c r="I209" s="30">
        <v>99.68</v>
      </c>
      <c r="J209" s="30">
        <v>0.01</v>
      </c>
    </row>
    <row r="210" spans="1:10" ht="15" customHeight="1" x14ac:dyDescent="0.3">
      <c r="A210" s="90">
        <v>209</v>
      </c>
      <c r="B210" s="90" t="s">
        <v>596</v>
      </c>
      <c r="C210" s="90" t="s">
        <v>1035</v>
      </c>
      <c r="D210" s="90" t="s">
        <v>918</v>
      </c>
      <c r="E210" s="66">
        <v>98</v>
      </c>
      <c r="F210" s="30">
        <v>1</v>
      </c>
      <c r="G210" s="66">
        <v>98</v>
      </c>
      <c r="H210" s="66">
        <v>1697647.73</v>
      </c>
      <c r="I210" s="30">
        <v>99.68</v>
      </c>
      <c r="J210" s="30">
        <v>0.01</v>
      </c>
    </row>
    <row r="211" spans="1:10" ht="15" customHeight="1" x14ac:dyDescent="0.3">
      <c r="A211" s="90">
        <v>210</v>
      </c>
      <c r="B211" s="90" t="s">
        <v>596</v>
      </c>
      <c r="C211" s="90" t="s">
        <v>1252</v>
      </c>
      <c r="D211" s="90" t="s">
        <v>918</v>
      </c>
      <c r="E211" s="66">
        <v>48</v>
      </c>
      <c r="F211" s="30">
        <v>2</v>
      </c>
      <c r="G211" s="66">
        <v>96</v>
      </c>
      <c r="H211" s="66">
        <v>1697743.73</v>
      </c>
      <c r="I211" s="30">
        <v>99.69</v>
      </c>
      <c r="J211" s="30">
        <v>0.01</v>
      </c>
    </row>
    <row r="212" spans="1:10" ht="15" customHeight="1" x14ac:dyDescent="0.3">
      <c r="A212" s="90">
        <v>211</v>
      </c>
      <c r="B212" s="90" t="s">
        <v>596</v>
      </c>
      <c r="C212" s="90" t="s">
        <v>957</v>
      </c>
      <c r="D212" s="90" t="s">
        <v>918</v>
      </c>
      <c r="E212" s="66">
        <v>47</v>
      </c>
      <c r="F212" s="30">
        <v>2</v>
      </c>
      <c r="G212" s="66">
        <v>94</v>
      </c>
      <c r="H212" s="66">
        <v>1697837.73</v>
      </c>
      <c r="I212" s="30">
        <v>99.69</v>
      </c>
      <c r="J212" s="30">
        <v>0.01</v>
      </c>
    </row>
    <row r="213" spans="1:10" ht="15" customHeight="1" x14ac:dyDescent="0.3">
      <c r="A213" s="90">
        <v>212</v>
      </c>
      <c r="B213" s="90" t="s">
        <v>596</v>
      </c>
      <c r="C213" s="90" t="s">
        <v>1253</v>
      </c>
      <c r="D213" s="90" t="s">
        <v>918</v>
      </c>
      <c r="E213" s="66">
        <v>23</v>
      </c>
      <c r="F213" s="30">
        <v>4</v>
      </c>
      <c r="G213" s="66">
        <v>92</v>
      </c>
      <c r="H213" s="66">
        <v>1697929.73</v>
      </c>
      <c r="I213" s="30">
        <v>99.7</v>
      </c>
      <c r="J213" s="30">
        <v>0.01</v>
      </c>
    </row>
    <row r="214" spans="1:10" ht="15" customHeight="1" x14ac:dyDescent="0.3">
      <c r="A214" s="90">
        <v>213</v>
      </c>
      <c r="B214" s="90" t="s">
        <v>596</v>
      </c>
      <c r="C214" s="90" t="s">
        <v>987</v>
      </c>
      <c r="D214" s="90" t="s">
        <v>918</v>
      </c>
      <c r="E214" s="66">
        <v>45.59</v>
      </c>
      <c r="F214" s="30">
        <v>2</v>
      </c>
      <c r="G214" s="66">
        <v>91.18</v>
      </c>
      <c r="H214" s="66">
        <v>1698020.91</v>
      </c>
      <c r="I214" s="30">
        <v>99.71</v>
      </c>
      <c r="J214" s="30">
        <v>0.01</v>
      </c>
    </row>
    <row r="215" spans="1:10" ht="15" customHeight="1" x14ac:dyDescent="0.3">
      <c r="A215" s="90">
        <v>214</v>
      </c>
      <c r="B215" s="90" t="s">
        <v>596</v>
      </c>
      <c r="C215" s="90" t="s">
        <v>1254</v>
      </c>
      <c r="D215" s="90" t="s">
        <v>918</v>
      </c>
      <c r="E215" s="66">
        <v>45</v>
      </c>
      <c r="F215" s="30">
        <v>2</v>
      </c>
      <c r="G215" s="66">
        <v>90</v>
      </c>
      <c r="H215" s="66">
        <v>1698110.91</v>
      </c>
      <c r="I215" s="30">
        <v>99.71</v>
      </c>
      <c r="J215" s="30">
        <v>0.01</v>
      </c>
    </row>
    <row r="216" spans="1:10" ht="15" customHeight="1" x14ac:dyDescent="0.3">
      <c r="A216" s="90">
        <v>215</v>
      </c>
      <c r="B216" s="90" t="s">
        <v>596</v>
      </c>
      <c r="C216" s="90" t="s">
        <v>1527</v>
      </c>
      <c r="D216" s="90" t="s">
        <v>918</v>
      </c>
      <c r="E216" s="66">
        <v>45</v>
      </c>
      <c r="F216" s="30">
        <v>2</v>
      </c>
      <c r="G216" s="66">
        <v>90</v>
      </c>
      <c r="H216" s="66">
        <v>1698200.91</v>
      </c>
      <c r="I216" s="30">
        <v>99.72</v>
      </c>
      <c r="J216" s="30">
        <v>0.01</v>
      </c>
    </row>
    <row r="217" spans="1:10" ht="15" customHeight="1" x14ac:dyDescent="0.3">
      <c r="A217" s="90">
        <v>216</v>
      </c>
      <c r="B217" s="90" t="s">
        <v>596</v>
      </c>
      <c r="C217" s="90" t="s">
        <v>1255</v>
      </c>
      <c r="D217" s="90" t="s">
        <v>918</v>
      </c>
      <c r="E217" s="66">
        <v>89.5</v>
      </c>
      <c r="F217" s="30">
        <v>1</v>
      </c>
      <c r="G217" s="66">
        <v>89.5</v>
      </c>
      <c r="H217" s="66">
        <v>1698290.41</v>
      </c>
      <c r="I217" s="30">
        <v>99.72</v>
      </c>
      <c r="J217" s="30">
        <v>0.01</v>
      </c>
    </row>
    <row r="218" spans="1:10" ht="15" customHeight="1" x14ac:dyDescent="0.3">
      <c r="A218" s="90">
        <v>217</v>
      </c>
      <c r="B218" s="90" t="s">
        <v>596</v>
      </c>
      <c r="C218" s="90" t="s">
        <v>1256</v>
      </c>
      <c r="D218" s="90" t="s">
        <v>918</v>
      </c>
      <c r="E218" s="66">
        <v>88</v>
      </c>
      <c r="F218" s="30">
        <v>1</v>
      </c>
      <c r="G218" s="66">
        <v>88</v>
      </c>
      <c r="H218" s="66">
        <v>1698378.41</v>
      </c>
      <c r="I218" s="30">
        <v>99.73</v>
      </c>
      <c r="J218" s="30">
        <v>0.01</v>
      </c>
    </row>
    <row r="219" spans="1:10" ht="15" customHeight="1" x14ac:dyDescent="0.3">
      <c r="A219" s="90">
        <v>218</v>
      </c>
      <c r="B219" s="90" t="s">
        <v>596</v>
      </c>
      <c r="C219" s="90" t="s">
        <v>1257</v>
      </c>
      <c r="D219" s="90" t="s">
        <v>918</v>
      </c>
      <c r="E219" s="66">
        <v>80.7</v>
      </c>
      <c r="F219" s="30">
        <v>1.07</v>
      </c>
      <c r="G219" s="66">
        <v>86.35</v>
      </c>
      <c r="H219" s="66">
        <v>1698464.76</v>
      </c>
      <c r="I219" s="30">
        <v>99.73</v>
      </c>
      <c r="J219" s="30">
        <v>0.01</v>
      </c>
    </row>
    <row r="220" spans="1:10" ht="15" customHeight="1" x14ac:dyDescent="0.3">
      <c r="A220" s="90">
        <v>219</v>
      </c>
      <c r="B220" s="90" t="s">
        <v>596</v>
      </c>
      <c r="C220" s="90" t="s">
        <v>1084</v>
      </c>
      <c r="D220" s="90" t="s">
        <v>918</v>
      </c>
      <c r="E220" s="66">
        <v>86</v>
      </c>
      <c r="F220" s="30">
        <v>1</v>
      </c>
      <c r="G220" s="66">
        <v>86</v>
      </c>
      <c r="H220" s="66">
        <v>1698550.76</v>
      </c>
      <c r="I220" s="30">
        <v>99.74</v>
      </c>
      <c r="J220" s="30">
        <v>0.01</v>
      </c>
    </row>
    <row r="221" spans="1:10" ht="15" customHeight="1" x14ac:dyDescent="0.3">
      <c r="A221" s="90">
        <v>220</v>
      </c>
      <c r="B221" s="90" t="s">
        <v>596</v>
      </c>
      <c r="C221" s="90" t="s">
        <v>1258</v>
      </c>
      <c r="D221" s="90" t="s">
        <v>918</v>
      </c>
      <c r="E221" s="66">
        <v>84.02</v>
      </c>
      <c r="F221" s="30">
        <v>1</v>
      </c>
      <c r="G221" s="66">
        <v>84.02</v>
      </c>
      <c r="H221" s="66">
        <v>1698634.78</v>
      </c>
      <c r="I221" s="30">
        <v>99.74</v>
      </c>
      <c r="J221" s="30">
        <v>0</v>
      </c>
    </row>
    <row r="222" spans="1:10" ht="15" customHeight="1" x14ac:dyDescent="0.3">
      <c r="A222" s="90">
        <v>221</v>
      </c>
      <c r="B222" s="90" t="s">
        <v>596</v>
      </c>
      <c r="C222" s="90" t="s">
        <v>1000</v>
      </c>
      <c r="D222" s="90" t="s">
        <v>918</v>
      </c>
      <c r="E222" s="66">
        <v>20.53</v>
      </c>
      <c r="F222" s="30">
        <v>4</v>
      </c>
      <c r="G222" s="66">
        <v>82.12</v>
      </c>
      <c r="H222" s="66">
        <v>1698716.9</v>
      </c>
      <c r="I222" s="30">
        <v>99.75</v>
      </c>
      <c r="J222" s="30">
        <v>0</v>
      </c>
    </row>
    <row r="223" spans="1:10" ht="15" customHeight="1" x14ac:dyDescent="0.3">
      <c r="A223" s="90">
        <v>222</v>
      </c>
      <c r="B223" s="90" t="s">
        <v>596</v>
      </c>
      <c r="C223" s="90" t="s">
        <v>1259</v>
      </c>
      <c r="D223" s="90" t="s">
        <v>918</v>
      </c>
      <c r="E223" s="66">
        <v>80.95</v>
      </c>
      <c r="F223" s="30">
        <v>1</v>
      </c>
      <c r="G223" s="66">
        <v>80.95</v>
      </c>
      <c r="H223" s="66">
        <v>1698797.85</v>
      </c>
      <c r="I223" s="30">
        <v>99.75</v>
      </c>
      <c r="J223" s="30">
        <v>0</v>
      </c>
    </row>
    <row r="224" spans="1:10" ht="15" customHeight="1" x14ac:dyDescent="0.3">
      <c r="A224" s="90">
        <v>223</v>
      </c>
      <c r="B224" s="90" t="s">
        <v>596</v>
      </c>
      <c r="C224" s="90" t="s">
        <v>1260</v>
      </c>
      <c r="D224" s="90" t="s">
        <v>918</v>
      </c>
      <c r="E224" s="66">
        <v>80</v>
      </c>
      <c r="F224" s="30">
        <v>1</v>
      </c>
      <c r="G224" s="66">
        <v>80</v>
      </c>
      <c r="H224" s="66">
        <v>1698877.85</v>
      </c>
      <c r="I224" s="30">
        <v>99.76</v>
      </c>
      <c r="J224" s="30">
        <v>0</v>
      </c>
    </row>
    <row r="225" spans="1:10" ht="15" customHeight="1" x14ac:dyDescent="0.3">
      <c r="A225" s="90">
        <v>224</v>
      </c>
      <c r="B225" s="90" t="s">
        <v>596</v>
      </c>
      <c r="C225" s="90" t="s">
        <v>1261</v>
      </c>
      <c r="D225" s="90" t="s">
        <v>918</v>
      </c>
      <c r="E225" s="66">
        <v>30.48</v>
      </c>
      <c r="F225" s="30">
        <v>2.5</v>
      </c>
      <c r="G225" s="66">
        <v>76.2</v>
      </c>
      <c r="H225" s="66">
        <v>1698954.05</v>
      </c>
      <c r="I225" s="30">
        <v>99.76</v>
      </c>
      <c r="J225" s="30">
        <v>0</v>
      </c>
    </row>
    <row r="226" spans="1:10" ht="15" customHeight="1" x14ac:dyDescent="0.3">
      <c r="A226" s="90">
        <v>225</v>
      </c>
      <c r="B226" s="90" t="s">
        <v>596</v>
      </c>
      <c r="C226" s="90" t="s">
        <v>989</v>
      </c>
      <c r="D226" s="90" t="s">
        <v>918</v>
      </c>
      <c r="E226" s="66">
        <v>38</v>
      </c>
      <c r="F226" s="30">
        <v>2</v>
      </c>
      <c r="G226" s="66">
        <v>76</v>
      </c>
      <c r="H226" s="66">
        <v>1699030.05</v>
      </c>
      <c r="I226" s="30">
        <v>99.76</v>
      </c>
      <c r="J226" s="30">
        <v>0</v>
      </c>
    </row>
    <row r="227" spans="1:10" ht="15" customHeight="1" x14ac:dyDescent="0.3">
      <c r="A227" s="90">
        <v>226</v>
      </c>
      <c r="B227" s="90" t="s">
        <v>596</v>
      </c>
      <c r="C227" s="90" t="s">
        <v>1528</v>
      </c>
      <c r="D227" s="90" t="s">
        <v>918</v>
      </c>
      <c r="E227" s="66">
        <v>75</v>
      </c>
      <c r="F227" s="30">
        <v>1</v>
      </c>
      <c r="G227" s="66">
        <v>75</v>
      </c>
      <c r="H227" s="66">
        <v>1699105.05</v>
      </c>
      <c r="I227" s="30">
        <v>99.77</v>
      </c>
      <c r="J227" s="30">
        <v>0</v>
      </c>
    </row>
    <row r="228" spans="1:10" ht="15" customHeight="1" x14ac:dyDescent="0.3">
      <c r="A228" s="90">
        <v>227</v>
      </c>
      <c r="B228" s="90" t="s">
        <v>596</v>
      </c>
      <c r="C228" s="90" t="s">
        <v>1262</v>
      </c>
      <c r="D228" s="90" t="s">
        <v>918</v>
      </c>
      <c r="E228" s="66">
        <v>44</v>
      </c>
      <c r="F228" s="30">
        <v>1.7</v>
      </c>
      <c r="G228" s="66">
        <v>74.8</v>
      </c>
      <c r="H228" s="66">
        <v>1699179.85</v>
      </c>
      <c r="I228" s="30">
        <v>99.77</v>
      </c>
      <c r="J228" s="30">
        <v>0</v>
      </c>
    </row>
    <row r="229" spans="1:10" ht="15" customHeight="1" x14ac:dyDescent="0.3">
      <c r="A229" s="90">
        <v>228</v>
      </c>
      <c r="B229" s="90" t="s">
        <v>596</v>
      </c>
      <c r="C229" s="90" t="s">
        <v>1082</v>
      </c>
      <c r="D229" s="90" t="s">
        <v>918</v>
      </c>
      <c r="E229" s="66">
        <v>18.5</v>
      </c>
      <c r="F229" s="30">
        <v>4</v>
      </c>
      <c r="G229" s="66">
        <v>74</v>
      </c>
      <c r="H229" s="66">
        <v>1699253.85</v>
      </c>
      <c r="I229" s="30">
        <v>99.78</v>
      </c>
      <c r="J229" s="30">
        <v>0</v>
      </c>
    </row>
    <row r="230" spans="1:10" ht="15" customHeight="1" x14ac:dyDescent="0.3">
      <c r="A230" s="90">
        <v>229</v>
      </c>
      <c r="B230" s="90" t="s">
        <v>596</v>
      </c>
      <c r="C230" s="90" t="s">
        <v>1263</v>
      </c>
      <c r="D230" s="90" t="s">
        <v>918</v>
      </c>
      <c r="E230" s="66">
        <v>73.78</v>
      </c>
      <c r="F230" s="30">
        <v>1</v>
      </c>
      <c r="G230" s="66">
        <v>73.78</v>
      </c>
      <c r="H230" s="66">
        <v>1699327.63</v>
      </c>
      <c r="I230" s="30">
        <v>99.78</v>
      </c>
      <c r="J230" s="30">
        <v>0</v>
      </c>
    </row>
    <row r="231" spans="1:10" ht="15" customHeight="1" x14ac:dyDescent="0.3">
      <c r="A231" s="90">
        <v>230</v>
      </c>
      <c r="B231" s="90" t="s">
        <v>596</v>
      </c>
      <c r="C231" s="90" t="s">
        <v>1264</v>
      </c>
      <c r="D231" s="90" t="s">
        <v>918</v>
      </c>
      <c r="E231" s="66">
        <v>1.4</v>
      </c>
      <c r="F231" s="30">
        <v>50</v>
      </c>
      <c r="G231" s="66">
        <v>70</v>
      </c>
      <c r="H231" s="66">
        <v>1699397.63</v>
      </c>
      <c r="I231" s="30">
        <v>99.79</v>
      </c>
      <c r="J231" s="30">
        <v>0</v>
      </c>
    </row>
    <row r="232" spans="1:10" ht="15" customHeight="1" x14ac:dyDescent="0.3">
      <c r="A232" s="90">
        <v>231</v>
      </c>
      <c r="B232" s="90" t="s">
        <v>596</v>
      </c>
      <c r="C232" s="90" t="s">
        <v>1265</v>
      </c>
      <c r="D232" s="90" t="s">
        <v>918</v>
      </c>
      <c r="E232" s="66">
        <v>70</v>
      </c>
      <c r="F232" s="30">
        <v>1</v>
      </c>
      <c r="G232" s="66">
        <v>70</v>
      </c>
      <c r="H232" s="66">
        <v>1699467.63</v>
      </c>
      <c r="I232" s="30">
        <v>99.79</v>
      </c>
      <c r="J232" s="30">
        <v>0</v>
      </c>
    </row>
    <row r="233" spans="1:10" ht="15" customHeight="1" x14ac:dyDescent="0.3">
      <c r="A233" s="90">
        <v>232</v>
      </c>
      <c r="B233" s="90" t="s">
        <v>596</v>
      </c>
      <c r="C233" s="90" t="s">
        <v>1266</v>
      </c>
      <c r="D233" s="90" t="s">
        <v>918</v>
      </c>
      <c r="E233" s="66">
        <v>34</v>
      </c>
      <c r="F233" s="30">
        <v>2</v>
      </c>
      <c r="G233" s="66">
        <v>68</v>
      </c>
      <c r="H233" s="66">
        <v>1699535.63</v>
      </c>
      <c r="I233" s="30">
        <v>99.79</v>
      </c>
      <c r="J233" s="30">
        <v>0</v>
      </c>
    </row>
    <row r="234" spans="1:10" ht="15" customHeight="1" x14ac:dyDescent="0.3">
      <c r="A234" s="90">
        <v>233</v>
      </c>
      <c r="B234" s="90" t="s">
        <v>596</v>
      </c>
      <c r="C234" s="90" t="s">
        <v>1267</v>
      </c>
      <c r="D234" s="90" t="s">
        <v>918</v>
      </c>
      <c r="E234" s="66">
        <v>17</v>
      </c>
      <c r="F234" s="30">
        <v>4</v>
      </c>
      <c r="G234" s="66">
        <v>68</v>
      </c>
      <c r="H234" s="66">
        <v>1699603.63</v>
      </c>
      <c r="I234" s="30">
        <v>99.8</v>
      </c>
      <c r="J234" s="30">
        <v>0</v>
      </c>
    </row>
    <row r="235" spans="1:10" ht="15" customHeight="1" x14ac:dyDescent="0.3">
      <c r="A235" s="90">
        <v>234</v>
      </c>
      <c r="B235" s="90" t="s">
        <v>596</v>
      </c>
      <c r="C235" s="90" t="s">
        <v>1043</v>
      </c>
      <c r="D235" s="90" t="s">
        <v>918</v>
      </c>
      <c r="E235" s="66">
        <v>67</v>
      </c>
      <c r="F235" s="30">
        <v>1</v>
      </c>
      <c r="G235" s="66">
        <v>67</v>
      </c>
      <c r="H235" s="66">
        <v>1699670.63</v>
      </c>
      <c r="I235" s="30">
        <v>99.8</v>
      </c>
      <c r="J235" s="30">
        <v>0</v>
      </c>
    </row>
    <row r="236" spans="1:10" ht="15" customHeight="1" x14ac:dyDescent="0.3">
      <c r="A236" s="90">
        <v>235</v>
      </c>
      <c r="B236" s="90" t="s">
        <v>596</v>
      </c>
      <c r="C236" s="90" t="s">
        <v>1268</v>
      </c>
      <c r="D236" s="90" t="s">
        <v>918</v>
      </c>
      <c r="E236" s="66">
        <v>67</v>
      </c>
      <c r="F236" s="30">
        <v>1</v>
      </c>
      <c r="G236" s="66">
        <v>67</v>
      </c>
      <c r="H236" s="66">
        <v>1699737.63</v>
      </c>
      <c r="I236" s="30">
        <v>99.81</v>
      </c>
      <c r="J236" s="30">
        <v>0</v>
      </c>
    </row>
    <row r="237" spans="1:10" ht="15" customHeight="1" x14ac:dyDescent="0.3">
      <c r="A237" s="90">
        <v>236</v>
      </c>
      <c r="B237" s="90" t="s">
        <v>596</v>
      </c>
      <c r="C237" s="90" t="s">
        <v>1029</v>
      </c>
      <c r="D237" s="90" t="s">
        <v>918</v>
      </c>
      <c r="E237" s="66">
        <v>67</v>
      </c>
      <c r="F237" s="30">
        <v>1</v>
      </c>
      <c r="G237" s="66">
        <v>67</v>
      </c>
      <c r="H237" s="66">
        <v>1699804.63</v>
      </c>
      <c r="I237" s="30">
        <v>99.81</v>
      </c>
      <c r="J237" s="30">
        <v>0</v>
      </c>
    </row>
    <row r="238" spans="1:10" ht="15" customHeight="1" x14ac:dyDescent="0.3">
      <c r="A238" s="90">
        <v>237</v>
      </c>
      <c r="B238" s="90" t="s">
        <v>596</v>
      </c>
      <c r="C238" s="90" t="s">
        <v>1269</v>
      </c>
      <c r="D238" s="90" t="s">
        <v>918</v>
      </c>
      <c r="E238" s="66">
        <v>22.08</v>
      </c>
      <c r="F238" s="30">
        <v>3</v>
      </c>
      <c r="G238" s="66">
        <v>66.239999999999995</v>
      </c>
      <c r="H238" s="66">
        <v>1699870.87</v>
      </c>
      <c r="I238" s="30">
        <v>99.81</v>
      </c>
      <c r="J238" s="30">
        <v>0</v>
      </c>
    </row>
    <row r="239" spans="1:10" ht="15" customHeight="1" x14ac:dyDescent="0.3">
      <c r="A239" s="90">
        <v>238</v>
      </c>
      <c r="B239" s="90" t="s">
        <v>596</v>
      </c>
      <c r="C239" s="90" t="s">
        <v>1027</v>
      </c>
      <c r="D239" s="90" t="s">
        <v>918</v>
      </c>
      <c r="E239" s="66">
        <v>32.840000000000003</v>
      </c>
      <c r="F239" s="30">
        <v>2</v>
      </c>
      <c r="G239" s="66">
        <v>65.680000000000007</v>
      </c>
      <c r="H239" s="66">
        <v>1699936.55</v>
      </c>
      <c r="I239" s="30">
        <v>99.82</v>
      </c>
      <c r="J239" s="30">
        <v>0</v>
      </c>
    </row>
    <row r="240" spans="1:10" ht="15" customHeight="1" x14ac:dyDescent="0.3">
      <c r="A240" s="90">
        <v>239</v>
      </c>
      <c r="B240" s="90" t="s">
        <v>596</v>
      </c>
      <c r="C240" s="90" t="s">
        <v>1270</v>
      </c>
      <c r="D240" s="90" t="s">
        <v>918</v>
      </c>
      <c r="E240" s="66">
        <v>2.5099999999999998</v>
      </c>
      <c r="F240" s="30">
        <v>25</v>
      </c>
      <c r="G240" s="66">
        <v>62.75</v>
      </c>
      <c r="H240" s="66">
        <v>1699999.3</v>
      </c>
      <c r="I240" s="30">
        <v>99.82</v>
      </c>
      <c r="J240" s="30">
        <v>0</v>
      </c>
    </row>
    <row r="241" spans="1:10" ht="15" customHeight="1" x14ac:dyDescent="0.3">
      <c r="A241" s="90">
        <v>240</v>
      </c>
      <c r="B241" s="90" t="s">
        <v>596</v>
      </c>
      <c r="C241" s="90" t="s">
        <v>1529</v>
      </c>
      <c r="D241" s="90" t="s">
        <v>918</v>
      </c>
      <c r="E241" s="66">
        <v>3.08</v>
      </c>
      <c r="F241" s="30">
        <v>20</v>
      </c>
      <c r="G241" s="66">
        <v>61.6</v>
      </c>
      <c r="H241" s="66">
        <v>1700060.9</v>
      </c>
      <c r="I241" s="30">
        <v>99.83</v>
      </c>
      <c r="J241" s="30">
        <v>0</v>
      </c>
    </row>
    <row r="242" spans="1:10" ht="15" customHeight="1" x14ac:dyDescent="0.3">
      <c r="A242" s="90">
        <v>241</v>
      </c>
      <c r="B242" s="90" t="s">
        <v>596</v>
      </c>
      <c r="C242" s="90" t="s">
        <v>1002</v>
      </c>
      <c r="D242" s="90" t="s">
        <v>918</v>
      </c>
      <c r="E242" s="66">
        <v>60.55</v>
      </c>
      <c r="F242" s="30">
        <v>1</v>
      </c>
      <c r="G242" s="66">
        <v>60.55</v>
      </c>
      <c r="H242" s="66">
        <v>1700121.45</v>
      </c>
      <c r="I242" s="30">
        <v>99.83</v>
      </c>
      <c r="J242" s="30">
        <v>0</v>
      </c>
    </row>
    <row r="243" spans="1:10" ht="15" customHeight="1" x14ac:dyDescent="0.3">
      <c r="A243" s="90">
        <v>242</v>
      </c>
      <c r="B243" s="90" t="s">
        <v>596</v>
      </c>
      <c r="C243" s="90" t="s">
        <v>1271</v>
      </c>
      <c r="D243" s="90" t="s">
        <v>918</v>
      </c>
      <c r="E243" s="66">
        <v>60</v>
      </c>
      <c r="F243" s="30">
        <v>1</v>
      </c>
      <c r="G243" s="66">
        <v>60</v>
      </c>
      <c r="H243" s="66">
        <v>1700181.45</v>
      </c>
      <c r="I243" s="30">
        <v>99.83</v>
      </c>
      <c r="J243" s="30">
        <v>0</v>
      </c>
    </row>
    <row r="244" spans="1:10" ht="15" customHeight="1" x14ac:dyDescent="0.3">
      <c r="A244" s="90">
        <v>243</v>
      </c>
      <c r="B244" s="90" t="s">
        <v>596</v>
      </c>
      <c r="C244" s="90" t="s">
        <v>1272</v>
      </c>
      <c r="D244" s="90" t="s">
        <v>918</v>
      </c>
      <c r="E244" s="66">
        <v>15</v>
      </c>
      <c r="F244" s="30">
        <v>4</v>
      </c>
      <c r="G244" s="66">
        <v>60</v>
      </c>
      <c r="H244" s="66">
        <v>1700241.45</v>
      </c>
      <c r="I244" s="30">
        <v>99.84</v>
      </c>
      <c r="J244" s="30">
        <v>0</v>
      </c>
    </row>
    <row r="245" spans="1:10" ht="15" customHeight="1" x14ac:dyDescent="0.3">
      <c r="A245" s="90">
        <v>244</v>
      </c>
      <c r="B245" s="90" t="s">
        <v>596</v>
      </c>
      <c r="C245" s="90" t="s">
        <v>1273</v>
      </c>
      <c r="D245" s="90" t="s">
        <v>918</v>
      </c>
      <c r="E245" s="66">
        <v>30</v>
      </c>
      <c r="F245" s="30">
        <v>2</v>
      </c>
      <c r="G245" s="66">
        <v>60</v>
      </c>
      <c r="H245" s="66">
        <v>1700301.45</v>
      </c>
      <c r="I245" s="30">
        <v>99.84</v>
      </c>
      <c r="J245" s="30">
        <v>0</v>
      </c>
    </row>
    <row r="246" spans="1:10" ht="15" customHeight="1" x14ac:dyDescent="0.3">
      <c r="A246" s="90">
        <v>245</v>
      </c>
      <c r="B246" s="90" t="s">
        <v>596</v>
      </c>
      <c r="C246" s="90" t="s">
        <v>1274</v>
      </c>
      <c r="D246" s="90" t="s">
        <v>918</v>
      </c>
      <c r="E246" s="66">
        <v>19.8</v>
      </c>
      <c r="F246" s="30">
        <v>3</v>
      </c>
      <c r="G246" s="66">
        <v>59.4</v>
      </c>
      <c r="H246" s="66">
        <v>1700360.85</v>
      </c>
      <c r="I246" s="30">
        <v>99.84</v>
      </c>
      <c r="J246" s="30">
        <v>0</v>
      </c>
    </row>
    <row r="247" spans="1:10" ht="15" customHeight="1" x14ac:dyDescent="0.3">
      <c r="A247" s="90">
        <v>246</v>
      </c>
      <c r="B247" s="90" t="s">
        <v>596</v>
      </c>
      <c r="C247" s="90" t="s">
        <v>1275</v>
      </c>
      <c r="D247" s="90" t="s">
        <v>918</v>
      </c>
      <c r="E247" s="66">
        <v>29</v>
      </c>
      <c r="F247" s="30">
        <v>2</v>
      </c>
      <c r="G247" s="66">
        <v>58</v>
      </c>
      <c r="H247" s="66">
        <v>1700418.85</v>
      </c>
      <c r="I247" s="30">
        <v>99.85</v>
      </c>
      <c r="J247" s="30">
        <v>0</v>
      </c>
    </row>
    <row r="248" spans="1:10" ht="15" customHeight="1" x14ac:dyDescent="0.3">
      <c r="A248" s="90">
        <v>247</v>
      </c>
      <c r="B248" s="90" t="s">
        <v>596</v>
      </c>
      <c r="C248" s="90" t="s">
        <v>1276</v>
      </c>
      <c r="D248" s="90" t="s">
        <v>918</v>
      </c>
      <c r="E248" s="66">
        <v>57</v>
      </c>
      <c r="F248" s="30">
        <v>1</v>
      </c>
      <c r="G248" s="66">
        <v>57</v>
      </c>
      <c r="H248" s="66">
        <v>1700475.85</v>
      </c>
      <c r="I248" s="30">
        <v>99.85</v>
      </c>
      <c r="J248" s="30">
        <v>0</v>
      </c>
    </row>
    <row r="249" spans="1:10" ht="15" customHeight="1" x14ac:dyDescent="0.3">
      <c r="A249" s="90">
        <v>248</v>
      </c>
      <c r="B249" s="90" t="s">
        <v>596</v>
      </c>
      <c r="C249" s="90" t="s">
        <v>1277</v>
      </c>
      <c r="D249" s="90" t="s">
        <v>918</v>
      </c>
      <c r="E249" s="66">
        <v>56</v>
      </c>
      <c r="F249" s="30">
        <v>1</v>
      </c>
      <c r="G249" s="66">
        <v>56</v>
      </c>
      <c r="H249" s="66">
        <v>1700531.85</v>
      </c>
      <c r="I249" s="30">
        <v>99.85</v>
      </c>
      <c r="J249" s="30">
        <v>0</v>
      </c>
    </row>
    <row r="250" spans="1:10" ht="15" customHeight="1" x14ac:dyDescent="0.3">
      <c r="A250" s="90">
        <v>249</v>
      </c>
      <c r="B250" s="90" t="s">
        <v>596</v>
      </c>
      <c r="C250" s="90" t="s">
        <v>1278</v>
      </c>
      <c r="D250" s="90" t="s">
        <v>918</v>
      </c>
      <c r="E250" s="66">
        <v>55</v>
      </c>
      <c r="F250" s="30">
        <v>1</v>
      </c>
      <c r="G250" s="66">
        <v>55</v>
      </c>
      <c r="H250" s="66">
        <v>1700586.85</v>
      </c>
      <c r="I250" s="30">
        <v>99.86</v>
      </c>
      <c r="J250" s="30">
        <v>0</v>
      </c>
    </row>
    <row r="251" spans="1:10" ht="15" customHeight="1" x14ac:dyDescent="0.3">
      <c r="A251" s="90">
        <v>250</v>
      </c>
      <c r="B251" s="90" t="s">
        <v>596</v>
      </c>
      <c r="C251" s="90" t="s">
        <v>1279</v>
      </c>
      <c r="D251" s="90" t="s">
        <v>918</v>
      </c>
      <c r="E251" s="66">
        <v>55</v>
      </c>
      <c r="F251" s="30">
        <v>1</v>
      </c>
      <c r="G251" s="66">
        <v>55</v>
      </c>
      <c r="H251" s="66">
        <v>1700641.85</v>
      </c>
      <c r="I251" s="30">
        <v>99.86</v>
      </c>
      <c r="J251" s="30">
        <v>0</v>
      </c>
    </row>
    <row r="252" spans="1:10" ht="15" customHeight="1" x14ac:dyDescent="0.3">
      <c r="A252" s="90">
        <v>251</v>
      </c>
      <c r="B252" s="90" t="s">
        <v>596</v>
      </c>
      <c r="C252" s="90" t="s">
        <v>1280</v>
      </c>
      <c r="D252" s="90" t="s">
        <v>918</v>
      </c>
      <c r="E252" s="66">
        <v>55</v>
      </c>
      <c r="F252" s="30">
        <v>1</v>
      </c>
      <c r="G252" s="66">
        <v>55</v>
      </c>
      <c r="H252" s="66">
        <v>1700696.85</v>
      </c>
      <c r="I252" s="30">
        <v>99.86</v>
      </c>
      <c r="J252" s="30">
        <v>0</v>
      </c>
    </row>
    <row r="253" spans="1:10" ht="15" customHeight="1" x14ac:dyDescent="0.3">
      <c r="A253" s="90">
        <v>252</v>
      </c>
      <c r="B253" s="90" t="s">
        <v>596</v>
      </c>
      <c r="C253" s="90" t="s">
        <v>1281</v>
      </c>
      <c r="D253" s="90" t="s">
        <v>918</v>
      </c>
      <c r="E253" s="66">
        <v>13.75</v>
      </c>
      <c r="F253" s="30">
        <v>4</v>
      </c>
      <c r="G253" s="66">
        <v>55</v>
      </c>
      <c r="H253" s="66">
        <v>1700751.85</v>
      </c>
      <c r="I253" s="30">
        <v>99.87</v>
      </c>
      <c r="J253" s="30">
        <v>0</v>
      </c>
    </row>
    <row r="254" spans="1:10" ht="15" customHeight="1" x14ac:dyDescent="0.3">
      <c r="A254" s="90">
        <v>253</v>
      </c>
      <c r="B254" s="90" t="s">
        <v>596</v>
      </c>
      <c r="C254" s="90" t="s">
        <v>1075</v>
      </c>
      <c r="D254" s="90" t="s">
        <v>918</v>
      </c>
      <c r="E254" s="66">
        <v>54</v>
      </c>
      <c r="F254" s="30">
        <v>1</v>
      </c>
      <c r="G254" s="66">
        <v>54</v>
      </c>
      <c r="H254" s="66">
        <v>1700805.85</v>
      </c>
      <c r="I254" s="30">
        <v>99.87</v>
      </c>
      <c r="J254" s="30">
        <v>0</v>
      </c>
    </row>
    <row r="255" spans="1:10" ht="15" customHeight="1" x14ac:dyDescent="0.3">
      <c r="A255" s="90">
        <v>254</v>
      </c>
      <c r="B255" s="90" t="s">
        <v>596</v>
      </c>
      <c r="C255" s="90" t="s">
        <v>1282</v>
      </c>
      <c r="D255" s="90" t="s">
        <v>918</v>
      </c>
      <c r="E255" s="66">
        <v>54</v>
      </c>
      <c r="F255" s="30">
        <v>1</v>
      </c>
      <c r="G255" s="66">
        <v>54</v>
      </c>
      <c r="H255" s="66">
        <v>1700859.85</v>
      </c>
      <c r="I255" s="30">
        <v>99.87</v>
      </c>
      <c r="J255" s="30">
        <v>0</v>
      </c>
    </row>
    <row r="256" spans="1:10" ht="15" customHeight="1" x14ac:dyDescent="0.3">
      <c r="A256" s="90">
        <v>255</v>
      </c>
      <c r="B256" s="90" t="s">
        <v>596</v>
      </c>
      <c r="C256" s="90" t="s">
        <v>1283</v>
      </c>
      <c r="D256" s="90" t="s">
        <v>918</v>
      </c>
      <c r="E256" s="66">
        <v>53.49</v>
      </c>
      <c r="F256" s="30">
        <v>1</v>
      </c>
      <c r="G256" s="66">
        <v>53.49</v>
      </c>
      <c r="H256" s="66">
        <v>1700913.34</v>
      </c>
      <c r="I256" s="30">
        <v>99.88</v>
      </c>
      <c r="J256" s="30">
        <v>0</v>
      </c>
    </row>
    <row r="257" spans="1:10" ht="15" customHeight="1" x14ac:dyDescent="0.3">
      <c r="A257" s="90">
        <v>256</v>
      </c>
      <c r="B257" s="90" t="s">
        <v>596</v>
      </c>
      <c r="C257" s="90" t="s">
        <v>1284</v>
      </c>
      <c r="D257" s="90" t="s">
        <v>918</v>
      </c>
      <c r="E257" s="66">
        <v>53.28</v>
      </c>
      <c r="F257" s="30">
        <v>1</v>
      </c>
      <c r="G257" s="66">
        <v>53.28</v>
      </c>
      <c r="H257" s="66">
        <v>1700966.62</v>
      </c>
      <c r="I257" s="30">
        <v>99.88</v>
      </c>
      <c r="J257" s="30">
        <v>0</v>
      </c>
    </row>
    <row r="258" spans="1:10" ht="15" customHeight="1" x14ac:dyDescent="0.3">
      <c r="A258" s="90">
        <v>257</v>
      </c>
      <c r="B258" s="90" t="s">
        <v>596</v>
      </c>
      <c r="C258" s="90" t="s">
        <v>1285</v>
      </c>
      <c r="D258" s="90" t="s">
        <v>918</v>
      </c>
      <c r="E258" s="66">
        <v>52</v>
      </c>
      <c r="F258" s="30">
        <v>1</v>
      </c>
      <c r="G258" s="66">
        <v>52</v>
      </c>
      <c r="H258" s="66">
        <v>1701018.62</v>
      </c>
      <c r="I258" s="30">
        <v>99.88</v>
      </c>
      <c r="J258" s="30">
        <v>0</v>
      </c>
    </row>
    <row r="259" spans="1:10" ht="15" customHeight="1" x14ac:dyDescent="0.3">
      <c r="A259" s="90">
        <v>258</v>
      </c>
      <c r="B259" s="90" t="s">
        <v>596</v>
      </c>
      <c r="C259" s="90" t="s">
        <v>1286</v>
      </c>
      <c r="D259" s="90" t="s">
        <v>918</v>
      </c>
      <c r="E259" s="66">
        <v>52</v>
      </c>
      <c r="F259" s="30">
        <v>1</v>
      </c>
      <c r="G259" s="66">
        <v>52</v>
      </c>
      <c r="H259" s="66">
        <v>1701070.62</v>
      </c>
      <c r="I259" s="30">
        <v>99.88</v>
      </c>
      <c r="J259" s="30">
        <v>0</v>
      </c>
    </row>
    <row r="260" spans="1:10" ht="15" customHeight="1" x14ac:dyDescent="0.3">
      <c r="A260" s="90">
        <v>259</v>
      </c>
      <c r="B260" s="90" t="s">
        <v>596</v>
      </c>
      <c r="C260" s="90" t="s">
        <v>1287</v>
      </c>
      <c r="D260" s="90" t="s">
        <v>918</v>
      </c>
      <c r="E260" s="66">
        <v>52</v>
      </c>
      <c r="F260" s="30">
        <v>1</v>
      </c>
      <c r="G260" s="66">
        <v>52</v>
      </c>
      <c r="H260" s="66">
        <v>1701122.62</v>
      </c>
      <c r="I260" s="30">
        <v>99.89</v>
      </c>
      <c r="J260" s="30">
        <v>0</v>
      </c>
    </row>
    <row r="261" spans="1:10" ht="15" customHeight="1" x14ac:dyDescent="0.3">
      <c r="A261" s="90">
        <v>260</v>
      </c>
      <c r="B261" s="90" t="s">
        <v>596</v>
      </c>
      <c r="C261" s="90" t="s">
        <v>1288</v>
      </c>
      <c r="D261" s="90" t="s">
        <v>918</v>
      </c>
      <c r="E261" s="66">
        <v>26</v>
      </c>
      <c r="F261" s="30">
        <v>2</v>
      </c>
      <c r="G261" s="66">
        <v>52</v>
      </c>
      <c r="H261" s="66">
        <v>1701174.62</v>
      </c>
      <c r="I261" s="30">
        <v>99.89</v>
      </c>
      <c r="J261" s="30">
        <v>0</v>
      </c>
    </row>
    <row r="262" spans="1:10" ht="15" customHeight="1" x14ac:dyDescent="0.3">
      <c r="A262" s="90">
        <v>261</v>
      </c>
      <c r="B262" s="90" t="s">
        <v>596</v>
      </c>
      <c r="C262" s="90" t="s">
        <v>1289</v>
      </c>
      <c r="D262" s="90" t="s">
        <v>918</v>
      </c>
      <c r="E262" s="66">
        <v>25.23</v>
      </c>
      <c r="F262" s="30">
        <v>2</v>
      </c>
      <c r="G262" s="66">
        <v>50.46</v>
      </c>
      <c r="H262" s="66">
        <v>1701225.08</v>
      </c>
      <c r="I262" s="30">
        <v>99.89</v>
      </c>
      <c r="J262" s="30">
        <v>0</v>
      </c>
    </row>
    <row r="263" spans="1:10" ht="15" customHeight="1" x14ac:dyDescent="0.3">
      <c r="A263" s="90">
        <v>262</v>
      </c>
      <c r="B263" s="90" t="s">
        <v>596</v>
      </c>
      <c r="C263" s="90" t="s">
        <v>941</v>
      </c>
      <c r="D263" s="90" t="s">
        <v>918</v>
      </c>
      <c r="E263" s="66">
        <v>25</v>
      </c>
      <c r="F263" s="30">
        <v>2</v>
      </c>
      <c r="G263" s="66">
        <v>50</v>
      </c>
      <c r="H263" s="66">
        <v>1701275.08</v>
      </c>
      <c r="I263" s="30">
        <v>99.9</v>
      </c>
      <c r="J263" s="30">
        <v>0</v>
      </c>
    </row>
    <row r="264" spans="1:10" ht="15" customHeight="1" x14ac:dyDescent="0.3">
      <c r="A264" s="90">
        <v>263</v>
      </c>
      <c r="B264" s="90" t="s">
        <v>596</v>
      </c>
      <c r="C264" s="90" t="s">
        <v>1290</v>
      </c>
      <c r="D264" s="90" t="s">
        <v>918</v>
      </c>
      <c r="E264" s="66">
        <v>25</v>
      </c>
      <c r="F264" s="30">
        <v>2</v>
      </c>
      <c r="G264" s="66">
        <v>50</v>
      </c>
      <c r="H264" s="66">
        <v>1701325.08</v>
      </c>
      <c r="I264" s="30">
        <v>99.9</v>
      </c>
      <c r="J264" s="30">
        <v>0</v>
      </c>
    </row>
    <row r="265" spans="1:10" ht="15" customHeight="1" x14ac:dyDescent="0.3">
      <c r="A265" s="90">
        <v>264</v>
      </c>
      <c r="B265" s="90" t="s">
        <v>596</v>
      </c>
      <c r="C265" s="90" t="s">
        <v>1291</v>
      </c>
      <c r="D265" s="90" t="s">
        <v>918</v>
      </c>
      <c r="E265" s="66">
        <v>10</v>
      </c>
      <c r="F265" s="30">
        <v>5</v>
      </c>
      <c r="G265" s="66">
        <v>50</v>
      </c>
      <c r="H265" s="66">
        <v>1701375.08</v>
      </c>
      <c r="I265" s="30">
        <v>99.9</v>
      </c>
      <c r="J265" s="30">
        <v>0</v>
      </c>
    </row>
    <row r="266" spans="1:10" ht="15" customHeight="1" x14ac:dyDescent="0.3">
      <c r="A266" s="90">
        <v>265</v>
      </c>
      <c r="B266" s="90" t="s">
        <v>596</v>
      </c>
      <c r="C266" s="90" t="s">
        <v>1292</v>
      </c>
      <c r="D266" s="90" t="s">
        <v>918</v>
      </c>
      <c r="E266" s="66">
        <v>50</v>
      </c>
      <c r="F266" s="30">
        <v>1</v>
      </c>
      <c r="G266" s="66">
        <v>50</v>
      </c>
      <c r="H266" s="66">
        <v>1701425.08</v>
      </c>
      <c r="I266" s="30">
        <v>99.91</v>
      </c>
      <c r="J266" s="30">
        <v>0</v>
      </c>
    </row>
    <row r="267" spans="1:10" ht="15" customHeight="1" x14ac:dyDescent="0.3">
      <c r="A267" s="90">
        <v>266</v>
      </c>
      <c r="B267" s="90" t="s">
        <v>596</v>
      </c>
      <c r="C267" s="90" t="s">
        <v>1293</v>
      </c>
      <c r="D267" s="90" t="s">
        <v>918</v>
      </c>
      <c r="E267" s="66">
        <v>49</v>
      </c>
      <c r="F267" s="30">
        <v>1</v>
      </c>
      <c r="G267" s="66">
        <v>49</v>
      </c>
      <c r="H267" s="66">
        <v>1701474.08</v>
      </c>
      <c r="I267" s="30">
        <v>99.91</v>
      </c>
      <c r="J267" s="30">
        <v>0</v>
      </c>
    </row>
    <row r="268" spans="1:10" ht="15" customHeight="1" x14ac:dyDescent="0.3">
      <c r="A268" s="90">
        <v>267</v>
      </c>
      <c r="B268" s="90" t="s">
        <v>596</v>
      </c>
      <c r="C268" s="90" t="s">
        <v>1294</v>
      </c>
      <c r="D268" s="90" t="s">
        <v>918</v>
      </c>
      <c r="E268" s="66">
        <v>48</v>
      </c>
      <c r="F268" s="30">
        <v>1</v>
      </c>
      <c r="G268" s="66">
        <v>48</v>
      </c>
      <c r="H268" s="66">
        <v>1701522.08</v>
      </c>
      <c r="I268" s="30">
        <v>99.91</v>
      </c>
      <c r="J268" s="30">
        <v>0</v>
      </c>
    </row>
    <row r="269" spans="1:10" ht="15" customHeight="1" x14ac:dyDescent="0.3">
      <c r="A269" s="90">
        <v>268</v>
      </c>
      <c r="B269" s="90" t="s">
        <v>596</v>
      </c>
      <c r="C269" s="90" t="s">
        <v>1295</v>
      </c>
      <c r="D269" s="90" t="s">
        <v>918</v>
      </c>
      <c r="E269" s="66">
        <v>46.9</v>
      </c>
      <c r="F269" s="30">
        <v>1</v>
      </c>
      <c r="G269" s="66">
        <v>46.9</v>
      </c>
      <c r="H269" s="66">
        <v>1701568.98</v>
      </c>
      <c r="I269" s="30">
        <v>99.91</v>
      </c>
      <c r="J269" s="30">
        <v>0</v>
      </c>
    </row>
    <row r="270" spans="1:10" ht="15" customHeight="1" x14ac:dyDescent="0.3">
      <c r="A270" s="90">
        <v>269</v>
      </c>
      <c r="B270" s="90" t="s">
        <v>596</v>
      </c>
      <c r="C270" s="90" t="s">
        <v>1296</v>
      </c>
      <c r="D270" s="90" t="s">
        <v>918</v>
      </c>
      <c r="E270" s="66">
        <v>15</v>
      </c>
      <c r="F270" s="30">
        <v>3</v>
      </c>
      <c r="G270" s="66">
        <v>45</v>
      </c>
      <c r="H270" s="66">
        <v>1701613.98</v>
      </c>
      <c r="I270" s="30">
        <v>99.92</v>
      </c>
      <c r="J270" s="30">
        <v>0</v>
      </c>
    </row>
    <row r="271" spans="1:10" ht="15" customHeight="1" x14ac:dyDescent="0.3">
      <c r="A271" s="90">
        <v>270</v>
      </c>
      <c r="B271" s="90" t="s">
        <v>596</v>
      </c>
      <c r="C271" s="90" t="s">
        <v>1297</v>
      </c>
      <c r="D271" s="90" t="s">
        <v>918</v>
      </c>
      <c r="E271" s="66">
        <v>45</v>
      </c>
      <c r="F271" s="30">
        <v>1</v>
      </c>
      <c r="G271" s="66">
        <v>45</v>
      </c>
      <c r="H271" s="66">
        <v>1701658.98</v>
      </c>
      <c r="I271" s="30">
        <v>99.92</v>
      </c>
      <c r="J271" s="30">
        <v>0</v>
      </c>
    </row>
    <row r="272" spans="1:10" ht="15" customHeight="1" x14ac:dyDescent="0.3">
      <c r="A272" s="90">
        <v>271</v>
      </c>
      <c r="B272" s="90" t="s">
        <v>596</v>
      </c>
      <c r="C272" s="90" t="s">
        <v>1298</v>
      </c>
      <c r="D272" s="90" t="s">
        <v>918</v>
      </c>
      <c r="E272" s="66">
        <v>44.5</v>
      </c>
      <c r="F272" s="30">
        <v>1</v>
      </c>
      <c r="G272" s="66">
        <v>44.5</v>
      </c>
      <c r="H272" s="66">
        <v>1701703.48</v>
      </c>
      <c r="I272" s="30">
        <v>99.92</v>
      </c>
      <c r="J272" s="30">
        <v>0</v>
      </c>
    </row>
    <row r="273" spans="1:10" ht="15" customHeight="1" x14ac:dyDescent="0.3">
      <c r="A273" s="90">
        <v>272</v>
      </c>
      <c r="B273" s="90" t="s">
        <v>596</v>
      </c>
      <c r="C273" s="90" t="s">
        <v>1299</v>
      </c>
      <c r="D273" s="90" t="s">
        <v>918</v>
      </c>
      <c r="E273" s="66">
        <v>0.22</v>
      </c>
      <c r="F273" s="30">
        <v>200</v>
      </c>
      <c r="G273" s="66">
        <v>44</v>
      </c>
      <c r="H273" s="66">
        <v>1701747.48</v>
      </c>
      <c r="I273" s="30">
        <v>99.92</v>
      </c>
      <c r="J273" s="30">
        <v>0</v>
      </c>
    </row>
    <row r="274" spans="1:10" ht="15" customHeight="1" x14ac:dyDescent="0.3">
      <c r="A274" s="90">
        <v>273</v>
      </c>
      <c r="B274" s="90" t="s">
        <v>596</v>
      </c>
      <c r="C274" s="90" t="s">
        <v>1300</v>
      </c>
      <c r="D274" s="90" t="s">
        <v>918</v>
      </c>
      <c r="E274" s="66">
        <v>43.71</v>
      </c>
      <c r="F274" s="30">
        <v>1</v>
      </c>
      <c r="G274" s="66">
        <v>43.71</v>
      </c>
      <c r="H274" s="66">
        <v>1701791.19</v>
      </c>
      <c r="I274" s="30">
        <v>99.93</v>
      </c>
      <c r="J274" s="30">
        <v>0</v>
      </c>
    </row>
    <row r="275" spans="1:10" ht="15" customHeight="1" x14ac:dyDescent="0.3">
      <c r="A275" s="90">
        <v>274</v>
      </c>
      <c r="B275" s="90" t="s">
        <v>596</v>
      </c>
      <c r="C275" s="90" t="s">
        <v>1301</v>
      </c>
      <c r="D275" s="90" t="s">
        <v>918</v>
      </c>
      <c r="E275" s="66">
        <v>4.04</v>
      </c>
      <c r="F275" s="30">
        <v>10</v>
      </c>
      <c r="G275" s="66">
        <v>40.4</v>
      </c>
      <c r="H275" s="66">
        <v>1701831.59</v>
      </c>
      <c r="I275" s="30">
        <v>99.93</v>
      </c>
      <c r="J275" s="30">
        <v>0</v>
      </c>
    </row>
    <row r="276" spans="1:10" ht="15" customHeight="1" x14ac:dyDescent="0.3">
      <c r="A276" s="90">
        <v>275</v>
      </c>
      <c r="B276" s="90" t="s">
        <v>596</v>
      </c>
      <c r="C276" s="90" t="s">
        <v>1302</v>
      </c>
      <c r="D276" s="90" t="s">
        <v>918</v>
      </c>
      <c r="E276" s="66">
        <v>2</v>
      </c>
      <c r="F276" s="30">
        <v>20</v>
      </c>
      <c r="G276" s="66">
        <v>40</v>
      </c>
      <c r="H276" s="66">
        <v>1701871.59</v>
      </c>
      <c r="I276" s="30">
        <v>99.93</v>
      </c>
      <c r="J276" s="30">
        <v>0</v>
      </c>
    </row>
    <row r="277" spans="1:10" ht="15" customHeight="1" x14ac:dyDescent="0.3">
      <c r="A277" s="90">
        <v>276</v>
      </c>
      <c r="B277" s="90" t="s">
        <v>596</v>
      </c>
      <c r="C277" s="90" t="s">
        <v>1303</v>
      </c>
      <c r="D277" s="90" t="s">
        <v>918</v>
      </c>
      <c r="E277" s="66">
        <v>12</v>
      </c>
      <c r="F277" s="30">
        <v>3</v>
      </c>
      <c r="G277" s="66">
        <v>36</v>
      </c>
      <c r="H277" s="66">
        <v>1701907.59</v>
      </c>
      <c r="I277" s="30">
        <v>99.93</v>
      </c>
      <c r="J277" s="30">
        <v>0</v>
      </c>
    </row>
    <row r="278" spans="1:10" ht="15" customHeight="1" x14ac:dyDescent="0.3">
      <c r="A278" s="90">
        <v>277</v>
      </c>
      <c r="B278" s="90" t="s">
        <v>596</v>
      </c>
      <c r="C278" s="90" t="s">
        <v>1304</v>
      </c>
      <c r="D278" s="90" t="s">
        <v>918</v>
      </c>
      <c r="E278" s="66">
        <v>33.81</v>
      </c>
      <c r="F278" s="30">
        <v>1</v>
      </c>
      <c r="G278" s="66">
        <v>33.81</v>
      </c>
      <c r="H278" s="66">
        <v>1701941.4</v>
      </c>
      <c r="I278" s="30">
        <v>99.94</v>
      </c>
      <c r="J278" s="30">
        <v>0</v>
      </c>
    </row>
    <row r="279" spans="1:10" ht="15" customHeight="1" x14ac:dyDescent="0.3">
      <c r="A279" s="90">
        <v>278</v>
      </c>
      <c r="B279" s="90" t="s">
        <v>596</v>
      </c>
      <c r="C279" s="90" t="s">
        <v>1058</v>
      </c>
      <c r="D279" s="90" t="s">
        <v>918</v>
      </c>
      <c r="E279" s="66">
        <v>33</v>
      </c>
      <c r="F279" s="30">
        <v>1</v>
      </c>
      <c r="G279" s="66">
        <v>33</v>
      </c>
      <c r="H279" s="66">
        <v>1701974.4</v>
      </c>
      <c r="I279" s="30">
        <v>99.94</v>
      </c>
      <c r="J279" s="30">
        <v>0</v>
      </c>
    </row>
    <row r="280" spans="1:10" ht="15" customHeight="1" x14ac:dyDescent="0.3">
      <c r="A280" s="90">
        <v>279</v>
      </c>
      <c r="B280" s="90" t="s">
        <v>596</v>
      </c>
      <c r="C280" s="90" t="s">
        <v>1305</v>
      </c>
      <c r="D280" s="90" t="s">
        <v>918</v>
      </c>
      <c r="E280" s="66">
        <v>16.399999999999999</v>
      </c>
      <c r="F280" s="30">
        <v>2</v>
      </c>
      <c r="G280" s="66">
        <v>32.799999999999997</v>
      </c>
      <c r="H280" s="66">
        <v>1702007.2</v>
      </c>
      <c r="I280" s="30">
        <v>99.94</v>
      </c>
      <c r="J280" s="30">
        <v>0</v>
      </c>
    </row>
    <row r="281" spans="1:10" ht="15" customHeight="1" x14ac:dyDescent="0.3">
      <c r="A281" s="90">
        <v>280</v>
      </c>
      <c r="B281" s="90" t="s">
        <v>596</v>
      </c>
      <c r="C281" s="90" t="s">
        <v>1306</v>
      </c>
      <c r="D281" s="90" t="s">
        <v>918</v>
      </c>
      <c r="E281" s="66">
        <v>10.9</v>
      </c>
      <c r="F281" s="30">
        <v>3</v>
      </c>
      <c r="G281" s="66">
        <v>32.700000000000003</v>
      </c>
      <c r="H281" s="66">
        <v>1702039.9</v>
      </c>
      <c r="I281" s="30">
        <v>99.94</v>
      </c>
      <c r="J281" s="30">
        <v>0</v>
      </c>
    </row>
    <row r="282" spans="1:10" ht="15" customHeight="1" x14ac:dyDescent="0.3">
      <c r="A282" s="90">
        <v>281</v>
      </c>
      <c r="B282" s="90" t="s">
        <v>596</v>
      </c>
      <c r="C282" s="90" t="s">
        <v>1307</v>
      </c>
      <c r="D282" s="90" t="s">
        <v>918</v>
      </c>
      <c r="E282" s="66">
        <v>10.79</v>
      </c>
      <c r="F282" s="30">
        <v>3</v>
      </c>
      <c r="G282" s="66">
        <v>32.369999999999997</v>
      </c>
      <c r="H282" s="66">
        <v>1702072.27</v>
      </c>
      <c r="I282" s="30">
        <v>99.94</v>
      </c>
      <c r="J282" s="30">
        <v>0</v>
      </c>
    </row>
    <row r="283" spans="1:10" ht="15" customHeight="1" x14ac:dyDescent="0.3">
      <c r="A283" s="90">
        <v>282</v>
      </c>
      <c r="B283" s="90" t="s">
        <v>596</v>
      </c>
      <c r="C283" s="90" t="s">
        <v>1308</v>
      </c>
      <c r="D283" s="90" t="s">
        <v>918</v>
      </c>
      <c r="E283" s="66">
        <v>15</v>
      </c>
      <c r="F283" s="30">
        <v>2</v>
      </c>
      <c r="G283" s="66">
        <v>30</v>
      </c>
      <c r="H283" s="66">
        <v>1702102.27</v>
      </c>
      <c r="I283" s="30">
        <v>99.94</v>
      </c>
      <c r="J283" s="30">
        <v>0</v>
      </c>
    </row>
    <row r="284" spans="1:10" ht="15" customHeight="1" x14ac:dyDescent="0.3">
      <c r="A284" s="90">
        <v>283</v>
      </c>
      <c r="B284" s="90" t="s">
        <v>596</v>
      </c>
      <c r="C284" s="90" t="s">
        <v>1309</v>
      </c>
      <c r="D284" s="90" t="s">
        <v>918</v>
      </c>
      <c r="E284" s="66">
        <v>1.5</v>
      </c>
      <c r="F284" s="30">
        <v>20</v>
      </c>
      <c r="G284" s="66">
        <v>30</v>
      </c>
      <c r="H284" s="66">
        <v>1702132.27</v>
      </c>
      <c r="I284" s="30">
        <v>99.95</v>
      </c>
      <c r="J284" s="30">
        <v>0</v>
      </c>
    </row>
    <row r="285" spans="1:10" ht="15" customHeight="1" x14ac:dyDescent="0.3">
      <c r="A285" s="90">
        <v>284</v>
      </c>
      <c r="B285" s="90" t="s">
        <v>596</v>
      </c>
      <c r="C285" s="90" t="s">
        <v>1310</v>
      </c>
      <c r="D285" s="90" t="s">
        <v>918</v>
      </c>
      <c r="E285" s="66">
        <v>1.5</v>
      </c>
      <c r="F285" s="30">
        <v>20</v>
      </c>
      <c r="G285" s="66">
        <v>30</v>
      </c>
      <c r="H285" s="66">
        <v>1702162.27</v>
      </c>
      <c r="I285" s="30">
        <v>99.95</v>
      </c>
      <c r="J285" s="30">
        <v>0</v>
      </c>
    </row>
    <row r="286" spans="1:10" ht="15" customHeight="1" x14ac:dyDescent="0.3">
      <c r="A286" s="90">
        <v>285</v>
      </c>
      <c r="B286" s="90" t="s">
        <v>596</v>
      </c>
      <c r="C286" s="90" t="s">
        <v>1311</v>
      </c>
      <c r="D286" s="90" t="s">
        <v>918</v>
      </c>
      <c r="E286" s="66">
        <v>30</v>
      </c>
      <c r="F286" s="30">
        <v>1</v>
      </c>
      <c r="G286" s="66">
        <v>30</v>
      </c>
      <c r="H286" s="66">
        <v>1702192.27</v>
      </c>
      <c r="I286" s="30">
        <v>99.95</v>
      </c>
      <c r="J286" s="30">
        <v>0</v>
      </c>
    </row>
    <row r="287" spans="1:10" ht="15" customHeight="1" x14ac:dyDescent="0.3">
      <c r="A287" s="90">
        <v>286</v>
      </c>
      <c r="B287" s="90" t="s">
        <v>596</v>
      </c>
      <c r="C287" s="90" t="s">
        <v>1312</v>
      </c>
      <c r="D287" s="90" t="s">
        <v>918</v>
      </c>
      <c r="E287" s="66">
        <v>30</v>
      </c>
      <c r="F287" s="30">
        <v>1</v>
      </c>
      <c r="G287" s="66">
        <v>30</v>
      </c>
      <c r="H287" s="66">
        <v>1702222.27</v>
      </c>
      <c r="I287" s="30">
        <v>99.95</v>
      </c>
      <c r="J287" s="30">
        <v>0</v>
      </c>
    </row>
    <row r="288" spans="1:10" ht="15" customHeight="1" x14ac:dyDescent="0.3">
      <c r="A288" s="90">
        <v>287</v>
      </c>
      <c r="B288" s="90" t="s">
        <v>596</v>
      </c>
      <c r="C288" s="90" t="s">
        <v>1313</v>
      </c>
      <c r="D288" s="90" t="s">
        <v>918</v>
      </c>
      <c r="E288" s="66">
        <v>14.86</v>
      </c>
      <c r="F288" s="30">
        <v>2</v>
      </c>
      <c r="G288" s="66">
        <v>29.72</v>
      </c>
      <c r="H288" s="66">
        <v>1702251.99</v>
      </c>
      <c r="I288" s="30">
        <v>99.95</v>
      </c>
      <c r="J288" s="30">
        <v>0</v>
      </c>
    </row>
    <row r="289" spans="1:10" ht="15" customHeight="1" x14ac:dyDescent="0.3">
      <c r="A289" s="90">
        <v>288</v>
      </c>
      <c r="B289" s="90" t="s">
        <v>596</v>
      </c>
      <c r="C289" s="90" t="s">
        <v>1314</v>
      </c>
      <c r="D289" s="90" t="s">
        <v>918</v>
      </c>
      <c r="E289" s="66">
        <v>29.7</v>
      </c>
      <c r="F289" s="30">
        <v>1</v>
      </c>
      <c r="G289" s="66">
        <v>29.7</v>
      </c>
      <c r="H289" s="66">
        <v>1702281.69</v>
      </c>
      <c r="I289" s="30">
        <v>99.96</v>
      </c>
      <c r="J289" s="30">
        <v>0</v>
      </c>
    </row>
    <row r="290" spans="1:10" ht="15" customHeight="1" x14ac:dyDescent="0.3">
      <c r="A290" s="90">
        <v>289</v>
      </c>
      <c r="B290" s="90" t="s">
        <v>596</v>
      </c>
      <c r="C290" s="90" t="s">
        <v>1315</v>
      </c>
      <c r="D290" s="90" t="s">
        <v>918</v>
      </c>
      <c r="E290" s="66">
        <v>9.67</v>
      </c>
      <c r="F290" s="30">
        <v>3</v>
      </c>
      <c r="G290" s="66">
        <v>29</v>
      </c>
      <c r="H290" s="66">
        <v>1702310.69</v>
      </c>
      <c r="I290" s="30">
        <v>99.96</v>
      </c>
      <c r="J290" s="30">
        <v>0</v>
      </c>
    </row>
    <row r="291" spans="1:10" ht="15" customHeight="1" x14ac:dyDescent="0.3">
      <c r="A291" s="90">
        <v>290</v>
      </c>
      <c r="B291" s="90" t="s">
        <v>596</v>
      </c>
      <c r="C291" s="90" t="s">
        <v>1316</v>
      </c>
      <c r="D291" s="90" t="s">
        <v>918</v>
      </c>
      <c r="E291" s="66">
        <v>7</v>
      </c>
      <c r="F291" s="30">
        <v>4</v>
      </c>
      <c r="G291" s="66">
        <v>28</v>
      </c>
      <c r="H291" s="66">
        <v>1702338.69</v>
      </c>
      <c r="I291" s="30">
        <v>99.96</v>
      </c>
      <c r="J291" s="30">
        <v>0</v>
      </c>
    </row>
    <row r="292" spans="1:10" ht="15" customHeight="1" x14ac:dyDescent="0.3">
      <c r="A292" s="90">
        <v>291</v>
      </c>
      <c r="B292" s="90" t="s">
        <v>596</v>
      </c>
      <c r="C292" s="90" t="s">
        <v>1317</v>
      </c>
      <c r="D292" s="90" t="s">
        <v>918</v>
      </c>
      <c r="E292" s="66">
        <v>7</v>
      </c>
      <c r="F292" s="30">
        <v>4</v>
      </c>
      <c r="G292" s="66">
        <v>28</v>
      </c>
      <c r="H292" s="66">
        <v>1702366.69</v>
      </c>
      <c r="I292" s="30">
        <v>99.96</v>
      </c>
      <c r="J292" s="30">
        <v>0</v>
      </c>
    </row>
    <row r="293" spans="1:10" ht="15" customHeight="1" x14ac:dyDescent="0.3">
      <c r="A293" s="90">
        <v>292</v>
      </c>
      <c r="B293" s="90" t="s">
        <v>596</v>
      </c>
      <c r="C293" s="90" t="s">
        <v>2278</v>
      </c>
      <c r="D293" s="90" t="s">
        <v>918</v>
      </c>
      <c r="E293" s="66">
        <v>27</v>
      </c>
      <c r="F293" s="30">
        <v>1</v>
      </c>
      <c r="G293" s="66">
        <v>27</v>
      </c>
      <c r="H293" s="66">
        <v>1702393.69</v>
      </c>
      <c r="I293" s="30">
        <v>99.96</v>
      </c>
      <c r="J293" s="30">
        <v>0</v>
      </c>
    </row>
    <row r="294" spans="1:10" ht="15" customHeight="1" x14ac:dyDescent="0.3">
      <c r="A294" s="90">
        <v>293</v>
      </c>
      <c r="B294" s="90" t="s">
        <v>596</v>
      </c>
      <c r="C294" s="90" t="s">
        <v>2281</v>
      </c>
      <c r="D294" s="90" t="s">
        <v>918</v>
      </c>
      <c r="E294" s="66">
        <v>26.18</v>
      </c>
      <c r="F294" s="30">
        <v>1</v>
      </c>
      <c r="G294" s="66">
        <v>26.18</v>
      </c>
      <c r="H294" s="66">
        <v>1702419.87</v>
      </c>
      <c r="I294" s="30">
        <v>99.96</v>
      </c>
      <c r="J294" s="30">
        <v>0</v>
      </c>
    </row>
    <row r="295" spans="1:10" ht="15" customHeight="1" x14ac:dyDescent="0.3">
      <c r="A295" s="90">
        <v>294</v>
      </c>
      <c r="B295" s="90" t="s">
        <v>596</v>
      </c>
      <c r="C295" s="90" t="s">
        <v>1318</v>
      </c>
      <c r="D295" s="90" t="s">
        <v>918</v>
      </c>
      <c r="E295" s="66">
        <v>13</v>
      </c>
      <c r="F295" s="30">
        <v>2</v>
      </c>
      <c r="G295" s="66">
        <v>26</v>
      </c>
      <c r="H295" s="66">
        <v>1702445.87</v>
      </c>
      <c r="I295" s="30">
        <v>99.97</v>
      </c>
      <c r="J295" s="30">
        <v>0</v>
      </c>
    </row>
    <row r="296" spans="1:10" ht="15" customHeight="1" x14ac:dyDescent="0.3">
      <c r="A296" s="90">
        <v>295</v>
      </c>
      <c r="B296" s="90" t="s">
        <v>596</v>
      </c>
      <c r="C296" s="90" t="s">
        <v>1319</v>
      </c>
      <c r="D296" s="90" t="s">
        <v>918</v>
      </c>
      <c r="E296" s="66">
        <v>26</v>
      </c>
      <c r="F296" s="30">
        <v>1</v>
      </c>
      <c r="G296" s="66">
        <v>26</v>
      </c>
      <c r="H296" s="66">
        <v>1702471.87</v>
      </c>
      <c r="I296" s="30">
        <v>99.97</v>
      </c>
      <c r="J296" s="30">
        <v>0</v>
      </c>
    </row>
    <row r="297" spans="1:10" ht="15" customHeight="1" x14ac:dyDescent="0.3">
      <c r="A297" s="90">
        <v>296</v>
      </c>
      <c r="B297" s="90" t="s">
        <v>596</v>
      </c>
      <c r="C297" s="90" t="s">
        <v>1320</v>
      </c>
      <c r="D297" s="90" t="s">
        <v>918</v>
      </c>
      <c r="E297" s="66">
        <v>12.78</v>
      </c>
      <c r="F297" s="30">
        <v>2</v>
      </c>
      <c r="G297" s="66">
        <v>25.56</v>
      </c>
      <c r="H297" s="66">
        <v>1702497.43</v>
      </c>
      <c r="I297" s="30">
        <v>99.97</v>
      </c>
      <c r="J297" s="30">
        <v>0</v>
      </c>
    </row>
    <row r="298" spans="1:10" ht="15" customHeight="1" x14ac:dyDescent="0.3">
      <c r="A298" s="90">
        <v>297</v>
      </c>
      <c r="B298" s="90" t="s">
        <v>596</v>
      </c>
      <c r="C298" s="90" t="s">
        <v>1321</v>
      </c>
      <c r="D298" s="90" t="s">
        <v>918</v>
      </c>
      <c r="E298" s="66">
        <v>0.25</v>
      </c>
      <c r="F298" s="30">
        <v>100</v>
      </c>
      <c r="G298" s="66">
        <v>25</v>
      </c>
      <c r="H298" s="66">
        <v>1702522.43</v>
      </c>
      <c r="I298" s="30">
        <v>99.97</v>
      </c>
      <c r="J298" s="30">
        <v>0</v>
      </c>
    </row>
    <row r="299" spans="1:10" ht="15" customHeight="1" x14ac:dyDescent="0.3">
      <c r="A299" s="90">
        <v>298</v>
      </c>
      <c r="B299" s="90" t="s">
        <v>596</v>
      </c>
      <c r="C299" s="90" t="s">
        <v>1322</v>
      </c>
      <c r="D299" s="90" t="s">
        <v>918</v>
      </c>
      <c r="E299" s="66">
        <v>25</v>
      </c>
      <c r="F299" s="30">
        <v>1</v>
      </c>
      <c r="G299" s="66">
        <v>25</v>
      </c>
      <c r="H299" s="66">
        <v>1702547.43</v>
      </c>
      <c r="I299" s="30">
        <v>99.97</v>
      </c>
      <c r="J299" s="30">
        <v>0</v>
      </c>
    </row>
    <row r="300" spans="1:10" ht="15" customHeight="1" x14ac:dyDescent="0.3">
      <c r="A300" s="90">
        <v>299</v>
      </c>
      <c r="B300" s="90" t="s">
        <v>596</v>
      </c>
      <c r="C300" s="90" t="s">
        <v>1323</v>
      </c>
      <c r="D300" s="90" t="s">
        <v>918</v>
      </c>
      <c r="E300" s="66">
        <v>12.3</v>
      </c>
      <c r="F300" s="30">
        <v>2</v>
      </c>
      <c r="G300" s="66">
        <v>24.6</v>
      </c>
      <c r="H300" s="66">
        <v>1702572.03</v>
      </c>
      <c r="I300" s="30">
        <v>99.97</v>
      </c>
      <c r="J300" s="30">
        <v>0</v>
      </c>
    </row>
    <row r="301" spans="1:10" ht="15" customHeight="1" x14ac:dyDescent="0.3">
      <c r="A301" s="90">
        <v>300</v>
      </c>
      <c r="B301" s="90" t="s">
        <v>596</v>
      </c>
      <c r="C301" s="90" t="s">
        <v>1324</v>
      </c>
      <c r="D301" s="90" t="s">
        <v>918</v>
      </c>
      <c r="E301" s="66">
        <v>6</v>
      </c>
      <c r="F301" s="30">
        <v>4</v>
      </c>
      <c r="G301" s="66">
        <v>24</v>
      </c>
      <c r="H301" s="66">
        <v>1702596.03</v>
      </c>
      <c r="I301" s="30">
        <v>99.97</v>
      </c>
      <c r="J301" s="30">
        <v>0</v>
      </c>
    </row>
    <row r="302" spans="1:10" ht="15" customHeight="1" x14ac:dyDescent="0.3">
      <c r="A302" s="90">
        <v>301</v>
      </c>
      <c r="B302" s="90" t="s">
        <v>596</v>
      </c>
      <c r="C302" s="90" t="s">
        <v>1325</v>
      </c>
      <c r="D302" s="90" t="s">
        <v>918</v>
      </c>
      <c r="E302" s="66">
        <v>24</v>
      </c>
      <c r="F302" s="30">
        <v>1</v>
      </c>
      <c r="G302" s="66">
        <v>24</v>
      </c>
      <c r="H302" s="66">
        <v>1702620.03</v>
      </c>
      <c r="I302" s="30">
        <v>99.98</v>
      </c>
      <c r="J302" s="30">
        <v>0</v>
      </c>
    </row>
    <row r="303" spans="1:10" ht="15" customHeight="1" x14ac:dyDescent="0.3">
      <c r="A303" s="90">
        <v>302</v>
      </c>
      <c r="B303" s="90" t="s">
        <v>596</v>
      </c>
      <c r="C303" s="90" t="s">
        <v>1326</v>
      </c>
      <c r="D303" s="90" t="s">
        <v>918</v>
      </c>
      <c r="E303" s="66">
        <v>23.57</v>
      </c>
      <c r="F303" s="30">
        <v>1</v>
      </c>
      <c r="G303" s="66">
        <v>23.57</v>
      </c>
      <c r="H303" s="66">
        <v>1702643.6</v>
      </c>
      <c r="I303" s="30">
        <v>99.98</v>
      </c>
      <c r="J303" s="30">
        <v>0</v>
      </c>
    </row>
    <row r="304" spans="1:10" ht="15" customHeight="1" x14ac:dyDescent="0.3">
      <c r="A304" s="90">
        <v>303</v>
      </c>
      <c r="B304" s="90" t="s">
        <v>596</v>
      </c>
      <c r="C304" s="90" t="s">
        <v>1340</v>
      </c>
      <c r="D304" s="90" t="s">
        <v>918</v>
      </c>
      <c r="E304" s="66">
        <v>7.67</v>
      </c>
      <c r="F304" s="30">
        <v>3</v>
      </c>
      <c r="G304" s="66">
        <v>23</v>
      </c>
      <c r="H304" s="66">
        <v>1702666.6</v>
      </c>
      <c r="I304" s="30">
        <v>99.98</v>
      </c>
      <c r="J304" s="30">
        <v>0</v>
      </c>
    </row>
    <row r="305" spans="1:10" ht="15" customHeight="1" x14ac:dyDescent="0.3">
      <c r="A305" s="90">
        <v>304</v>
      </c>
      <c r="B305" s="90" t="s">
        <v>596</v>
      </c>
      <c r="C305" s="90" t="s">
        <v>1327</v>
      </c>
      <c r="D305" s="90" t="s">
        <v>918</v>
      </c>
      <c r="E305" s="66">
        <v>22.54</v>
      </c>
      <c r="F305" s="30">
        <v>1</v>
      </c>
      <c r="G305" s="66">
        <v>22.54</v>
      </c>
      <c r="H305" s="66">
        <v>1702689.14</v>
      </c>
      <c r="I305" s="30">
        <v>99.98</v>
      </c>
      <c r="J305" s="30">
        <v>0</v>
      </c>
    </row>
    <row r="306" spans="1:10" ht="15" customHeight="1" x14ac:dyDescent="0.3">
      <c r="A306" s="90">
        <v>305</v>
      </c>
      <c r="B306" s="90" t="s">
        <v>596</v>
      </c>
      <c r="C306" s="90" t="s">
        <v>1328</v>
      </c>
      <c r="D306" s="90" t="s">
        <v>918</v>
      </c>
      <c r="E306" s="66">
        <v>22</v>
      </c>
      <c r="F306" s="30">
        <v>1</v>
      </c>
      <c r="G306" s="66">
        <v>22</v>
      </c>
      <c r="H306" s="66">
        <v>1702711.14</v>
      </c>
      <c r="I306" s="30">
        <v>99.98</v>
      </c>
      <c r="J306" s="30">
        <v>0</v>
      </c>
    </row>
    <row r="307" spans="1:10" ht="15" customHeight="1" x14ac:dyDescent="0.3">
      <c r="A307" s="90">
        <v>306</v>
      </c>
      <c r="B307" s="90" t="s">
        <v>596</v>
      </c>
      <c r="C307" s="90" t="s">
        <v>1329</v>
      </c>
      <c r="D307" s="90" t="s">
        <v>918</v>
      </c>
      <c r="E307" s="66">
        <v>21.91</v>
      </c>
      <c r="F307" s="30">
        <v>1</v>
      </c>
      <c r="G307" s="66">
        <v>21.91</v>
      </c>
      <c r="H307" s="66">
        <v>1702733.05</v>
      </c>
      <c r="I307" s="30">
        <v>99.98</v>
      </c>
      <c r="J307" s="30">
        <v>0</v>
      </c>
    </row>
    <row r="308" spans="1:10" ht="15" customHeight="1" x14ac:dyDescent="0.3">
      <c r="A308" s="90">
        <v>307</v>
      </c>
      <c r="B308" s="90" t="s">
        <v>596</v>
      </c>
      <c r="C308" s="90" t="s">
        <v>157</v>
      </c>
      <c r="D308" s="90" t="s">
        <v>918</v>
      </c>
      <c r="E308" s="66">
        <v>20</v>
      </c>
      <c r="F308" s="30">
        <v>1</v>
      </c>
      <c r="G308" s="66">
        <v>20</v>
      </c>
      <c r="H308" s="66">
        <v>1702753.05</v>
      </c>
      <c r="I308" s="30">
        <v>99.98</v>
      </c>
      <c r="J308" s="30">
        <v>0</v>
      </c>
    </row>
    <row r="309" spans="1:10" x14ac:dyDescent="0.3">
      <c r="A309">
        <v>308</v>
      </c>
      <c r="B309" t="s">
        <v>596</v>
      </c>
      <c r="C309" t="s">
        <v>1330</v>
      </c>
      <c r="D309" t="s">
        <v>918</v>
      </c>
      <c r="E309">
        <v>0.2</v>
      </c>
      <c r="F309">
        <v>100</v>
      </c>
      <c r="G309">
        <v>20</v>
      </c>
      <c r="H309">
        <v>1702773.05</v>
      </c>
      <c r="I309">
        <v>99.98</v>
      </c>
      <c r="J309">
        <v>0</v>
      </c>
    </row>
    <row r="310" spans="1:10" x14ac:dyDescent="0.3">
      <c r="A310">
        <v>309</v>
      </c>
      <c r="B310" t="s">
        <v>596</v>
      </c>
      <c r="C310" t="s">
        <v>1331</v>
      </c>
      <c r="D310" t="s">
        <v>918</v>
      </c>
      <c r="E310">
        <v>0.2</v>
      </c>
      <c r="F310">
        <v>100</v>
      </c>
      <c r="G310">
        <v>20</v>
      </c>
      <c r="H310">
        <v>1702793.05</v>
      </c>
      <c r="I310">
        <v>99.99</v>
      </c>
      <c r="J310">
        <v>0</v>
      </c>
    </row>
    <row r="311" spans="1:10" x14ac:dyDescent="0.3">
      <c r="A311">
        <v>310</v>
      </c>
      <c r="B311" t="s">
        <v>596</v>
      </c>
      <c r="C311" t="s">
        <v>1332</v>
      </c>
      <c r="D311" t="s">
        <v>918</v>
      </c>
      <c r="E311">
        <v>19.02</v>
      </c>
      <c r="F311">
        <v>1</v>
      </c>
      <c r="G311">
        <v>19.02</v>
      </c>
      <c r="H311">
        <v>1702812.07</v>
      </c>
      <c r="I311">
        <v>99.99</v>
      </c>
      <c r="J311">
        <v>0</v>
      </c>
    </row>
    <row r="312" spans="1:10" x14ac:dyDescent="0.3">
      <c r="A312">
        <v>311</v>
      </c>
      <c r="B312" t="s">
        <v>596</v>
      </c>
      <c r="C312" t="s">
        <v>1333</v>
      </c>
      <c r="D312" t="s">
        <v>918</v>
      </c>
      <c r="E312">
        <v>19</v>
      </c>
      <c r="F312">
        <v>1</v>
      </c>
      <c r="G312">
        <v>19</v>
      </c>
      <c r="H312">
        <v>1702831.07</v>
      </c>
      <c r="I312">
        <v>99.99</v>
      </c>
      <c r="J312">
        <v>0</v>
      </c>
    </row>
    <row r="313" spans="1:10" x14ac:dyDescent="0.3">
      <c r="A313">
        <v>312</v>
      </c>
      <c r="B313" t="s">
        <v>596</v>
      </c>
      <c r="C313" t="s">
        <v>1334</v>
      </c>
      <c r="D313" t="s">
        <v>918</v>
      </c>
      <c r="E313">
        <v>18</v>
      </c>
      <c r="F313">
        <v>1</v>
      </c>
      <c r="G313">
        <v>18</v>
      </c>
      <c r="H313">
        <v>1702849.07</v>
      </c>
      <c r="I313">
        <v>99.99</v>
      </c>
      <c r="J313">
        <v>0</v>
      </c>
    </row>
    <row r="314" spans="1:10" x14ac:dyDescent="0.3">
      <c r="A314">
        <v>313</v>
      </c>
      <c r="B314" t="s">
        <v>596</v>
      </c>
      <c r="C314" t="s">
        <v>1335</v>
      </c>
      <c r="D314" t="s">
        <v>918</v>
      </c>
      <c r="E314">
        <v>17</v>
      </c>
      <c r="F314">
        <v>1</v>
      </c>
      <c r="G314">
        <v>17</v>
      </c>
      <c r="H314">
        <v>1702866.07</v>
      </c>
      <c r="I314">
        <v>99.99</v>
      </c>
      <c r="J314">
        <v>0</v>
      </c>
    </row>
    <row r="315" spans="1:10" x14ac:dyDescent="0.3">
      <c r="A315">
        <v>314</v>
      </c>
      <c r="B315" t="s">
        <v>596</v>
      </c>
      <c r="C315" t="s">
        <v>945</v>
      </c>
      <c r="D315" t="s">
        <v>918</v>
      </c>
      <c r="E315">
        <v>16</v>
      </c>
      <c r="F315">
        <v>1</v>
      </c>
      <c r="G315">
        <v>16</v>
      </c>
      <c r="H315">
        <v>1702882.07</v>
      </c>
      <c r="I315">
        <v>99.99</v>
      </c>
      <c r="J315">
        <v>0</v>
      </c>
    </row>
    <row r="316" spans="1:10" x14ac:dyDescent="0.3">
      <c r="A316">
        <v>315</v>
      </c>
      <c r="B316" t="s">
        <v>596</v>
      </c>
      <c r="C316" t="s">
        <v>1336</v>
      </c>
      <c r="D316" t="s">
        <v>918</v>
      </c>
      <c r="E316">
        <v>15.5</v>
      </c>
      <c r="F316">
        <v>1</v>
      </c>
      <c r="G316">
        <v>15.5</v>
      </c>
      <c r="H316">
        <v>1702897.57</v>
      </c>
      <c r="I316">
        <v>99.99</v>
      </c>
      <c r="J316">
        <v>0</v>
      </c>
    </row>
    <row r="317" spans="1:10" x14ac:dyDescent="0.3">
      <c r="A317">
        <v>316</v>
      </c>
      <c r="B317" t="s">
        <v>596</v>
      </c>
      <c r="C317" t="s">
        <v>1337</v>
      </c>
      <c r="D317" t="s">
        <v>918</v>
      </c>
      <c r="E317">
        <v>15</v>
      </c>
      <c r="F317">
        <v>1</v>
      </c>
      <c r="G317">
        <v>15</v>
      </c>
      <c r="H317">
        <v>1702912.57</v>
      </c>
      <c r="I317">
        <v>99.99</v>
      </c>
      <c r="J317">
        <v>0</v>
      </c>
    </row>
    <row r="318" spans="1:10" x14ac:dyDescent="0.3">
      <c r="A318">
        <v>317</v>
      </c>
      <c r="B318" t="s">
        <v>596</v>
      </c>
      <c r="C318" t="s">
        <v>1338</v>
      </c>
      <c r="D318" t="s">
        <v>918</v>
      </c>
      <c r="E318">
        <v>14.35</v>
      </c>
      <c r="F318">
        <v>1</v>
      </c>
      <c r="G318">
        <v>14.35</v>
      </c>
      <c r="H318">
        <v>1702926.92</v>
      </c>
      <c r="I318">
        <v>99.99</v>
      </c>
      <c r="J318">
        <v>0</v>
      </c>
    </row>
    <row r="319" spans="1:10" x14ac:dyDescent="0.3">
      <c r="A319">
        <v>318</v>
      </c>
      <c r="B319" t="s">
        <v>596</v>
      </c>
      <c r="C319" t="s">
        <v>1339</v>
      </c>
      <c r="D319" t="s">
        <v>1107</v>
      </c>
      <c r="E319">
        <v>13</v>
      </c>
      <c r="F319">
        <v>1</v>
      </c>
      <c r="G319">
        <v>13</v>
      </c>
      <c r="H319">
        <v>1702939.92</v>
      </c>
      <c r="I319">
        <v>99.99</v>
      </c>
      <c r="J319">
        <v>0</v>
      </c>
    </row>
    <row r="320" spans="1:10" x14ac:dyDescent="0.3">
      <c r="A320">
        <v>319</v>
      </c>
      <c r="B320" t="s">
        <v>596</v>
      </c>
      <c r="C320" t="s">
        <v>1341</v>
      </c>
      <c r="D320" t="s">
        <v>918</v>
      </c>
      <c r="E320">
        <v>5.7</v>
      </c>
      <c r="F320">
        <v>2</v>
      </c>
      <c r="G320">
        <v>11.4</v>
      </c>
      <c r="H320">
        <v>1702951.32</v>
      </c>
      <c r="I320">
        <v>99.99</v>
      </c>
      <c r="J320">
        <v>0</v>
      </c>
    </row>
    <row r="321" spans="1:10" x14ac:dyDescent="0.3">
      <c r="A321">
        <v>320</v>
      </c>
      <c r="B321" t="s">
        <v>596</v>
      </c>
      <c r="C321" t="s">
        <v>1342</v>
      </c>
      <c r="D321" t="s">
        <v>918</v>
      </c>
      <c r="E321">
        <v>10.79</v>
      </c>
      <c r="F321">
        <v>1</v>
      </c>
      <c r="G321">
        <v>10.79</v>
      </c>
      <c r="H321">
        <v>1702962.11</v>
      </c>
      <c r="I321">
        <v>100</v>
      </c>
      <c r="J321">
        <v>0</v>
      </c>
    </row>
    <row r="322" spans="1:10" x14ac:dyDescent="0.3">
      <c r="A322">
        <v>321</v>
      </c>
      <c r="B322" t="s">
        <v>596</v>
      </c>
      <c r="C322" t="s">
        <v>1343</v>
      </c>
      <c r="D322" t="s">
        <v>918</v>
      </c>
      <c r="E322">
        <v>10.79</v>
      </c>
      <c r="F322">
        <v>1</v>
      </c>
      <c r="G322">
        <v>10.79</v>
      </c>
      <c r="H322">
        <v>1702972.9</v>
      </c>
      <c r="I322">
        <v>100</v>
      </c>
      <c r="J322">
        <v>0</v>
      </c>
    </row>
    <row r="323" spans="1:10" x14ac:dyDescent="0.3">
      <c r="A323">
        <v>322</v>
      </c>
      <c r="B323" t="s">
        <v>596</v>
      </c>
      <c r="C323" t="s">
        <v>1344</v>
      </c>
      <c r="D323" t="s">
        <v>918</v>
      </c>
      <c r="E323">
        <v>10.25</v>
      </c>
      <c r="F323">
        <v>1</v>
      </c>
      <c r="G323">
        <v>10.25</v>
      </c>
      <c r="H323">
        <v>1702983.15</v>
      </c>
      <c r="I323">
        <v>100</v>
      </c>
      <c r="J323">
        <v>0</v>
      </c>
    </row>
    <row r="324" spans="1:10" x14ac:dyDescent="0.3">
      <c r="A324">
        <v>323</v>
      </c>
      <c r="B324" t="s">
        <v>596</v>
      </c>
      <c r="C324" t="s">
        <v>1345</v>
      </c>
      <c r="D324" t="s">
        <v>1221</v>
      </c>
      <c r="E324">
        <v>10</v>
      </c>
      <c r="F324">
        <v>1</v>
      </c>
      <c r="G324">
        <v>10</v>
      </c>
      <c r="H324">
        <v>1702993.15</v>
      </c>
      <c r="I324">
        <v>100</v>
      </c>
      <c r="J324">
        <v>0</v>
      </c>
    </row>
    <row r="325" spans="1:10" x14ac:dyDescent="0.3">
      <c r="A325">
        <v>324</v>
      </c>
      <c r="B325" t="s">
        <v>596</v>
      </c>
      <c r="C325" t="s">
        <v>1346</v>
      </c>
      <c r="D325" t="s">
        <v>918</v>
      </c>
      <c r="E325">
        <v>10</v>
      </c>
      <c r="F325">
        <v>1</v>
      </c>
      <c r="G325">
        <v>10</v>
      </c>
      <c r="H325">
        <v>1703003.15</v>
      </c>
      <c r="I325">
        <v>100</v>
      </c>
      <c r="J325">
        <v>0</v>
      </c>
    </row>
    <row r="326" spans="1:10" x14ac:dyDescent="0.3">
      <c r="A326">
        <v>325</v>
      </c>
      <c r="B326" t="s">
        <v>596</v>
      </c>
      <c r="C326" t="s">
        <v>1347</v>
      </c>
      <c r="D326" t="s">
        <v>918</v>
      </c>
      <c r="E326">
        <v>10</v>
      </c>
      <c r="F326">
        <v>1</v>
      </c>
      <c r="G326">
        <v>10</v>
      </c>
      <c r="H326">
        <v>1703013.15</v>
      </c>
      <c r="I326">
        <v>100</v>
      </c>
      <c r="J326">
        <v>0</v>
      </c>
    </row>
    <row r="327" spans="1:10" x14ac:dyDescent="0.3">
      <c r="A327">
        <v>326</v>
      </c>
      <c r="B327" t="s">
        <v>596</v>
      </c>
      <c r="C327" t="s">
        <v>1348</v>
      </c>
      <c r="D327" t="s">
        <v>918</v>
      </c>
      <c r="E327">
        <v>8.43</v>
      </c>
      <c r="F327">
        <v>1</v>
      </c>
      <c r="G327">
        <v>8.43</v>
      </c>
      <c r="H327">
        <v>1703021.58</v>
      </c>
      <c r="I327">
        <v>100</v>
      </c>
      <c r="J327">
        <v>0</v>
      </c>
    </row>
    <row r="328" spans="1:10" x14ac:dyDescent="0.3">
      <c r="A328">
        <v>327</v>
      </c>
      <c r="B328" t="s">
        <v>596</v>
      </c>
      <c r="C328" t="s">
        <v>1349</v>
      </c>
      <c r="D328" t="s">
        <v>918</v>
      </c>
      <c r="E328">
        <v>5.9</v>
      </c>
      <c r="F328">
        <v>1</v>
      </c>
      <c r="G328">
        <v>5.9</v>
      </c>
      <c r="H328">
        <v>1703027.48</v>
      </c>
      <c r="I328">
        <v>100</v>
      </c>
      <c r="J328">
        <v>0</v>
      </c>
    </row>
    <row r="329" spans="1:10" x14ac:dyDescent="0.3">
      <c r="A329">
        <v>328</v>
      </c>
      <c r="B329" t="s">
        <v>596</v>
      </c>
      <c r="C329" t="s">
        <v>1350</v>
      </c>
      <c r="D329" t="s">
        <v>918</v>
      </c>
      <c r="E329">
        <v>0.51</v>
      </c>
      <c r="F329">
        <v>10</v>
      </c>
      <c r="G329">
        <v>5.0999999999999996</v>
      </c>
      <c r="H329">
        <v>1703032.58</v>
      </c>
      <c r="I329">
        <v>100</v>
      </c>
      <c r="J329">
        <v>0</v>
      </c>
    </row>
    <row r="330" spans="1:10" x14ac:dyDescent="0.3">
      <c r="A330">
        <v>329</v>
      </c>
      <c r="B330" t="s">
        <v>596</v>
      </c>
      <c r="C330" t="s">
        <v>1351</v>
      </c>
      <c r="D330" t="s">
        <v>918</v>
      </c>
      <c r="E330">
        <v>4.21</v>
      </c>
      <c r="F330">
        <v>1</v>
      </c>
      <c r="G330">
        <v>4.21</v>
      </c>
      <c r="H330">
        <v>1703036.79</v>
      </c>
      <c r="I330">
        <v>100</v>
      </c>
      <c r="J330">
        <v>0</v>
      </c>
    </row>
    <row r="331" spans="1:10" x14ac:dyDescent="0.3">
      <c r="A331">
        <v>330</v>
      </c>
      <c r="B331" t="s">
        <v>596</v>
      </c>
      <c r="C331" t="s">
        <v>1352</v>
      </c>
      <c r="D331" t="s">
        <v>918</v>
      </c>
      <c r="E331">
        <v>0.35</v>
      </c>
      <c r="F331">
        <v>10</v>
      </c>
      <c r="G331">
        <v>3.5</v>
      </c>
      <c r="H331">
        <v>1703040.29</v>
      </c>
      <c r="I331">
        <v>100</v>
      </c>
      <c r="J331">
        <v>0</v>
      </c>
    </row>
  </sheetData>
  <autoFilter ref="A1:J308" xr:uid="{00000000-0009-0000-0000-00000F000000}"/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>
    <tabColor rgb="FF808080"/>
  </sheetPr>
  <dimension ref="A1:F144"/>
  <sheetViews>
    <sheetView zoomScaleNormal="100" workbookViewId="0">
      <pane ySplit="1" topLeftCell="A2" activePane="bottomLeft" state="frozen"/>
      <selection pane="bottomLeft"/>
    </sheetView>
  </sheetViews>
  <sheetFormatPr defaultColWidth="8.6640625" defaultRowHeight="14.4" x14ac:dyDescent="0.3"/>
  <cols>
    <col min="1" max="1" width="10" customWidth="1"/>
    <col min="2" max="2" width="11" customWidth="1"/>
    <col min="3" max="3" width="10" customWidth="1"/>
    <col min="4" max="4" width="12" customWidth="1"/>
    <col min="5" max="5" width="13" customWidth="1"/>
    <col min="6" max="6" width="10" customWidth="1"/>
  </cols>
  <sheetData>
    <row r="1" spans="1:6" ht="15" customHeight="1" x14ac:dyDescent="0.3">
      <c r="A1" s="7" t="s">
        <v>1353</v>
      </c>
      <c r="B1" s="7" t="s">
        <v>1354</v>
      </c>
      <c r="C1" s="7" t="s">
        <v>1355</v>
      </c>
      <c r="D1" s="7" t="s">
        <v>1356</v>
      </c>
      <c r="E1" s="7" t="s">
        <v>1357</v>
      </c>
      <c r="F1" s="7" t="s">
        <v>723</v>
      </c>
    </row>
    <row r="2" spans="1:6" ht="15" customHeight="1" x14ac:dyDescent="0.3">
      <c r="A2" s="91">
        <v>45992</v>
      </c>
      <c r="B2" s="66">
        <v>214296.52</v>
      </c>
      <c r="C2" s="66">
        <v>2707.18</v>
      </c>
      <c r="D2" s="66">
        <v>211589.34</v>
      </c>
      <c r="E2" s="66">
        <v>211589.34</v>
      </c>
      <c r="F2" s="90" t="s">
        <v>231</v>
      </c>
    </row>
    <row r="3" spans="1:6" ht="15" customHeight="1" x14ac:dyDescent="0.3">
      <c r="A3" s="91">
        <v>46015</v>
      </c>
      <c r="B3" s="66">
        <v>22128.16</v>
      </c>
      <c r="C3" s="66">
        <v>0</v>
      </c>
      <c r="D3" s="66">
        <v>22128.16</v>
      </c>
      <c r="E3" s="66">
        <v>233717.5</v>
      </c>
      <c r="F3" s="90" t="s">
        <v>231</v>
      </c>
    </row>
    <row r="4" spans="1:6" ht="15" customHeight="1" x14ac:dyDescent="0.3">
      <c r="A4" s="91">
        <v>46018</v>
      </c>
      <c r="B4" s="66">
        <v>0</v>
      </c>
      <c r="C4" s="66">
        <v>3880.65</v>
      </c>
      <c r="D4" s="66">
        <v>-3880.65</v>
      </c>
      <c r="E4" s="66">
        <v>229836.85</v>
      </c>
      <c r="F4" s="90" t="s">
        <v>231</v>
      </c>
    </row>
    <row r="5" spans="1:6" ht="15" customHeight="1" x14ac:dyDescent="0.3">
      <c r="A5" s="91">
        <v>46019</v>
      </c>
      <c r="B5" s="66">
        <v>0</v>
      </c>
      <c r="C5" s="66">
        <v>1000</v>
      </c>
      <c r="D5" s="66">
        <v>-1000</v>
      </c>
      <c r="E5" s="66">
        <v>228836.85</v>
      </c>
      <c r="F5" s="90" t="s">
        <v>231</v>
      </c>
    </row>
    <row r="6" spans="1:6" ht="15" customHeight="1" x14ac:dyDescent="0.3">
      <c r="A6" s="91">
        <v>46020</v>
      </c>
      <c r="B6" s="66">
        <v>2000</v>
      </c>
      <c r="C6" s="66">
        <v>133716.79999999999</v>
      </c>
      <c r="D6" s="66">
        <v>-131716.79999999999</v>
      </c>
      <c r="E6" s="66">
        <v>97120.05</v>
      </c>
      <c r="F6" s="90" t="s">
        <v>231</v>
      </c>
    </row>
    <row r="7" spans="1:6" ht="15" customHeight="1" x14ac:dyDescent="0.3">
      <c r="A7" s="91">
        <v>46021</v>
      </c>
      <c r="B7" s="66">
        <v>0</v>
      </c>
      <c r="C7" s="66">
        <v>8888</v>
      </c>
      <c r="D7" s="66">
        <v>-8888</v>
      </c>
      <c r="E7" s="66">
        <v>88232.05</v>
      </c>
      <c r="F7" s="90" t="s">
        <v>231</v>
      </c>
    </row>
    <row r="8" spans="1:6" ht="15" customHeight="1" x14ac:dyDescent="0.3">
      <c r="A8" s="91">
        <v>46022</v>
      </c>
      <c r="B8" s="66">
        <v>0</v>
      </c>
      <c r="C8" s="66">
        <v>2000</v>
      </c>
      <c r="D8" s="66">
        <v>-2000</v>
      </c>
      <c r="E8" s="66">
        <v>86232.05</v>
      </c>
      <c r="F8" s="90" t="s">
        <v>231</v>
      </c>
    </row>
    <row r="9" spans="1:6" ht="15" customHeight="1" x14ac:dyDescent="0.3">
      <c r="A9" s="91">
        <v>46023</v>
      </c>
      <c r="B9" s="66">
        <v>0</v>
      </c>
      <c r="C9" s="66">
        <v>100</v>
      </c>
      <c r="D9" s="66">
        <v>-100</v>
      </c>
      <c r="E9" s="66">
        <v>86132.05</v>
      </c>
      <c r="F9" s="90" t="s">
        <v>232</v>
      </c>
    </row>
    <row r="10" spans="1:6" ht="15" customHeight="1" x14ac:dyDescent="0.3">
      <c r="A10" s="91">
        <v>46024</v>
      </c>
      <c r="B10" s="66">
        <v>0</v>
      </c>
      <c r="C10" s="66">
        <v>200</v>
      </c>
      <c r="D10" s="66">
        <v>-200</v>
      </c>
      <c r="E10" s="66">
        <v>85932.05</v>
      </c>
      <c r="F10" s="90" t="s">
        <v>232</v>
      </c>
    </row>
    <row r="11" spans="1:6" ht="15" customHeight="1" x14ac:dyDescent="0.3">
      <c r="A11" s="91">
        <v>46027</v>
      </c>
      <c r="B11" s="66">
        <v>11000</v>
      </c>
      <c r="C11" s="66">
        <v>17699.689999999999</v>
      </c>
      <c r="D11" s="66">
        <v>-6699.69</v>
      </c>
      <c r="E11" s="66">
        <v>79232.36</v>
      </c>
      <c r="F11" s="90" t="s">
        <v>232</v>
      </c>
    </row>
    <row r="12" spans="1:6" ht="15" customHeight="1" x14ac:dyDescent="0.3">
      <c r="A12" s="91">
        <v>46028</v>
      </c>
      <c r="B12" s="66">
        <v>0</v>
      </c>
      <c r="C12" s="66">
        <v>2971.38</v>
      </c>
      <c r="D12" s="66">
        <v>-2971.38</v>
      </c>
      <c r="E12" s="66">
        <v>76260.98</v>
      </c>
      <c r="F12" s="90" t="s">
        <v>232</v>
      </c>
    </row>
    <row r="13" spans="1:6" ht="15" customHeight="1" x14ac:dyDescent="0.3">
      <c r="A13" s="91">
        <v>46029</v>
      </c>
      <c r="B13" s="66">
        <v>0</v>
      </c>
      <c r="C13" s="66">
        <v>125.44</v>
      </c>
      <c r="D13" s="66">
        <v>-125.44</v>
      </c>
      <c r="E13" s="66">
        <v>76135.539999999994</v>
      </c>
      <c r="F13" s="90" t="s">
        <v>232</v>
      </c>
    </row>
    <row r="14" spans="1:6" ht="15" customHeight="1" x14ac:dyDescent="0.3">
      <c r="A14" s="91">
        <v>46030</v>
      </c>
      <c r="B14" s="66">
        <v>119859.62</v>
      </c>
      <c r="C14" s="66">
        <v>19434.060000000001</v>
      </c>
      <c r="D14" s="66">
        <v>100425.56</v>
      </c>
      <c r="E14" s="66">
        <v>176561.1</v>
      </c>
      <c r="F14" s="90" t="s">
        <v>232</v>
      </c>
    </row>
    <row r="15" spans="1:6" ht="15" customHeight="1" x14ac:dyDescent="0.3">
      <c r="A15" s="91">
        <v>46031</v>
      </c>
      <c r="B15" s="66">
        <v>0</v>
      </c>
      <c r="C15" s="66">
        <v>1793</v>
      </c>
      <c r="D15" s="66">
        <v>-1793</v>
      </c>
      <c r="E15" s="66">
        <v>174768.1</v>
      </c>
      <c r="F15" s="90" t="s">
        <v>232</v>
      </c>
    </row>
    <row r="16" spans="1:6" ht="15" customHeight="1" x14ac:dyDescent="0.3">
      <c r="A16" s="91">
        <v>46032</v>
      </c>
      <c r="B16" s="66">
        <v>0</v>
      </c>
      <c r="C16" s="66">
        <v>1359.78</v>
      </c>
      <c r="D16" s="66">
        <v>-1359.78</v>
      </c>
      <c r="E16" s="66">
        <v>173408.32</v>
      </c>
      <c r="F16" s="90" t="s">
        <v>232</v>
      </c>
    </row>
    <row r="17" spans="1:6" ht="15" customHeight="1" x14ac:dyDescent="0.3">
      <c r="A17" s="91">
        <v>46037</v>
      </c>
      <c r="B17" s="66">
        <v>0</v>
      </c>
      <c r="C17" s="66">
        <v>3925.2</v>
      </c>
      <c r="D17" s="66">
        <v>-3925.2</v>
      </c>
      <c r="E17" s="66">
        <v>169483.12</v>
      </c>
      <c r="F17" s="90" t="s">
        <v>232</v>
      </c>
    </row>
    <row r="18" spans="1:6" ht="15" customHeight="1" x14ac:dyDescent="0.3">
      <c r="A18" s="91">
        <v>46038</v>
      </c>
      <c r="B18" s="66">
        <v>0</v>
      </c>
      <c r="C18" s="66">
        <v>8382.5</v>
      </c>
      <c r="D18" s="66">
        <v>-8382.5</v>
      </c>
      <c r="E18" s="66">
        <v>161100.62</v>
      </c>
      <c r="F18" s="90" t="s">
        <v>232</v>
      </c>
    </row>
    <row r="19" spans="1:6" ht="15" customHeight="1" x14ac:dyDescent="0.3">
      <c r="A19" s="91">
        <v>46039</v>
      </c>
      <c r="B19" s="66">
        <v>0</v>
      </c>
      <c r="C19" s="66">
        <v>4360</v>
      </c>
      <c r="D19" s="66">
        <v>-4360</v>
      </c>
      <c r="E19" s="66">
        <v>156740.62</v>
      </c>
      <c r="F19" s="90" t="s">
        <v>232</v>
      </c>
    </row>
    <row r="20" spans="1:6" ht="15" customHeight="1" x14ac:dyDescent="0.3">
      <c r="A20" s="91">
        <v>46040</v>
      </c>
      <c r="B20" s="66">
        <v>0</v>
      </c>
      <c r="C20" s="66">
        <v>50</v>
      </c>
      <c r="D20" s="66">
        <v>-50</v>
      </c>
      <c r="E20" s="66">
        <v>156690.62</v>
      </c>
      <c r="F20" s="90" t="s">
        <v>232</v>
      </c>
    </row>
    <row r="21" spans="1:6" ht="15" customHeight="1" x14ac:dyDescent="0.3">
      <c r="A21" s="91">
        <v>46041</v>
      </c>
      <c r="B21" s="66">
        <v>0</v>
      </c>
      <c r="C21" s="66">
        <v>3667.48</v>
      </c>
      <c r="D21" s="66">
        <v>-3667.48</v>
      </c>
      <c r="E21" s="66">
        <v>153023.14000000001</v>
      </c>
      <c r="F21" s="90" t="s">
        <v>232</v>
      </c>
    </row>
    <row r="22" spans="1:6" ht="15" customHeight="1" x14ac:dyDescent="0.3">
      <c r="A22" s="91">
        <v>46042</v>
      </c>
      <c r="B22" s="66">
        <v>0</v>
      </c>
      <c r="C22" s="66">
        <v>2898.86</v>
      </c>
      <c r="D22" s="66">
        <v>-2898.86</v>
      </c>
      <c r="E22" s="66">
        <v>150124.28</v>
      </c>
      <c r="F22" s="90" t="s">
        <v>232</v>
      </c>
    </row>
    <row r="23" spans="1:6" ht="15" customHeight="1" x14ac:dyDescent="0.3">
      <c r="A23" s="91">
        <v>46043</v>
      </c>
      <c r="B23" s="66">
        <v>0</v>
      </c>
      <c r="C23" s="66">
        <v>2631.1</v>
      </c>
      <c r="D23" s="66">
        <v>-2631.1</v>
      </c>
      <c r="E23" s="66">
        <v>147493.18</v>
      </c>
      <c r="F23" s="90" t="s">
        <v>232</v>
      </c>
    </row>
    <row r="24" spans="1:6" ht="15" customHeight="1" x14ac:dyDescent="0.3">
      <c r="A24" s="91">
        <v>46046</v>
      </c>
      <c r="B24" s="66">
        <v>0</v>
      </c>
      <c r="C24" s="66">
        <v>960.09</v>
      </c>
      <c r="D24" s="66">
        <v>-960.09</v>
      </c>
      <c r="E24" s="66">
        <v>146533.09</v>
      </c>
      <c r="F24" s="90" t="s">
        <v>232</v>
      </c>
    </row>
    <row r="25" spans="1:6" ht="15" customHeight="1" x14ac:dyDescent="0.3">
      <c r="A25" s="91">
        <v>46047</v>
      </c>
      <c r="B25" s="66">
        <v>0</v>
      </c>
      <c r="C25" s="66">
        <v>1095.32</v>
      </c>
      <c r="D25" s="66">
        <v>-1095.32</v>
      </c>
      <c r="E25" s="66">
        <v>145437.76999999999</v>
      </c>
      <c r="F25" s="90" t="s">
        <v>232</v>
      </c>
    </row>
    <row r="26" spans="1:6" ht="15" customHeight="1" x14ac:dyDescent="0.3">
      <c r="A26" s="91">
        <v>46048</v>
      </c>
      <c r="B26" s="66">
        <v>25526.400000000001</v>
      </c>
      <c r="C26" s="66">
        <v>66.05</v>
      </c>
      <c r="D26" s="66">
        <v>25460.35</v>
      </c>
      <c r="E26" s="66">
        <v>170898.12</v>
      </c>
      <c r="F26" s="90" t="s">
        <v>232</v>
      </c>
    </row>
    <row r="27" spans="1:6" ht="15" customHeight="1" x14ac:dyDescent="0.3">
      <c r="A27" s="91">
        <v>46049</v>
      </c>
      <c r="B27" s="66">
        <v>0</v>
      </c>
      <c r="C27" s="66">
        <v>300</v>
      </c>
      <c r="D27" s="66">
        <v>-300</v>
      </c>
      <c r="E27" s="66">
        <v>170598.12</v>
      </c>
      <c r="F27" s="90" t="s">
        <v>232</v>
      </c>
    </row>
    <row r="28" spans="1:6" ht="15" customHeight="1" x14ac:dyDescent="0.3">
      <c r="A28" s="91">
        <v>46050</v>
      </c>
      <c r="B28" s="66">
        <v>0</v>
      </c>
      <c r="C28" s="66">
        <v>1950.3</v>
      </c>
      <c r="D28" s="66">
        <v>-1950.3</v>
      </c>
      <c r="E28" s="66">
        <v>168647.82</v>
      </c>
      <c r="F28" s="90" t="s">
        <v>232</v>
      </c>
    </row>
    <row r="29" spans="1:6" ht="15" customHeight="1" x14ac:dyDescent="0.3">
      <c r="A29" s="91">
        <v>46053</v>
      </c>
      <c r="B29" s="66">
        <v>0</v>
      </c>
      <c r="C29" s="66">
        <v>350</v>
      </c>
      <c r="D29" s="66">
        <v>-350</v>
      </c>
      <c r="E29" s="66">
        <v>168297.82</v>
      </c>
      <c r="F29" s="90" t="s">
        <v>232</v>
      </c>
    </row>
    <row r="30" spans="1:6" ht="15" customHeight="1" x14ac:dyDescent="0.3">
      <c r="A30" s="91">
        <v>46054</v>
      </c>
      <c r="B30" s="66">
        <v>420000</v>
      </c>
      <c r="C30" s="66">
        <v>0</v>
      </c>
      <c r="D30" s="66">
        <v>420000</v>
      </c>
      <c r="E30" s="66">
        <v>588297.81999999995</v>
      </c>
      <c r="F30" s="90" t="s">
        <v>233</v>
      </c>
    </row>
    <row r="31" spans="1:6" ht="15" customHeight="1" x14ac:dyDescent="0.3">
      <c r="A31" s="91">
        <v>46058</v>
      </c>
      <c r="B31" s="66">
        <v>0</v>
      </c>
      <c r="C31" s="66">
        <v>4075.02</v>
      </c>
      <c r="D31" s="66">
        <v>-4075.02</v>
      </c>
      <c r="E31" s="66">
        <v>584222.80000000005</v>
      </c>
      <c r="F31" s="90" t="s">
        <v>233</v>
      </c>
    </row>
    <row r="32" spans="1:6" ht="15" customHeight="1" x14ac:dyDescent="0.3">
      <c r="A32" s="91">
        <v>46059</v>
      </c>
      <c r="B32" s="66">
        <v>0</v>
      </c>
      <c r="C32" s="66">
        <v>5266.12</v>
      </c>
      <c r="D32" s="66">
        <v>-5266.12</v>
      </c>
      <c r="E32" s="66">
        <v>578956.68000000005</v>
      </c>
      <c r="F32" s="90" t="s">
        <v>233</v>
      </c>
    </row>
    <row r="33" spans="1:6" ht="15" customHeight="1" x14ac:dyDescent="0.3">
      <c r="A33" s="91">
        <v>46060</v>
      </c>
      <c r="B33" s="66">
        <v>0</v>
      </c>
      <c r="C33" s="66">
        <v>34769.39</v>
      </c>
      <c r="D33" s="66">
        <v>-34769.39</v>
      </c>
      <c r="E33" s="66">
        <v>544187.29</v>
      </c>
      <c r="F33" s="90" t="s">
        <v>233</v>
      </c>
    </row>
    <row r="34" spans="1:6" ht="15" customHeight="1" x14ac:dyDescent="0.3">
      <c r="A34" s="91">
        <v>46062</v>
      </c>
      <c r="B34" s="66">
        <v>0</v>
      </c>
      <c r="C34" s="66">
        <v>300</v>
      </c>
      <c r="D34" s="66">
        <v>-300</v>
      </c>
      <c r="E34" s="66">
        <v>543887.29</v>
      </c>
      <c r="F34" s="90" t="s">
        <v>233</v>
      </c>
    </row>
    <row r="35" spans="1:6" ht="15" customHeight="1" x14ac:dyDescent="0.3">
      <c r="A35" s="91">
        <v>46063</v>
      </c>
      <c r="B35" s="66">
        <v>0</v>
      </c>
      <c r="C35" s="66">
        <v>1000</v>
      </c>
      <c r="D35" s="66">
        <v>-1000</v>
      </c>
      <c r="E35" s="66">
        <v>542887.29</v>
      </c>
      <c r="F35" s="90" t="s">
        <v>233</v>
      </c>
    </row>
    <row r="36" spans="1:6" ht="15" customHeight="1" x14ac:dyDescent="0.3">
      <c r="A36" s="91">
        <v>46064</v>
      </c>
      <c r="B36" s="66">
        <v>0</v>
      </c>
      <c r="C36" s="66">
        <v>300</v>
      </c>
      <c r="D36" s="66">
        <v>-300</v>
      </c>
      <c r="E36" s="66">
        <v>542587.29</v>
      </c>
      <c r="F36" s="90" t="s">
        <v>233</v>
      </c>
    </row>
    <row r="37" spans="1:6" ht="15" customHeight="1" x14ac:dyDescent="0.3">
      <c r="A37" s="91">
        <v>46065</v>
      </c>
      <c r="B37" s="66">
        <v>0</v>
      </c>
      <c r="C37" s="66">
        <v>77.47</v>
      </c>
      <c r="D37" s="66">
        <v>-77.47</v>
      </c>
      <c r="E37" s="66">
        <v>542509.81999999995</v>
      </c>
      <c r="F37" s="90" t="s">
        <v>233</v>
      </c>
    </row>
    <row r="38" spans="1:6" ht="15" customHeight="1" x14ac:dyDescent="0.3">
      <c r="A38" s="91">
        <v>46066</v>
      </c>
      <c r="B38" s="66">
        <v>0</v>
      </c>
      <c r="C38" s="66">
        <v>4879.66</v>
      </c>
      <c r="D38" s="66">
        <v>-4879.66</v>
      </c>
      <c r="E38" s="66">
        <v>537630.16</v>
      </c>
      <c r="F38" s="90" t="s">
        <v>233</v>
      </c>
    </row>
    <row r="39" spans="1:6" ht="15" customHeight="1" x14ac:dyDescent="0.3">
      <c r="A39" s="91">
        <v>46067</v>
      </c>
      <c r="B39" s="66">
        <v>0</v>
      </c>
      <c r="C39" s="66">
        <v>595.19000000000005</v>
      </c>
      <c r="D39" s="66">
        <v>-595.19000000000005</v>
      </c>
      <c r="E39" s="66">
        <v>537034.97</v>
      </c>
      <c r="F39" s="90" t="s">
        <v>233</v>
      </c>
    </row>
    <row r="40" spans="1:6" ht="15" customHeight="1" x14ac:dyDescent="0.3">
      <c r="A40" s="91">
        <v>46068</v>
      </c>
      <c r="B40" s="66">
        <v>0</v>
      </c>
      <c r="C40" s="66">
        <v>3977.82</v>
      </c>
      <c r="D40" s="66">
        <v>-3977.82</v>
      </c>
      <c r="E40" s="66">
        <v>533057.15</v>
      </c>
      <c r="F40" s="90" t="s">
        <v>233</v>
      </c>
    </row>
    <row r="41" spans="1:6" ht="15" customHeight="1" x14ac:dyDescent="0.3">
      <c r="A41" s="91">
        <v>46069</v>
      </c>
      <c r="B41" s="66">
        <v>0</v>
      </c>
      <c r="C41" s="66">
        <v>480.69</v>
      </c>
      <c r="D41" s="66">
        <v>-480.69</v>
      </c>
      <c r="E41" s="66">
        <v>532576.46</v>
      </c>
      <c r="F41" s="90" t="s">
        <v>233</v>
      </c>
    </row>
    <row r="42" spans="1:6" ht="15" customHeight="1" x14ac:dyDescent="0.3">
      <c r="A42" s="91">
        <v>46072</v>
      </c>
      <c r="B42" s="66">
        <v>0</v>
      </c>
      <c r="C42" s="66">
        <v>3850</v>
      </c>
      <c r="D42" s="66">
        <v>-3850</v>
      </c>
      <c r="E42" s="66">
        <v>528726.46</v>
      </c>
      <c r="F42" s="90" t="s">
        <v>233</v>
      </c>
    </row>
    <row r="43" spans="1:6" ht="15" customHeight="1" x14ac:dyDescent="0.3">
      <c r="A43" s="91">
        <v>46073</v>
      </c>
      <c r="B43" s="66">
        <v>0</v>
      </c>
      <c r="C43" s="66">
        <v>5786</v>
      </c>
      <c r="D43" s="66">
        <v>-5786</v>
      </c>
      <c r="E43" s="66">
        <v>522940.46</v>
      </c>
      <c r="F43" s="90" t="s">
        <v>233</v>
      </c>
    </row>
    <row r="44" spans="1:6" ht="15" customHeight="1" x14ac:dyDescent="0.3">
      <c r="A44" s="91">
        <v>46074</v>
      </c>
      <c r="B44" s="66">
        <v>0</v>
      </c>
      <c r="C44" s="66">
        <v>5781.6</v>
      </c>
      <c r="D44" s="66">
        <v>-5781.6</v>
      </c>
      <c r="E44" s="66">
        <v>517158.86</v>
      </c>
      <c r="F44" s="90" t="s">
        <v>233</v>
      </c>
    </row>
    <row r="45" spans="1:6" ht="15" customHeight="1" x14ac:dyDescent="0.3">
      <c r="A45" s="91">
        <v>46078</v>
      </c>
      <c r="B45" s="66">
        <v>29902.54</v>
      </c>
      <c r="C45" s="66">
        <v>4180</v>
      </c>
      <c r="D45" s="66">
        <v>25722.54</v>
      </c>
      <c r="E45" s="66">
        <v>542881.4</v>
      </c>
      <c r="F45" s="90" t="s">
        <v>233</v>
      </c>
    </row>
    <row r="46" spans="1:6" ht="15" customHeight="1" x14ac:dyDescent="0.3">
      <c r="A46" s="91">
        <v>46080</v>
      </c>
      <c r="B46" s="66">
        <v>0</v>
      </c>
      <c r="C46" s="66">
        <v>1730.3</v>
      </c>
      <c r="D46" s="66">
        <v>-1730.3</v>
      </c>
      <c r="E46" s="66">
        <v>541151.1</v>
      </c>
      <c r="F46" s="90" t="s">
        <v>233</v>
      </c>
    </row>
    <row r="47" spans="1:6" ht="15" customHeight="1" x14ac:dyDescent="0.3">
      <c r="A47" s="91">
        <v>46081</v>
      </c>
      <c r="B47" s="66">
        <v>0</v>
      </c>
      <c r="C47" s="66">
        <v>190</v>
      </c>
      <c r="D47" s="66">
        <v>-190</v>
      </c>
      <c r="E47" s="66">
        <v>540961.1</v>
      </c>
      <c r="F47" s="90" t="s">
        <v>233</v>
      </c>
    </row>
    <row r="48" spans="1:6" ht="15" customHeight="1" x14ac:dyDescent="0.3">
      <c r="A48" s="91">
        <v>46082</v>
      </c>
      <c r="B48" s="66">
        <v>0</v>
      </c>
      <c r="C48" s="66">
        <v>2443.9</v>
      </c>
      <c r="D48" s="66">
        <v>-2443.9</v>
      </c>
      <c r="E48" s="66">
        <v>538517.19999999995</v>
      </c>
      <c r="F48" s="90" t="s">
        <v>234</v>
      </c>
    </row>
    <row r="49" spans="1:6" ht="15" customHeight="1" x14ac:dyDescent="0.3">
      <c r="A49" s="91">
        <v>46083</v>
      </c>
      <c r="B49" s="66">
        <v>0</v>
      </c>
      <c r="C49" s="66">
        <v>2394.33</v>
      </c>
      <c r="D49" s="66">
        <v>-2394.33</v>
      </c>
      <c r="E49" s="66">
        <v>536122.87</v>
      </c>
      <c r="F49" s="90" t="s">
        <v>234</v>
      </c>
    </row>
    <row r="50" spans="1:6" ht="15" customHeight="1" x14ac:dyDescent="0.3">
      <c r="A50" s="91">
        <v>46086</v>
      </c>
      <c r="B50" s="66">
        <v>0</v>
      </c>
      <c r="C50" s="66">
        <v>17694.04</v>
      </c>
      <c r="D50" s="66">
        <v>-17694.04</v>
      </c>
      <c r="E50" s="66">
        <v>518428.83</v>
      </c>
      <c r="F50" s="90" t="s">
        <v>234</v>
      </c>
    </row>
    <row r="51" spans="1:6" ht="15" customHeight="1" x14ac:dyDescent="0.3">
      <c r="A51" s="91">
        <v>46087</v>
      </c>
      <c r="B51" s="66">
        <v>0</v>
      </c>
      <c r="C51" s="66">
        <v>6289.61</v>
      </c>
      <c r="D51" s="66">
        <v>-6289.61</v>
      </c>
      <c r="E51" s="66">
        <v>512139.22</v>
      </c>
      <c r="F51" s="90" t="s">
        <v>234</v>
      </c>
    </row>
    <row r="52" spans="1:6" ht="15" customHeight="1" x14ac:dyDescent="0.3">
      <c r="A52" s="91">
        <v>46088</v>
      </c>
      <c r="B52" s="66">
        <v>0</v>
      </c>
      <c r="C52" s="66">
        <v>951.41</v>
      </c>
      <c r="D52" s="66">
        <v>-951.41</v>
      </c>
      <c r="E52" s="66">
        <v>511187.81</v>
      </c>
      <c r="F52" s="90" t="s">
        <v>234</v>
      </c>
    </row>
    <row r="53" spans="1:6" ht="15" customHeight="1" x14ac:dyDescent="0.3">
      <c r="A53" s="91">
        <v>46089</v>
      </c>
      <c r="B53" s="66">
        <v>0</v>
      </c>
      <c r="C53" s="66">
        <v>2027</v>
      </c>
      <c r="D53" s="66">
        <v>-2027</v>
      </c>
      <c r="E53" s="66">
        <v>509160.81</v>
      </c>
      <c r="F53" s="90" t="s">
        <v>234</v>
      </c>
    </row>
    <row r="54" spans="1:6" ht="15" customHeight="1" x14ac:dyDescent="0.3">
      <c r="A54" s="91">
        <v>46090</v>
      </c>
      <c r="B54" s="66">
        <v>0</v>
      </c>
      <c r="C54" s="66">
        <v>25543.279999999999</v>
      </c>
      <c r="D54" s="66">
        <v>-25543.279999999999</v>
      </c>
      <c r="E54" s="66">
        <v>483617.53</v>
      </c>
      <c r="F54" s="90" t="s">
        <v>234</v>
      </c>
    </row>
    <row r="55" spans="1:6" ht="15" customHeight="1" x14ac:dyDescent="0.3">
      <c r="A55" s="91">
        <v>46091</v>
      </c>
      <c r="B55" s="66">
        <v>0</v>
      </c>
      <c r="C55" s="66">
        <v>362.4</v>
      </c>
      <c r="D55" s="66">
        <v>-362.4</v>
      </c>
      <c r="E55" s="66">
        <v>483255.13</v>
      </c>
      <c r="F55" s="90" t="s">
        <v>234</v>
      </c>
    </row>
    <row r="56" spans="1:6" ht="15" customHeight="1" x14ac:dyDescent="0.3">
      <c r="A56" s="91">
        <v>46092</v>
      </c>
      <c r="B56" s="66">
        <v>0</v>
      </c>
      <c r="C56" s="66">
        <v>60</v>
      </c>
      <c r="D56" s="66">
        <v>-60</v>
      </c>
      <c r="E56" s="66">
        <v>483195.13</v>
      </c>
      <c r="F56" s="90" t="s">
        <v>234</v>
      </c>
    </row>
    <row r="57" spans="1:6" ht="15" customHeight="1" x14ac:dyDescent="0.3">
      <c r="A57" s="91">
        <v>46095</v>
      </c>
      <c r="B57" s="66">
        <v>0</v>
      </c>
      <c r="C57" s="66">
        <v>4320</v>
      </c>
      <c r="D57" s="66">
        <v>-4320</v>
      </c>
      <c r="E57" s="66">
        <v>478875.13</v>
      </c>
      <c r="F57" s="90" t="s">
        <v>234</v>
      </c>
    </row>
    <row r="58" spans="1:6" ht="15" customHeight="1" x14ac:dyDescent="0.3">
      <c r="A58" s="91">
        <v>46100</v>
      </c>
      <c r="B58" s="66">
        <v>0</v>
      </c>
      <c r="C58" s="66">
        <v>2223.4699999999998</v>
      </c>
      <c r="D58" s="66">
        <v>-2223.4699999999998</v>
      </c>
      <c r="E58" s="66">
        <v>476651.66</v>
      </c>
      <c r="F58" s="90" t="s">
        <v>234</v>
      </c>
    </row>
    <row r="59" spans="1:6" ht="15" customHeight="1" x14ac:dyDescent="0.3">
      <c r="A59" s="91">
        <v>46101</v>
      </c>
      <c r="B59" s="66">
        <v>0</v>
      </c>
      <c r="C59" s="66">
        <v>7119.13</v>
      </c>
      <c r="D59" s="66">
        <v>-7119.13</v>
      </c>
      <c r="E59" s="66">
        <v>469532.53</v>
      </c>
      <c r="F59" s="90" t="s">
        <v>234</v>
      </c>
    </row>
    <row r="60" spans="1:6" ht="15" customHeight="1" x14ac:dyDescent="0.3">
      <c r="A60" s="91">
        <v>46102</v>
      </c>
      <c r="B60" s="66">
        <v>0</v>
      </c>
      <c r="C60" s="66">
        <v>545.41</v>
      </c>
      <c r="D60" s="66">
        <v>-545.41</v>
      </c>
      <c r="E60" s="66">
        <v>468987.12</v>
      </c>
      <c r="F60" s="90" t="s">
        <v>234</v>
      </c>
    </row>
    <row r="61" spans="1:6" ht="15" customHeight="1" x14ac:dyDescent="0.3">
      <c r="A61" s="91">
        <v>46104</v>
      </c>
      <c r="B61" s="66">
        <v>0</v>
      </c>
      <c r="C61" s="66">
        <v>5000</v>
      </c>
      <c r="D61" s="66">
        <v>-5000</v>
      </c>
      <c r="E61" s="66">
        <v>463987.12</v>
      </c>
      <c r="F61" s="90" t="s">
        <v>234</v>
      </c>
    </row>
    <row r="62" spans="1:6" ht="15" customHeight="1" x14ac:dyDescent="0.3">
      <c r="A62" s="91">
        <v>46105</v>
      </c>
      <c r="B62" s="66">
        <v>0</v>
      </c>
      <c r="C62" s="66">
        <v>852.22</v>
      </c>
      <c r="D62" s="66">
        <v>-852.22</v>
      </c>
      <c r="E62" s="66">
        <v>463134.9</v>
      </c>
      <c r="F62" s="90" t="s">
        <v>234</v>
      </c>
    </row>
    <row r="63" spans="1:6" ht="15" customHeight="1" x14ac:dyDescent="0.3">
      <c r="A63" s="91">
        <v>46106</v>
      </c>
      <c r="B63" s="66">
        <v>26025.84</v>
      </c>
      <c r="C63" s="66">
        <v>0</v>
      </c>
      <c r="D63" s="66">
        <v>26025.84</v>
      </c>
      <c r="E63" s="66">
        <v>489160.74</v>
      </c>
      <c r="F63" s="90" t="s">
        <v>234</v>
      </c>
    </row>
    <row r="64" spans="1:6" ht="15" customHeight="1" x14ac:dyDescent="0.3">
      <c r="A64" s="91">
        <v>46107</v>
      </c>
      <c r="B64" s="66">
        <v>0</v>
      </c>
      <c r="C64" s="66">
        <v>22996.71</v>
      </c>
      <c r="D64" s="66">
        <v>-22996.71</v>
      </c>
      <c r="E64" s="66">
        <v>466164.03</v>
      </c>
      <c r="F64" s="90" t="s">
        <v>234</v>
      </c>
    </row>
    <row r="65" spans="1:6" ht="15" customHeight="1" x14ac:dyDescent="0.3">
      <c r="A65" s="91">
        <v>46108</v>
      </c>
      <c r="B65" s="66">
        <v>192917.04</v>
      </c>
      <c r="C65" s="66">
        <v>1364.58</v>
      </c>
      <c r="D65" s="66">
        <v>191552.46</v>
      </c>
      <c r="E65" s="66">
        <v>657716.49</v>
      </c>
      <c r="F65" s="90" t="s">
        <v>234</v>
      </c>
    </row>
    <row r="66" spans="1:6" ht="15" customHeight="1" x14ac:dyDescent="0.3">
      <c r="A66" s="91">
        <v>46109</v>
      </c>
      <c r="B66" s="66">
        <v>0</v>
      </c>
      <c r="C66" s="66">
        <v>852.76</v>
      </c>
      <c r="D66" s="66">
        <v>-852.76</v>
      </c>
      <c r="E66" s="66">
        <v>656863.73</v>
      </c>
      <c r="F66" s="90" t="s">
        <v>234</v>
      </c>
    </row>
    <row r="67" spans="1:6" ht="15" customHeight="1" x14ac:dyDescent="0.3">
      <c r="A67" s="91">
        <v>46110</v>
      </c>
      <c r="B67" s="66">
        <v>0</v>
      </c>
      <c r="C67" s="66">
        <v>195</v>
      </c>
      <c r="D67" s="66">
        <v>-195</v>
      </c>
      <c r="E67" s="66">
        <v>656668.73</v>
      </c>
      <c r="F67" s="90" t="s">
        <v>234</v>
      </c>
    </row>
    <row r="68" spans="1:6" ht="15" customHeight="1" x14ac:dyDescent="0.3">
      <c r="A68" s="91">
        <v>46111</v>
      </c>
      <c r="B68" s="66">
        <v>0</v>
      </c>
      <c r="C68" s="66">
        <v>750</v>
      </c>
      <c r="D68" s="66">
        <v>-750</v>
      </c>
      <c r="E68" s="66">
        <v>655918.73</v>
      </c>
      <c r="F68" s="90" t="s">
        <v>234</v>
      </c>
    </row>
    <row r="69" spans="1:6" ht="15" customHeight="1" x14ac:dyDescent="0.3">
      <c r="A69" s="91">
        <v>46112</v>
      </c>
      <c r="B69" s="66">
        <v>0</v>
      </c>
      <c r="C69" s="66">
        <v>1105.6600000000001</v>
      </c>
      <c r="D69" s="66">
        <v>-1105.6600000000001</v>
      </c>
      <c r="E69" s="66">
        <v>654813.06999999995</v>
      </c>
      <c r="F69" s="90" t="s">
        <v>234</v>
      </c>
    </row>
    <row r="70" spans="1:6" ht="15" customHeight="1" x14ac:dyDescent="0.3">
      <c r="A70" s="91">
        <v>46113</v>
      </c>
      <c r="B70" s="66">
        <v>0</v>
      </c>
      <c r="C70" s="66">
        <v>41014.58</v>
      </c>
      <c r="D70" s="66">
        <v>-41014.58</v>
      </c>
      <c r="E70" s="66">
        <v>613798.49</v>
      </c>
      <c r="F70" s="90" t="s">
        <v>235</v>
      </c>
    </row>
    <row r="71" spans="1:6" ht="15" customHeight="1" x14ac:dyDescent="0.3">
      <c r="A71" s="91">
        <v>46114</v>
      </c>
      <c r="B71" s="66">
        <v>0</v>
      </c>
      <c r="C71" s="66">
        <v>2234.33</v>
      </c>
      <c r="D71" s="66">
        <v>-2234.33</v>
      </c>
      <c r="E71" s="66">
        <v>611564.16</v>
      </c>
      <c r="F71" s="90" t="s">
        <v>235</v>
      </c>
    </row>
    <row r="72" spans="1:6" ht="15" customHeight="1" x14ac:dyDescent="0.3">
      <c r="A72" s="91">
        <v>46115</v>
      </c>
      <c r="B72" s="66">
        <v>0</v>
      </c>
      <c r="C72" s="66">
        <v>621.95000000000005</v>
      </c>
      <c r="D72" s="66">
        <v>-621.95000000000005</v>
      </c>
      <c r="E72" s="66">
        <v>610942.21</v>
      </c>
      <c r="F72" s="90" t="s">
        <v>235</v>
      </c>
    </row>
    <row r="73" spans="1:6" ht="15" customHeight="1" x14ac:dyDescent="0.3">
      <c r="A73" s="91">
        <v>46117</v>
      </c>
      <c r="B73" s="66">
        <v>0</v>
      </c>
      <c r="C73" s="66">
        <v>10626.94</v>
      </c>
      <c r="D73" s="66">
        <v>-10626.94</v>
      </c>
      <c r="E73" s="66">
        <v>600315.27</v>
      </c>
      <c r="F73" s="90" t="s">
        <v>235</v>
      </c>
    </row>
    <row r="74" spans="1:6" ht="15" customHeight="1" x14ac:dyDescent="0.3">
      <c r="A74" s="91">
        <v>46118</v>
      </c>
      <c r="B74" s="66">
        <v>0</v>
      </c>
      <c r="C74" s="66">
        <v>1342</v>
      </c>
      <c r="D74" s="66">
        <v>-1342</v>
      </c>
      <c r="E74" s="66">
        <v>598973.27</v>
      </c>
      <c r="F74" s="90" t="s">
        <v>235</v>
      </c>
    </row>
    <row r="75" spans="1:6" ht="15" customHeight="1" x14ac:dyDescent="0.3">
      <c r="A75" s="91">
        <v>46119</v>
      </c>
      <c r="B75" s="66">
        <v>0</v>
      </c>
      <c r="C75" s="66">
        <v>25711.83</v>
      </c>
      <c r="D75" s="66">
        <v>-25711.83</v>
      </c>
      <c r="E75" s="66">
        <v>573261.43999999994</v>
      </c>
      <c r="F75" s="90" t="s">
        <v>235</v>
      </c>
    </row>
    <row r="76" spans="1:6" ht="15" customHeight="1" x14ac:dyDescent="0.3">
      <c r="A76" s="91">
        <v>46120</v>
      </c>
      <c r="B76" s="66">
        <v>0</v>
      </c>
      <c r="C76" s="66">
        <v>2800</v>
      </c>
      <c r="D76" s="66">
        <v>-2800</v>
      </c>
      <c r="E76" s="66">
        <v>570461.43999999994</v>
      </c>
      <c r="F76" s="90" t="s">
        <v>235</v>
      </c>
    </row>
    <row r="77" spans="1:6" ht="15" customHeight="1" x14ac:dyDescent="0.3">
      <c r="A77" s="91">
        <v>46121</v>
      </c>
      <c r="B77" s="66">
        <v>0</v>
      </c>
      <c r="C77" s="66">
        <v>34.21</v>
      </c>
      <c r="D77" s="66">
        <v>-34.21</v>
      </c>
      <c r="E77" s="66">
        <v>570427.23</v>
      </c>
      <c r="F77" s="90" t="s">
        <v>235</v>
      </c>
    </row>
    <row r="78" spans="1:6" ht="15" customHeight="1" x14ac:dyDescent="0.3">
      <c r="A78" s="91">
        <v>46122</v>
      </c>
      <c r="B78" s="66">
        <v>0</v>
      </c>
      <c r="C78" s="66">
        <v>510.18</v>
      </c>
      <c r="D78" s="66">
        <v>-510.18</v>
      </c>
      <c r="E78" s="66">
        <v>569917.05000000005</v>
      </c>
      <c r="F78" s="90" t="s">
        <v>235</v>
      </c>
    </row>
    <row r="79" spans="1:6" ht="15" customHeight="1" x14ac:dyDescent="0.3">
      <c r="A79" s="91">
        <v>46123</v>
      </c>
      <c r="B79" s="66">
        <v>0</v>
      </c>
      <c r="C79" s="66">
        <v>1000</v>
      </c>
      <c r="D79" s="66">
        <v>-1000</v>
      </c>
      <c r="E79" s="66">
        <v>568917.05000000005</v>
      </c>
      <c r="F79" s="90" t="s">
        <v>235</v>
      </c>
    </row>
    <row r="80" spans="1:6" ht="15" customHeight="1" x14ac:dyDescent="0.3">
      <c r="A80" s="91">
        <v>46125</v>
      </c>
      <c r="B80" s="66">
        <v>0</v>
      </c>
      <c r="C80" s="66">
        <v>8641</v>
      </c>
      <c r="D80" s="66">
        <v>-8641</v>
      </c>
      <c r="E80" s="66">
        <v>560276.05000000005</v>
      </c>
      <c r="F80" s="90" t="s">
        <v>235</v>
      </c>
    </row>
    <row r="81" spans="1:6" ht="15" customHeight="1" x14ac:dyDescent="0.3">
      <c r="A81" s="91">
        <v>46126</v>
      </c>
      <c r="B81" s="66">
        <v>0</v>
      </c>
      <c r="C81" s="66">
        <v>30</v>
      </c>
      <c r="D81" s="66">
        <v>-30</v>
      </c>
      <c r="E81" s="66">
        <v>560246.05000000005</v>
      </c>
      <c r="F81" s="90" t="s">
        <v>235</v>
      </c>
    </row>
    <row r="82" spans="1:6" ht="15" customHeight="1" x14ac:dyDescent="0.3">
      <c r="A82" s="91">
        <v>46127</v>
      </c>
      <c r="B82" s="66">
        <v>0</v>
      </c>
      <c r="C82" s="66">
        <v>18218.759999999998</v>
      </c>
      <c r="D82" s="66">
        <v>-18218.759999999998</v>
      </c>
      <c r="E82" s="66">
        <v>542027.29</v>
      </c>
      <c r="F82" s="90" t="s">
        <v>235</v>
      </c>
    </row>
    <row r="83" spans="1:6" ht="15" customHeight="1" x14ac:dyDescent="0.3">
      <c r="A83" s="91">
        <v>46128</v>
      </c>
      <c r="B83" s="66">
        <v>0</v>
      </c>
      <c r="C83" s="66">
        <v>752.97</v>
      </c>
      <c r="D83" s="66">
        <v>-752.97</v>
      </c>
      <c r="E83" s="66">
        <v>541274.31999999995</v>
      </c>
      <c r="F83" s="90" t="s">
        <v>235</v>
      </c>
    </row>
    <row r="84" spans="1:6" ht="15" customHeight="1" x14ac:dyDescent="0.3">
      <c r="A84" s="91">
        <v>46129</v>
      </c>
      <c r="B84" s="66">
        <v>0</v>
      </c>
      <c r="C84" s="66">
        <v>22799.27</v>
      </c>
      <c r="D84" s="66">
        <v>-22799.27</v>
      </c>
      <c r="E84" s="66">
        <v>518475.05</v>
      </c>
      <c r="F84" s="90" t="s">
        <v>235</v>
      </c>
    </row>
    <row r="85" spans="1:6" ht="15" customHeight="1" x14ac:dyDescent="0.3">
      <c r="A85" s="91">
        <v>46130</v>
      </c>
      <c r="B85" s="66">
        <v>0</v>
      </c>
      <c r="C85" s="66">
        <v>354.74</v>
      </c>
      <c r="D85" s="66">
        <v>-354.74</v>
      </c>
      <c r="E85" s="66">
        <v>518120.31</v>
      </c>
      <c r="F85" s="90" t="s">
        <v>235</v>
      </c>
    </row>
    <row r="86" spans="1:6" ht="15" customHeight="1" x14ac:dyDescent="0.3">
      <c r="A86" s="91">
        <v>46131</v>
      </c>
      <c r="B86" s="66">
        <v>0</v>
      </c>
      <c r="C86" s="66">
        <v>9</v>
      </c>
      <c r="D86" s="66">
        <v>-9</v>
      </c>
      <c r="E86" s="66">
        <v>518111.31</v>
      </c>
      <c r="F86" s="90" t="s">
        <v>235</v>
      </c>
    </row>
    <row r="87" spans="1:6" ht="15" customHeight="1" x14ac:dyDescent="0.3">
      <c r="A87" s="91">
        <v>46134</v>
      </c>
      <c r="B87" s="66">
        <v>0</v>
      </c>
      <c r="C87" s="66">
        <v>30631.9</v>
      </c>
      <c r="D87" s="66">
        <v>-30631.9</v>
      </c>
      <c r="E87" s="66">
        <v>487479.41</v>
      </c>
      <c r="F87" s="90" t="s">
        <v>235</v>
      </c>
    </row>
    <row r="88" spans="1:6" ht="15" customHeight="1" x14ac:dyDescent="0.3">
      <c r="A88" s="91">
        <v>46136</v>
      </c>
      <c r="B88" s="66">
        <v>35776.32</v>
      </c>
      <c r="C88" s="66">
        <v>16851.66</v>
      </c>
      <c r="D88" s="66">
        <v>18924.66</v>
      </c>
      <c r="E88" s="66">
        <v>506404.07</v>
      </c>
      <c r="F88" s="90" t="s">
        <v>235</v>
      </c>
    </row>
    <row r="89" spans="1:6" ht="15" customHeight="1" x14ac:dyDescent="0.3">
      <c r="A89" s="91">
        <v>46137</v>
      </c>
      <c r="B89" s="66">
        <v>0</v>
      </c>
      <c r="C89" s="66">
        <v>300</v>
      </c>
      <c r="D89" s="66">
        <v>-300</v>
      </c>
      <c r="E89" s="66">
        <v>506104.07</v>
      </c>
      <c r="F89" s="90" t="s">
        <v>235</v>
      </c>
    </row>
    <row r="90" spans="1:6" ht="15" customHeight="1" x14ac:dyDescent="0.3">
      <c r="A90" s="91">
        <v>46139</v>
      </c>
      <c r="B90" s="66">
        <v>0</v>
      </c>
      <c r="C90" s="66">
        <v>199208.26</v>
      </c>
      <c r="D90" s="66">
        <v>-199208.26</v>
      </c>
      <c r="E90" s="66">
        <v>306895.81</v>
      </c>
      <c r="F90" s="90" t="s">
        <v>235</v>
      </c>
    </row>
    <row r="91" spans="1:6" ht="15" customHeight="1" x14ac:dyDescent="0.3">
      <c r="A91" s="91">
        <v>46140</v>
      </c>
      <c r="B91" s="66">
        <v>0</v>
      </c>
      <c r="C91" s="66">
        <v>13476.6</v>
      </c>
      <c r="D91" s="66">
        <v>-13476.6</v>
      </c>
      <c r="E91" s="66">
        <v>293419.21000000002</v>
      </c>
      <c r="F91" s="90" t="s">
        <v>235</v>
      </c>
    </row>
    <row r="92" spans="1:6" ht="15" customHeight="1" x14ac:dyDescent="0.3">
      <c r="A92" s="91">
        <v>46141</v>
      </c>
      <c r="B92" s="66">
        <v>0</v>
      </c>
      <c r="C92" s="66">
        <v>200</v>
      </c>
      <c r="D92" s="66">
        <v>-200</v>
      </c>
      <c r="E92" s="66">
        <v>293219.21000000002</v>
      </c>
      <c r="F92" s="90" t="s">
        <v>235</v>
      </c>
    </row>
    <row r="93" spans="1:6" ht="15" customHeight="1" x14ac:dyDescent="0.3">
      <c r="A93" s="91">
        <v>46142</v>
      </c>
      <c r="B93" s="66">
        <v>0</v>
      </c>
      <c r="C93" s="66">
        <v>49519.33</v>
      </c>
      <c r="D93" s="66">
        <v>-49519.33</v>
      </c>
      <c r="E93" s="66">
        <v>243699.88</v>
      </c>
      <c r="F93" s="90" t="s">
        <v>235</v>
      </c>
    </row>
    <row r="94" spans="1:6" ht="15" customHeight="1" x14ac:dyDescent="0.3">
      <c r="A94" s="91">
        <v>46143</v>
      </c>
      <c r="B94" s="66">
        <v>0</v>
      </c>
      <c r="C94" s="66">
        <v>41840.19</v>
      </c>
      <c r="D94" s="66">
        <v>-41840.19</v>
      </c>
      <c r="E94" s="66">
        <v>201859.69</v>
      </c>
      <c r="F94" s="90" t="s">
        <v>236</v>
      </c>
    </row>
    <row r="95" spans="1:6" ht="15" customHeight="1" x14ac:dyDescent="0.3">
      <c r="A95" s="91">
        <v>46144</v>
      </c>
      <c r="B95" s="66">
        <v>0</v>
      </c>
      <c r="C95" s="66">
        <v>14498.81</v>
      </c>
      <c r="D95" s="66">
        <v>-14498.81</v>
      </c>
      <c r="E95" s="66">
        <v>187360.88</v>
      </c>
      <c r="F95" s="90" t="s">
        <v>236</v>
      </c>
    </row>
    <row r="96" spans="1:6" ht="15" customHeight="1" x14ac:dyDescent="0.3">
      <c r="A96" s="91">
        <v>46145</v>
      </c>
      <c r="B96" s="66">
        <v>0</v>
      </c>
      <c r="C96" s="66">
        <v>67.5</v>
      </c>
      <c r="D96" s="66">
        <v>-67.5</v>
      </c>
      <c r="E96" s="66">
        <v>187293.38</v>
      </c>
      <c r="F96" s="90" t="s">
        <v>236</v>
      </c>
    </row>
    <row r="97" spans="1:6" ht="15" customHeight="1" x14ac:dyDescent="0.3">
      <c r="A97" s="91">
        <v>46146</v>
      </c>
      <c r="B97" s="66">
        <v>0</v>
      </c>
      <c r="C97" s="66">
        <v>1621</v>
      </c>
      <c r="D97" s="66">
        <v>-1621</v>
      </c>
      <c r="E97" s="66">
        <v>185672.38</v>
      </c>
      <c r="F97" s="90" t="s">
        <v>236</v>
      </c>
    </row>
    <row r="98" spans="1:6" ht="15" customHeight="1" x14ac:dyDescent="0.3">
      <c r="A98" s="91">
        <v>46147</v>
      </c>
      <c r="B98" s="66">
        <v>0</v>
      </c>
      <c r="C98" s="66">
        <v>4373.33</v>
      </c>
      <c r="D98" s="66">
        <v>-4373.33</v>
      </c>
      <c r="E98" s="66">
        <v>181299.05</v>
      </c>
      <c r="F98" s="90" t="s">
        <v>236</v>
      </c>
    </row>
    <row r="99" spans="1:6" ht="15" customHeight="1" x14ac:dyDescent="0.3">
      <c r="A99" s="91">
        <v>46148</v>
      </c>
      <c r="B99" s="66">
        <v>0</v>
      </c>
      <c r="C99" s="66">
        <v>31611.62</v>
      </c>
      <c r="D99" s="66">
        <v>-31611.62</v>
      </c>
      <c r="E99" s="66">
        <v>149687.43</v>
      </c>
      <c r="F99" s="90" t="s">
        <v>236</v>
      </c>
    </row>
    <row r="100" spans="1:6" ht="15" customHeight="1" x14ac:dyDescent="0.3">
      <c r="A100" s="91">
        <v>46149</v>
      </c>
      <c r="B100" s="66">
        <v>0</v>
      </c>
      <c r="C100" s="66">
        <v>10364.11</v>
      </c>
      <c r="D100" s="66">
        <v>-10364.11</v>
      </c>
      <c r="E100" s="66">
        <v>139323.32</v>
      </c>
      <c r="F100" s="90" t="s">
        <v>236</v>
      </c>
    </row>
    <row r="101" spans="1:6" ht="15" customHeight="1" x14ac:dyDescent="0.3">
      <c r="A101" s="91">
        <v>46150</v>
      </c>
      <c r="B101" s="66">
        <v>0</v>
      </c>
      <c r="C101" s="66">
        <v>6950</v>
      </c>
      <c r="D101" s="66">
        <v>-6950</v>
      </c>
      <c r="E101" s="66">
        <v>132373.32</v>
      </c>
      <c r="F101" s="90" t="s">
        <v>236</v>
      </c>
    </row>
    <row r="102" spans="1:6" ht="15" customHeight="1" x14ac:dyDescent="0.3">
      <c r="A102" s="91">
        <v>46151</v>
      </c>
      <c r="B102" s="66">
        <v>0</v>
      </c>
      <c r="C102" s="66">
        <v>200</v>
      </c>
      <c r="D102" s="66">
        <v>-200</v>
      </c>
      <c r="E102" s="66">
        <v>132173.32</v>
      </c>
      <c r="F102" s="90" t="s">
        <v>236</v>
      </c>
    </row>
    <row r="103" spans="1:6" ht="15" customHeight="1" x14ac:dyDescent="0.3">
      <c r="A103" s="91">
        <v>46153</v>
      </c>
      <c r="B103" s="66">
        <v>0</v>
      </c>
      <c r="C103" s="66">
        <v>5500</v>
      </c>
      <c r="D103" s="66">
        <v>-5500</v>
      </c>
      <c r="E103" s="66">
        <v>126673.32</v>
      </c>
      <c r="F103" s="90" t="s">
        <v>236</v>
      </c>
    </row>
    <row r="104" spans="1:6" ht="15" customHeight="1" x14ac:dyDescent="0.3">
      <c r="A104" s="91">
        <v>46155</v>
      </c>
      <c r="B104" s="66">
        <v>0</v>
      </c>
      <c r="C104" s="66">
        <v>31218</v>
      </c>
      <c r="D104" s="66">
        <v>-31218</v>
      </c>
      <c r="E104" s="66">
        <v>95455.32</v>
      </c>
      <c r="F104" s="90" t="s">
        <v>236</v>
      </c>
    </row>
    <row r="105" spans="1:6" ht="15" customHeight="1" x14ac:dyDescent="0.3">
      <c r="A105" s="91">
        <v>46156</v>
      </c>
      <c r="B105" s="66">
        <v>0</v>
      </c>
      <c r="C105" s="66">
        <v>8288.44</v>
      </c>
      <c r="D105" s="66">
        <v>-8288.44</v>
      </c>
      <c r="E105" s="66">
        <v>87166.88</v>
      </c>
      <c r="F105" s="90" t="s">
        <v>236</v>
      </c>
    </row>
    <row r="106" spans="1:6" ht="15" customHeight="1" x14ac:dyDescent="0.3">
      <c r="A106" s="91">
        <v>46157</v>
      </c>
      <c r="B106" s="66">
        <v>0</v>
      </c>
      <c r="C106" s="66">
        <v>20303.8</v>
      </c>
      <c r="D106" s="66">
        <v>-20303.8</v>
      </c>
      <c r="E106" s="66">
        <v>66863.08</v>
      </c>
      <c r="F106" s="90" t="s">
        <v>236</v>
      </c>
    </row>
    <row r="107" spans="1:6" ht="15" customHeight="1" x14ac:dyDescent="0.3">
      <c r="A107" s="91">
        <v>46158</v>
      </c>
      <c r="B107" s="66">
        <v>0</v>
      </c>
      <c r="C107" s="66">
        <v>891</v>
      </c>
      <c r="D107" s="66">
        <v>-891</v>
      </c>
      <c r="E107" s="66">
        <v>65972.08</v>
      </c>
      <c r="F107" s="90" t="s">
        <v>236</v>
      </c>
    </row>
    <row r="108" spans="1:6" ht="15" customHeight="1" x14ac:dyDescent="0.3">
      <c r="A108" s="91">
        <v>46159</v>
      </c>
      <c r="B108" s="66">
        <v>0</v>
      </c>
      <c r="C108" s="66">
        <v>1048.25</v>
      </c>
      <c r="D108" s="66">
        <v>-1048.25</v>
      </c>
      <c r="E108" s="66">
        <v>64923.83</v>
      </c>
      <c r="F108" s="90" t="s">
        <v>236</v>
      </c>
    </row>
    <row r="109" spans="1:6" ht="15" customHeight="1" x14ac:dyDescent="0.3">
      <c r="A109" s="91">
        <v>46160</v>
      </c>
      <c r="B109" s="66">
        <v>0</v>
      </c>
      <c r="C109" s="66">
        <v>21000</v>
      </c>
      <c r="D109" s="66">
        <v>-21000</v>
      </c>
      <c r="E109" s="66">
        <v>43923.83</v>
      </c>
      <c r="F109" s="90" t="s">
        <v>236</v>
      </c>
    </row>
    <row r="110" spans="1:6" ht="15" customHeight="1" x14ac:dyDescent="0.3">
      <c r="A110" s="91">
        <v>46162</v>
      </c>
      <c r="B110" s="66">
        <v>6000</v>
      </c>
      <c r="C110" s="66">
        <v>405.99</v>
      </c>
      <c r="D110" s="66">
        <v>5594.01</v>
      </c>
      <c r="E110" s="66">
        <v>49517.84</v>
      </c>
      <c r="F110" s="90" t="s">
        <v>236</v>
      </c>
    </row>
    <row r="111" spans="1:6" ht="15" customHeight="1" x14ac:dyDescent="0.3">
      <c r="A111" s="91">
        <v>46164</v>
      </c>
      <c r="B111" s="66">
        <v>0</v>
      </c>
      <c r="C111" s="66">
        <v>1876.66</v>
      </c>
      <c r="D111" s="66">
        <v>-1876.66</v>
      </c>
      <c r="E111" s="66">
        <v>47641.18</v>
      </c>
      <c r="F111" s="90" t="s">
        <v>236</v>
      </c>
    </row>
    <row r="112" spans="1:6" ht="15" customHeight="1" x14ac:dyDescent="0.3">
      <c r="A112" s="91">
        <v>46165</v>
      </c>
      <c r="B112" s="66">
        <v>0</v>
      </c>
      <c r="C112" s="66">
        <v>9972.4699999999993</v>
      </c>
      <c r="D112" s="66">
        <v>-9972.4699999999993</v>
      </c>
      <c r="E112" s="66">
        <v>37668.71</v>
      </c>
      <c r="F112" s="90" t="s">
        <v>236</v>
      </c>
    </row>
    <row r="113" spans="1:6" ht="15" customHeight="1" x14ac:dyDescent="0.3">
      <c r="A113" s="91">
        <v>46167</v>
      </c>
      <c r="B113" s="66">
        <v>37070.79</v>
      </c>
      <c r="C113" s="66">
        <v>1450.31</v>
      </c>
      <c r="D113" s="66">
        <v>35620.480000000003</v>
      </c>
      <c r="E113" s="66">
        <v>73289.19</v>
      </c>
      <c r="F113" s="90" t="s">
        <v>236</v>
      </c>
    </row>
    <row r="114" spans="1:6" ht="15" customHeight="1" x14ac:dyDescent="0.3">
      <c r="A114" s="91">
        <v>46168</v>
      </c>
      <c r="B114" s="66">
        <v>0</v>
      </c>
      <c r="C114" s="66">
        <v>525</v>
      </c>
      <c r="D114" s="66">
        <v>-525</v>
      </c>
      <c r="E114" s="66">
        <v>72764.19</v>
      </c>
      <c r="F114" s="90" t="s">
        <v>236</v>
      </c>
    </row>
    <row r="115" spans="1:6" ht="15" customHeight="1" x14ac:dyDescent="0.3">
      <c r="A115" s="91">
        <v>46170</v>
      </c>
      <c r="B115" s="66">
        <v>0</v>
      </c>
      <c r="C115" s="66">
        <v>1640.46</v>
      </c>
      <c r="D115" s="66">
        <v>-1640.46</v>
      </c>
      <c r="E115" s="66">
        <v>71123.73</v>
      </c>
      <c r="F115" s="90" t="s">
        <v>236</v>
      </c>
    </row>
    <row r="116" spans="1:6" ht="15" customHeight="1" x14ac:dyDescent="0.3">
      <c r="A116" s="91">
        <v>46171</v>
      </c>
      <c r="B116" s="66">
        <v>0</v>
      </c>
      <c r="C116" s="66">
        <v>18355</v>
      </c>
      <c r="D116" s="66">
        <v>-18355</v>
      </c>
      <c r="E116" s="66">
        <v>52768.73</v>
      </c>
      <c r="F116" s="90" t="s">
        <v>236</v>
      </c>
    </row>
    <row r="117" spans="1:6" ht="15" customHeight="1" x14ac:dyDescent="0.3">
      <c r="A117" s="91">
        <v>46173</v>
      </c>
      <c r="B117" s="66">
        <v>0</v>
      </c>
      <c r="C117" s="66">
        <v>963.4</v>
      </c>
      <c r="D117" s="66">
        <v>-963.4</v>
      </c>
      <c r="E117" s="66">
        <v>51805.33</v>
      </c>
      <c r="F117" s="90" t="s">
        <v>236</v>
      </c>
    </row>
    <row r="118" spans="1:6" ht="15" customHeight="1" x14ac:dyDescent="0.3">
      <c r="A118" s="91">
        <v>46174</v>
      </c>
      <c r="B118" s="66">
        <v>15000</v>
      </c>
      <c r="C118" s="66">
        <v>35119</v>
      </c>
      <c r="D118" s="66">
        <v>-20119</v>
      </c>
      <c r="E118" s="66">
        <v>31686.33</v>
      </c>
      <c r="F118" s="90" t="s">
        <v>237</v>
      </c>
    </row>
    <row r="119" spans="1:6" ht="15" customHeight="1" x14ac:dyDescent="0.3">
      <c r="A119" s="91">
        <v>46175</v>
      </c>
      <c r="B119" s="66">
        <v>0</v>
      </c>
      <c r="C119" s="66">
        <v>39967.21</v>
      </c>
      <c r="D119" s="66">
        <v>-39967.21</v>
      </c>
      <c r="E119" s="66">
        <v>-8280.8799999999992</v>
      </c>
      <c r="F119" s="90" t="s">
        <v>237</v>
      </c>
    </row>
    <row r="120" spans="1:6" ht="15" customHeight="1" x14ac:dyDescent="0.3">
      <c r="A120" s="91">
        <v>46176</v>
      </c>
      <c r="B120" s="66">
        <v>0</v>
      </c>
      <c r="C120" s="66">
        <v>18496.29</v>
      </c>
      <c r="D120" s="66">
        <v>-18496.29</v>
      </c>
      <c r="E120" s="66">
        <v>-26777.17</v>
      </c>
      <c r="F120" s="90" t="s">
        <v>237</v>
      </c>
    </row>
    <row r="121" spans="1:6" ht="15" customHeight="1" x14ac:dyDescent="0.3">
      <c r="A121" s="91">
        <v>46177</v>
      </c>
      <c r="B121" s="66">
        <v>8000</v>
      </c>
      <c r="C121" s="66">
        <v>2560.0300000000002</v>
      </c>
      <c r="D121" s="66">
        <v>5439.97</v>
      </c>
      <c r="E121" s="66">
        <v>-21337.200000000001</v>
      </c>
      <c r="F121" s="90" t="s">
        <v>237</v>
      </c>
    </row>
    <row r="122" spans="1:6" ht="15" customHeight="1" x14ac:dyDescent="0.3">
      <c r="A122" s="91">
        <v>46178</v>
      </c>
      <c r="B122" s="66">
        <v>0</v>
      </c>
      <c r="C122" s="66">
        <v>13195.86</v>
      </c>
      <c r="D122" s="66">
        <v>-13195.86</v>
      </c>
      <c r="E122" s="66">
        <v>-34533.06</v>
      </c>
      <c r="F122" s="90" t="s">
        <v>237</v>
      </c>
    </row>
    <row r="123" spans="1:6" ht="15" customHeight="1" x14ac:dyDescent="0.3">
      <c r="A123" s="91">
        <v>46179</v>
      </c>
      <c r="B123" s="66">
        <v>0</v>
      </c>
      <c r="C123" s="66">
        <v>2706.13</v>
      </c>
      <c r="D123" s="66">
        <v>-2706.13</v>
      </c>
      <c r="E123" s="66">
        <v>-37239.19</v>
      </c>
      <c r="F123" s="90" t="s">
        <v>237</v>
      </c>
    </row>
    <row r="124" spans="1:6" ht="15" customHeight="1" x14ac:dyDescent="0.3">
      <c r="A124" s="91">
        <v>46180</v>
      </c>
      <c r="B124" s="66">
        <v>0</v>
      </c>
      <c r="C124" s="66">
        <v>30293.62</v>
      </c>
      <c r="D124" s="66">
        <v>-30293.62</v>
      </c>
      <c r="E124" s="66">
        <v>-67532.81</v>
      </c>
      <c r="F124" s="90" t="s">
        <v>237</v>
      </c>
    </row>
    <row r="125" spans="1:6" x14ac:dyDescent="0.3">
      <c r="A125" s="93">
        <v>46181</v>
      </c>
      <c r="B125">
        <v>0</v>
      </c>
      <c r="C125">
        <v>10281.5</v>
      </c>
      <c r="D125">
        <v>-10281.5</v>
      </c>
      <c r="E125">
        <v>-77814.31</v>
      </c>
      <c r="F125" t="s">
        <v>237</v>
      </c>
    </row>
    <row r="126" spans="1:6" x14ac:dyDescent="0.3">
      <c r="A126" s="93">
        <v>46182</v>
      </c>
      <c r="B126">
        <v>0</v>
      </c>
      <c r="C126">
        <v>7129</v>
      </c>
      <c r="D126">
        <v>-7129</v>
      </c>
      <c r="E126">
        <v>-84943.31</v>
      </c>
      <c r="F126" t="s">
        <v>237</v>
      </c>
    </row>
    <row r="127" spans="1:6" x14ac:dyDescent="0.3">
      <c r="A127" s="93">
        <v>46184</v>
      </c>
      <c r="B127">
        <v>0</v>
      </c>
      <c r="C127">
        <v>330.3</v>
      </c>
      <c r="D127">
        <v>-330.3</v>
      </c>
      <c r="E127">
        <v>-85273.61</v>
      </c>
      <c r="F127" t="s">
        <v>237</v>
      </c>
    </row>
    <row r="128" spans="1:6" x14ac:dyDescent="0.3">
      <c r="A128" s="93">
        <v>46185</v>
      </c>
      <c r="B128">
        <v>0</v>
      </c>
      <c r="C128">
        <v>11713.73</v>
      </c>
      <c r="D128">
        <v>-11713.73</v>
      </c>
      <c r="E128">
        <v>-96987.34</v>
      </c>
      <c r="F128" t="s">
        <v>237</v>
      </c>
    </row>
    <row r="129" spans="1:6" x14ac:dyDescent="0.3">
      <c r="A129" s="93">
        <v>46186</v>
      </c>
      <c r="B129">
        <v>0</v>
      </c>
      <c r="C129">
        <v>16081.05</v>
      </c>
      <c r="D129">
        <v>-16081.05</v>
      </c>
      <c r="E129">
        <v>-113068.39</v>
      </c>
      <c r="F129" t="s">
        <v>237</v>
      </c>
    </row>
    <row r="130" spans="1:6" x14ac:dyDescent="0.3">
      <c r="A130" s="93">
        <v>46189</v>
      </c>
      <c r="B130">
        <v>0</v>
      </c>
      <c r="C130">
        <v>1958.84</v>
      </c>
      <c r="D130">
        <v>-1958.84</v>
      </c>
      <c r="E130">
        <v>-115027.23</v>
      </c>
      <c r="F130" t="s">
        <v>237</v>
      </c>
    </row>
    <row r="131" spans="1:6" x14ac:dyDescent="0.3">
      <c r="A131" s="93">
        <v>46191</v>
      </c>
      <c r="B131">
        <v>0</v>
      </c>
      <c r="C131">
        <v>9250.59</v>
      </c>
      <c r="D131">
        <v>-9250.59</v>
      </c>
      <c r="E131">
        <v>-124277.82</v>
      </c>
      <c r="F131" t="s">
        <v>237</v>
      </c>
    </row>
    <row r="132" spans="1:6" x14ac:dyDescent="0.3">
      <c r="A132" s="93">
        <v>46192</v>
      </c>
      <c r="B132">
        <v>0</v>
      </c>
      <c r="C132">
        <v>6550.11</v>
      </c>
      <c r="D132">
        <v>-6550.11</v>
      </c>
      <c r="E132">
        <v>-130827.93</v>
      </c>
      <c r="F132" t="s">
        <v>237</v>
      </c>
    </row>
    <row r="133" spans="1:6" x14ac:dyDescent="0.3">
      <c r="A133" s="93">
        <v>46193</v>
      </c>
      <c r="B133">
        <v>0</v>
      </c>
      <c r="C133">
        <v>2012.53</v>
      </c>
      <c r="D133">
        <v>-2012.53</v>
      </c>
      <c r="E133">
        <v>-132840.46</v>
      </c>
      <c r="F133" t="s">
        <v>237</v>
      </c>
    </row>
    <row r="134" spans="1:6" x14ac:dyDescent="0.3">
      <c r="A134" s="93">
        <v>46194</v>
      </c>
      <c r="B134">
        <v>0</v>
      </c>
      <c r="C134">
        <v>1465.7</v>
      </c>
      <c r="D134">
        <v>-1465.7</v>
      </c>
      <c r="E134">
        <v>-134306.16</v>
      </c>
      <c r="F134" t="s">
        <v>237</v>
      </c>
    </row>
    <row r="135" spans="1:6" x14ac:dyDescent="0.3">
      <c r="A135" s="93">
        <v>46195</v>
      </c>
      <c r="B135">
        <v>0</v>
      </c>
      <c r="C135">
        <v>195127</v>
      </c>
      <c r="D135">
        <v>-195127</v>
      </c>
      <c r="E135">
        <v>-329433.15999999997</v>
      </c>
      <c r="F135" t="s">
        <v>237</v>
      </c>
    </row>
    <row r="136" spans="1:6" x14ac:dyDescent="0.3">
      <c r="A136" s="93">
        <v>46196</v>
      </c>
      <c r="B136">
        <v>0</v>
      </c>
      <c r="C136">
        <v>3465</v>
      </c>
      <c r="D136">
        <v>-3465</v>
      </c>
      <c r="E136">
        <v>-332898.15999999997</v>
      </c>
      <c r="F136" t="s">
        <v>237</v>
      </c>
    </row>
    <row r="137" spans="1:6" x14ac:dyDescent="0.3">
      <c r="A137" s="93">
        <v>46197</v>
      </c>
      <c r="B137">
        <v>0</v>
      </c>
      <c r="C137">
        <v>7345.99</v>
      </c>
      <c r="D137">
        <v>-7345.99</v>
      </c>
      <c r="E137">
        <v>-340244.15</v>
      </c>
      <c r="F137" t="s">
        <v>237</v>
      </c>
    </row>
    <row r="138" spans="1:6" x14ac:dyDescent="0.3">
      <c r="A138" s="93">
        <v>46198</v>
      </c>
      <c r="B138">
        <v>50609.19</v>
      </c>
      <c r="C138">
        <v>0</v>
      </c>
      <c r="D138">
        <v>50609.19</v>
      </c>
      <c r="E138">
        <v>-289634.96000000002</v>
      </c>
      <c r="F138" t="s">
        <v>237</v>
      </c>
    </row>
    <row r="139" spans="1:6" x14ac:dyDescent="0.3">
      <c r="A139" s="93">
        <v>46199</v>
      </c>
      <c r="B139">
        <v>0</v>
      </c>
      <c r="C139">
        <v>10106.18</v>
      </c>
      <c r="D139">
        <v>-10106.18</v>
      </c>
      <c r="E139">
        <v>-299741.14</v>
      </c>
      <c r="F139" t="s">
        <v>237</v>
      </c>
    </row>
    <row r="140" spans="1:6" x14ac:dyDescent="0.3">
      <c r="A140" s="93">
        <v>46200</v>
      </c>
      <c r="B140">
        <v>0</v>
      </c>
      <c r="C140">
        <v>36623.97</v>
      </c>
      <c r="D140">
        <v>-36623.97</v>
      </c>
      <c r="E140">
        <v>-336365.11</v>
      </c>
      <c r="F140" t="s">
        <v>237</v>
      </c>
    </row>
    <row r="141" spans="1:6" x14ac:dyDescent="0.3">
      <c r="A141" s="93">
        <v>46201</v>
      </c>
      <c r="B141">
        <v>0</v>
      </c>
      <c r="C141">
        <v>190</v>
      </c>
      <c r="D141">
        <v>-190</v>
      </c>
      <c r="E141">
        <v>-336555.11</v>
      </c>
      <c r="F141" t="s">
        <v>237</v>
      </c>
    </row>
    <row r="142" spans="1:6" x14ac:dyDescent="0.3">
      <c r="A142" s="93">
        <v>46204</v>
      </c>
      <c r="B142">
        <v>0</v>
      </c>
      <c r="C142">
        <v>49615.91</v>
      </c>
      <c r="D142">
        <v>-49615.91</v>
      </c>
      <c r="E142">
        <v>-386171.02</v>
      </c>
      <c r="F142" t="s">
        <v>377</v>
      </c>
    </row>
    <row r="143" spans="1:6" x14ac:dyDescent="0.3">
      <c r="A143" s="93">
        <v>46205</v>
      </c>
      <c r="B143">
        <v>0</v>
      </c>
      <c r="C143">
        <v>4034.44</v>
      </c>
      <c r="D143">
        <v>-4034.44</v>
      </c>
      <c r="E143">
        <v>-390205.46</v>
      </c>
      <c r="F143" t="s">
        <v>377</v>
      </c>
    </row>
    <row r="144" spans="1:6" x14ac:dyDescent="0.3">
      <c r="A144" s="93">
        <v>46206</v>
      </c>
      <c r="B144">
        <v>0</v>
      </c>
      <c r="C144">
        <v>4820</v>
      </c>
      <c r="D144">
        <v>-4820</v>
      </c>
      <c r="E144">
        <v>-395025.46</v>
      </c>
      <c r="F144" t="s">
        <v>377</v>
      </c>
    </row>
  </sheetData>
  <autoFilter ref="A1:F124" xr:uid="{00000000-0009-0000-0000-000010000000}"/>
  <pageMargins left="0.75" right="0.75" top="1" bottom="1" header="0.511811023622047" footer="0.511811023622047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8">
    <tabColor rgb="FF808080"/>
  </sheetPr>
  <dimension ref="A1:H111"/>
  <sheetViews>
    <sheetView zoomScaleNormal="100" workbookViewId="0">
      <pane ySplit="1" topLeftCell="A2" activePane="bottomLeft" state="frozen"/>
      <selection pane="bottomLeft"/>
    </sheetView>
  </sheetViews>
  <sheetFormatPr defaultColWidth="8.6640625" defaultRowHeight="14.4" x14ac:dyDescent="0.3"/>
  <cols>
    <col min="1" max="1" width="12" customWidth="1"/>
    <col min="2" max="8" width="10" customWidth="1"/>
  </cols>
  <sheetData>
    <row r="1" spans="1:8" ht="15" customHeight="1" x14ac:dyDescent="0.3">
      <c r="A1" s="7" t="s">
        <v>590</v>
      </c>
      <c r="B1" s="7" t="s">
        <v>107</v>
      </c>
      <c r="C1" s="7" t="s">
        <v>1358</v>
      </c>
      <c r="D1" s="7" t="s">
        <v>1359</v>
      </c>
      <c r="E1" s="7" t="s">
        <v>1360</v>
      </c>
      <c r="F1" s="7" t="s">
        <v>1361</v>
      </c>
      <c r="G1" s="7" t="s">
        <v>1362</v>
      </c>
      <c r="H1" s="7" t="s">
        <v>1363</v>
      </c>
    </row>
    <row r="2" spans="1:8" ht="15" customHeight="1" x14ac:dyDescent="0.3">
      <c r="A2" s="101" t="s">
        <v>1364</v>
      </c>
      <c r="B2" s="66">
        <v>1216112.42</v>
      </c>
      <c r="C2" s="66">
        <v>238424.68</v>
      </c>
      <c r="D2" s="66">
        <v>156386.01999999999</v>
      </c>
      <c r="E2" s="66">
        <v>449902.54</v>
      </c>
      <c r="F2" s="66">
        <v>218942.88</v>
      </c>
      <c r="G2" s="66">
        <v>35776.32</v>
      </c>
      <c r="H2" s="66">
        <v>43070.79</v>
      </c>
    </row>
    <row r="3" spans="1:8" ht="15" customHeight="1" x14ac:dyDescent="0.3">
      <c r="A3" s="101" t="s">
        <v>1365</v>
      </c>
      <c r="B3" s="66">
        <v>362898.86</v>
      </c>
      <c r="C3" s="66">
        <v>24128.16</v>
      </c>
      <c r="D3" s="66">
        <v>145386.01999999999</v>
      </c>
      <c r="E3" s="66">
        <v>29902.54</v>
      </c>
      <c r="F3" s="66">
        <v>26025.84</v>
      </c>
      <c r="G3" s="66">
        <v>35776.32</v>
      </c>
      <c r="H3" s="66">
        <v>43070.79</v>
      </c>
    </row>
    <row r="4" spans="1:8" ht="15" customHeight="1" x14ac:dyDescent="0.3">
      <c r="A4" s="101" t="s">
        <v>1366</v>
      </c>
      <c r="B4" s="66">
        <v>227039.24</v>
      </c>
      <c r="C4" s="66">
        <v>22128.16</v>
      </c>
      <c r="D4" s="66">
        <v>25526.400000000001</v>
      </c>
      <c r="E4" s="66">
        <v>29902.54</v>
      </c>
      <c r="F4" s="66">
        <v>26025.84</v>
      </c>
      <c r="G4" s="66">
        <v>35776.32</v>
      </c>
      <c r="H4" s="66">
        <v>37070.79</v>
      </c>
    </row>
    <row r="5" spans="1:8" ht="15" customHeight="1" x14ac:dyDescent="0.3">
      <c r="A5" s="101" t="s">
        <v>1367</v>
      </c>
      <c r="B5" s="66">
        <v>227039.24</v>
      </c>
      <c r="C5" s="66">
        <v>22128.16</v>
      </c>
      <c r="D5" s="66">
        <v>25526.400000000001</v>
      </c>
      <c r="E5" s="66">
        <v>29902.54</v>
      </c>
      <c r="F5" s="66">
        <v>26025.84</v>
      </c>
      <c r="G5" s="66">
        <v>35776.32</v>
      </c>
      <c r="H5" s="66">
        <v>37070.79</v>
      </c>
    </row>
    <row r="6" spans="1:8" ht="15" customHeight="1" x14ac:dyDescent="0.3">
      <c r="A6" s="101" t="s">
        <v>1368</v>
      </c>
      <c r="B6" s="66">
        <v>133859.62</v>
      </c>
      <c r="C6" s="66">
        <v>0</v>
      </c>
      <c r="D6" s="66">
        <v>119859.62</v>
      </c>
      <c r="E6" s="66">
        <v>0</v>
      </c>
      <c r="F6" s="66">
        <v>0</v>
      </c>
      <c r="G6" s="66">
        <v>0</v>
      </c>
      <c r="H6" s="66">
        <v>6000</v>
      </c>
    </row>
    <row r="7" spans="1:8" ht="15" customHeight="1" x14ac:dyDescent="0.3">
      <c r="A7" s="101" t="s">
        <v>1369</v>
      </c>
      <c r="B7" s="66">
        <v>130859.62</v>
      </c>
      <c r="C7" s="66">
        <v>0</v>
      </c>
      <c r="D7" s="66">
        <v>119859.62</v>
      </c>
      <c r="E7" s="66">
        <v>0</v>
      </c>
      <c r="F7" s="66">
        <v>0</v>
      </c>
      <c r="G7" s="66">
        <v>0</v>
      </c>
      <c r="H7" s="66">
        <v>3000</v>
      </c>
    </row>
    <row r="8" spans="1:8" ht="15" customHeight="1" x14ac:dyDescent="0.3">
      <c r="A8" s="101" t="s">
        <v>1533</v>
      </c>
      <c r="B8" s="66">
        <v>2000</v>
      </c>
      <c r="C8" s="66">
        <v>2000</v>
      </c>
      <c r="D8" s="66">
        <v>0</v>
      </c>
      <c r="E8" s="66">
        <v>0</v>
      </c>
      <c r="F8" s="66">
        <v>0</v>
      </c>
      <c r="G8" s="66">
        <v>0</v>
      </c>
      <c r="H8" s="66">
        <v>0</v>
      </c>
    </row>
    <row r="9" spans="1:8" ht="15" customHeight="1" x14ac:dyDescent="0.3">
      <c r="A9" s="101" t="s">
        <v>1534</v>
      </c>
      <c r="B9" s="66">
        <v>2000</v>
      </c>
      <c r="C9" s="66">
        <v>2000</v>
      </c>
      <c r="D9" s="66">
        <v>0</v>
      </c>
      <c r="E9" s="66">
        <v>0</v>
      </c>
      <c r="F9" s="66">
        <v>0</v>
      </c>
      <c r="G9" s="66">
        <v>0</v>
      </c>
      <c r="H9" s="66">
        <v>0</v>
      </c>
    </row>
    <row r="10" spans="1:8" ht="15" customHeight="1" x14ac:dyDescent="0.3">
      <c r="A10" s="101" t="s">
        <v>1370</v>
      </c>
      <c r="B10" s="66">
        <v>612917.04</v>
      </c>
      <c r="C10" s="66">
        <v>0</v>
      </c>
      <c r="D10" s="66">
        <v>0</v>
      </c>
      <c r="E10" s="66">
        <v>420000</v>
      </c>
      <c r="F10" s="66">
        <v>192917.04</v>
      </c>
      <c r="G10" s="66">
        <v>0</v>
      </c>
      <c r="H10" s="66">
        <v>0</v>
      </c>
    </row>
    <row r="11" spans="1:8" ht="15" customHeight="1" x14ac:dyDescent="0.3">
      <c r="A11" s="101" t="s">
        <v>1371</v>
      </c>
      <c r="B11" s="66">
        <v>192917.04</v>
      </c>
      <c r="C11" s="66">
        <v>0</v>
      </c>
      <c r="D11" s="66">
        <v>0</v>
      </c>
      <c r="E11" s="66">
        <v>0</v>
      </c>
      <c r="F11" s="66">
        <v>192917.04</v>
      </c>
      <c r="G11" s="66">
        <v>0</v>
      </c>
      <c r="H11" s="66">
        <v>0</v>
      </c>
    </row>
    <row r="12" spans="1:8" ht="15" customHeight="1" x14ac:dyDescent="0.3">
      <c r="A12" s="101" t="s">
        <v>1372</v>
      </c>
      <c r="B12" s="66">
        <v>420000</v>
      </c>
      <c r="C12" s="66">
        <v>0</v>
      </c>
      <c r="D12" s="66">
        <v>0</v>
      </c>
      <c r="E12" s="66">
        <v>420000</v>
      </c>
      <c r="F12" s="66">
        <v>0</v>
      </c>
      <c r="G12" s="66">
        <v>0</v>
      </c>
      <c r="H12" s="66">
        <v>0</v>
      </c>
    </row>
    <row r="13" spans="1:8" ht="15" customHeight="1" x14ac:dyDescent="0.3">
      <c r="A13" s="101" t="s">
        <v>1535</v>
      </c>
      <c r="B13" s="66">
        <v>214296.52</v>
      </c>
      <c r="C13" s="66">
        <v>214296.52</v>
      </c>
      <c r="D13" s="66">
        <v>0</v>
      </c>
      <c r="E13" s="66">
        <v>0</v>
      </c>
      <c r="F13" s="66">
        <v>0</v>
      </c>
      <c r="G13" s="66">
        <v>0</v>
      </c>
      <c r="H13" s="66">
        <v>0</v>
      </c>
    </row>
    <row r="14" spans="1:8" ht="15" customHeight="1" x14ac:dyDescent="0.3">
      <c r="A14" s="101" t="s">
        <v>1536</v>
      </c>
      <c r="B14" s="66">
        <v>214296.52</v>
      </c>
      <c r="C14" s="66">
        <v>214296.52</v>
      </c>
      <c r="D14" s="66">
        <v>0</v>
      </c>
      <c r="E14" s="66">
        <v>0</v>
      </c>
      <c r="F14" s="66">
        <v>0</v>
      </c>
      <c r="G14" s="66">
        <v>0</v>
      </c>
      <c r="H14" s="66">
        <v>0</v>
      </c>
    </row>
    <row r="15" spans="1:8" ht="15" customHeight="1" x14ac:dyDescent="0.3">
      <c r="A15" s="101" t="s">
        <v>1537</v>
      </c>
      <c r="B15" s="66">
        <v>214296.52</v>
      </c>
      <c r="C15" s="66">
        <v>214296.52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 ht="15" customHeight="1" x14ac:dyDescent="0.3">
      <c r="A16" s="101" t="s">
        <v>1373</v>
      </c>
      <c r="B16" s="66">
        <v>26000</v>
      </c>
      <c r="C16" s="66">
        <v>0</v>
      </c>
      <c r="D16" s="66">
        <v>11000</v>
      </c>
      <c r="E16" s="66">
        <v>0</v>
      </c>
      <c r="F16" s="66">
        <v>0</v>
      </c>
      <c r="G16" s="66">
        <v>0</v>
      </c>
      <c r="H16" s="66">
        <v>0</v>
      </c>
    </row>
    <row r="17" spans="1:8" ht="15" customHeight="1" x14ac:dyDescent="0.3">
      <c r="A17" s="101" t="s">
        <v>1374</v>
      </c>
      <c r="B17" s="66">
        <v>1611137.88</v>
      </c>
      <c r="C17" s="66">
        <v>152192.63</v>
      </c>
      <c r="D17" s="66">
        <v>74320.25</v>
      </c>
      <c r="E17" s="66">
        <v>77239.259999999995</v>
      </c>
      <c r="F17" s="66">
        <v>105090.91</v>
      </c>
      <c r="G17" s="66">
        <v>446889.51</v>
      </c>
      <c r="H17" s="66">
        <v>234965.34</v>
      </c>
    </row>
    <row r="18" spans="1:8" ht="15" customHeight="1" x14ac:dyDescent="0.3">
      <c r="A18" s="101" t="s">
        <v>1375</v>
      </c>
      <c r="B18" s="66">
        <v>168798.5</v>
      </c>
      <c r="C18" s="66">
        <v>0</v>
      </c>
      <c r="D18" s="66">
        <v>8397.7000000000007</v>
      </c>
      <c r="E18" s="66">
        <v>30577.01</v>
      </c>
      <c r="F18" s="66">
        <v>27354.959999999999</v>
      </c>
      <c r="G18" s="66">
        <v>27093.09</v>
      </c>
      <c r="H18" s="66">
        <v>33496.85</v>
      </c>
    </row>
    <row r="19" spans="1:8" ht="15" customHeight="1" x14ac:dyDescent="0.3">
      <c r="A19" s="101" t="s">
        <v>1376</v>
      </c>
      <c r="B19" s="66">
        <v>101928.37</v>
      </c>
      <c r="C19" s="66">
        <v>0</v>
      </c>
      <c r="D19" s="66">
        <v>0</v>
      </c>
      <c r="E19" s="66">
        <v>21829.17</v>
      </c>
      <c r="F19" s="66">
        <v>18450.849999999999</v>
      </c>
      <c r="G19" s="66">
        <v>19801.77</v>
      </c>
      <c r="H19" s="66">
        <v>18679.400000000001</v>
      </c>
    </row>
    <row r="20" spans="1:8" ht="15" customHeight="1" x14ac:dyDescent="0.3">
      <c r="A20" s="101" t="s">
        <v>1377</v>
      </c>
      <c r="B20" s="66">
        <v>95598.94</v>
      </c>
      <c r="C20" s="66">
        <v>0</v>
      </c>
      <c r="D20" s="66">
        <v>0</v>
      </c>
      <c r="E20" s="66">
        <v>20672.64</v>
      </c>
      <c r="F20" s="66">
        <v>18450.849999999999</v>
      </c>
      <c r="G20" s="66">
        <v>19801.77</v>
      </c>
      <c r="H20" s="66">
        <v>14753.76</v>
      </c>
    </row>
    <row r="21" spans="1:8" ht="15" customHeight="1" x14ac:dyDescent="0.3">
      <c r="A21" s="101" t="s">
        <v>1378</v>
      </c>
      <c r="B21" s="66">
        <v>3874.99</v>
      </c>
      <c r="C21" s="66">
        <v>0</v>
      </c>
      <c r="D21" s="66">
        <v>885</v>
      </c>
      <c r="E21" s="66">
        <v>200</v>
      </c>
      <c r="F21" s="66">
        <v>373.33</v>
      </c>
      <c r="G21" s="66">
        <v>573.33000000000004</v>
      </c>
      <c r="H21" s="66">
        <v>393.33</v>
      </c>
    </row>
    <row r="22" spans="1:8" ht="15" customHeight="1" x14ac:dyDescent="0.3">
      <c r="A22" s="101" t="s">
        <v>1379</v>
      </c>
      <c r="B22" s="66">
        <v>2754.99</v>
      </c>
      <c r="C22" s="66">
        <v>0</v>
      </c>
      <c r="D22" s="66">
        <v>365</v>
      </c>
      <c r="E22" s="66">
        <v>0</v>
      </c>
      <c r="F22" s="66">
        <v>373.33</v>
      </c>
      <c r="G22" s="66">
        <v>373.33</v>
      </c>
      <c r="H22" s="66">
        <v>393.33</v>
      </c>
    </row>
    <row r="23" spans="1:8" ht="15" customHeight="1" x14ac:dyDescent="0.3">
      <c r="A23" s="101" t="s">
        <v>1380</v>
      </c>
      <c r="B23" s="66">
        <v>600</v>
      </c>
      <c r="C23" s="66">
        <v>0</v>
      </c>
      <c r="D23" s="66">
        <v>0</v>
      </c>
      <c r="E23" s="66">
        <v>200</v>
      </c>
      <c r="F23" s="66">
        <v>0</v>
      </c>
      <c r="G23" s="66">
        <v>200</v>
      </c>
      <c r="H23" s="66">
        <v>0</v>
      </c>
    </row>
    <row r="24" spans="1:8" ht="15" customHeight="1" x14ac:dyDescent="0.3">
      <c r="A24" s="101" t="s">
        <v>1381</v>
      </c>
      <c r="B24" s="66">
        <v>520</v>
      </c>
      <c r="C24" s="66">
        <v>0</v>
      </c>
      <c r="D24" s="66">
        <v>520</v>
      </c>
      <c r="E24" s="66">
        <v>0</v>
      </c>
      <c r="F24" s="66">
        <v>0</v>
      </c>
      <c r="G24" s="66">
        <v>0</v>
      </c>
      <c r="H24" s="66">
        <v>0</v>
      </c>
    </row>
    <row r="25" spans="1:8" ht="15" customHeight="1" x14ac:dyDescent="0.3">
      <c r="A25" s="101" t="s">
        <v>1382</v>
      </c>
      <c r="B25" s="66">
        <v>31076.99</v>
      </c>
      <c r="C25" s="66">
        <v>0</v>
      </c>
      <c r="D25" s="66">
        <v>3925.2</v>
      </c>
      <c r="E25" s="66">
        <v>5782.4</v>
      </c>
      <c r="F25" s="66">
        <v>4158.28</v>
      </c>
      <c r="G25" s="66">
        <v>3342.34</v>
      </c>
      <c r="H25" s="66">
        <v>11063.97</v>
      </c>
    </row>
    <row r="26" spans="1:8" ht="15" customHeight="1" x14ac:dyDescent="0.3">
      <c r="A26" s="101" t="s">
        <v>1383</v>
      </c>
      <c r="B26" s="66">
        <v>11635.23</v>
      </c>
      <c r="C26" s="66">
        <v>0</v>
      </c>
      <c r="D26" s="66">
        <v>0</v>
      </c>
      <c r="E26" s="66">
        <v>3847.42</v>
      </c>
      <c r="F26" s="66">
        <v>2316.48</v>
      </c>
      <c r="G26" s="66">
        <v>823.03</v>
      </c>
      <c r="H26" s="66">
        <v>3481.7</v>
      </c>
    </row>
    <row r="27" spans="1:8" ht="15" customHeight="1" x14ac:dyDescent="0.3">
      <c r="A27" s="101" t="s">
        <v>1384</v>
      </c>
      <c r="B27" s="66">
        <v>1088</v>
      </c>
      <c r="C27" s="66">
        <v>0</v>
      </c>
      <c r="D27" s="66">
        <v>0</v>
      </c>
      <c r="E27" s="66">
        <v>0</v>
      </c>
      <c r="F27" s="66">
        <v>54</v>
      </c>
      <c r="G27" s="66">
        <v>265</v>
      </c>
      <c r="H27" s="66">
        <v>135</v>
      </c>
    </row>
    <row r="28" spans="1:8" ht="15" customHeight="1" x14ac:dyDescent="0.3">
      <c r="A28" s="101" t="s">
        <v>1385</v>
      </c>
      <c r="B28" s="66">
        <v>8342.56</v>
      </c>
      <c r="C28" s="66">
        <v>0</v>
      </c>
      <c r="D28" s="66">
        <v>0</v>
      </c>
      <c r="E28" s="66">
        <v>1934.98</v>
      </c>
      <c r="F28" s="66">
        <v>1787.8</v>
      </c>
      <c r="G28" s="66">
        <v>2254.31</v>
      </c>
      <c r="H28" s="66">
        <v>1361.27</v>
      </c>
    </row>
    <row r="29" spans="1:8" ht="15" customHeight="1" x14ac:dyDescent="0.3">
      <c r="A29" s="101" t="s">
        <v>1386</v>
      </c>
      <c r="B29" s="66">
        <v>10011.200000000001</v>
      </c>
      <c r="C29" s="66">
        <v>0</v>
      </c>
      <c r="D29" s="66">
        <v>3925.2</v>
      </c>
      <c r="E29" s="66">
        <v>0</v>
      </c>
      <c r="F29" s="66">
        <v>0</v>
      </c>
      <c r="G29" s="66">
        <v>0</v>
      </c>
      <c r="H29" s="66">
        <v>6086</v>
      </c>
    </row>
    <row r="30" spans="1:8" ht="15" customHeight="1" x14ac:dyDescent="0.3">
      <c r="A30" s="101" t="s">
        <v>1387</v>
      </c>
      <c r="B30" s="66">
        <v>6560.06</v>
      </c>
      <c r="C30" s="66">
        <v>0</v>
      </c>
      <c r="D30" s="66">
        <v>0</v>
      </c>
      <c r="E30" s="66">
        <v>1964.51</v>
      </c>
      <c r="F30" s="66">
        <v>57.65</v>
      </c>
      <c r="G30" s="66">
        <v>1005.9</v>
      </c>
      <c r="H30" s="66">
        <v>1184</v>
      </c>
    </row>
    <row r="31" spans="1:8" ht="15" customHeight="1" x14ac:dyDescent="0.3">
      <c r="A31" s="101" t="s">
        <v>1388</v>
      </c>
      <c r="B31" s="66">
        <v>1346.06</v>
      </c>
      <c r="C31" s="66">
        <v>0</v>
      </c>
      <c r="D31" s="66">
        <v>0</v>
      </c>
      <c r="E31" s="66">
        <v>964.51</v>
      </c>
      <c r="F31" s="66">
        <v>57.65</v>
      </c>
      <c r="G31" s="66">
        <v>5.9</v>
      </c>
      <c r="H31" s="66">
        <v>124</v>
      </c>
    </row>
    <row r="32" spans="1:8" ht="15" customHeight="1" x14ac:dyDescent="0.3">
      <c r="A32" s="101" t="s">
        <v>1389</v>
      </c>
      <c r="B32" s="66">
        <v>5214</v>
      </c>
      <c r="C32" s="66">
        <v>0</v>
      </c>
      <c r="D32" s="66">
        <v>0</v>
      </c>
      <c r="E32" s="66">
        <v>1000</v>
      </c>
      <c r="F32" s="66">
        <v>0</v>
      </c>
      <c r="G32" s="66">
        <v>1000</v>
      </c>
      <c r="H32" s="66">
        <v>1060</v>
      </c>
    </row>
    <row r="33" spans="1:8" ht="15" customHeight="1" x14ac:dyDescent="0.3">
      <c r="A33" s="101" t="s">
        <v>1390</v>
      </c>
      <c r="B33" s="66">
        <v>10677.03</v>
      </c>
      <c r="C33" s="66">
        <v>0</v>
      </c>
      <c r="D33" s="66">
        <v>0</v>
      </c>
      <c r="E33" s="66">
        <v>0</v>
      </c>
      <c r="F33" s="66">
        <v>2118.5300000000002</v>
      </c>
      <c r="G33" s="66">
        <v>1940.47</v>
      </c>
      <c r="H33" s="66">
        <v>1876.66</v>
      </c>
    </row>
    <row r="34" spans="1:8" ht="15" customHeight="1" x14ac:dyDescent="0.3">
      <c r="A34" s="101" t="s">
        <v>1391</v>
      </c>
      <c r="B34" s="66">
        <v>10092.82</v>
      </c>
      <c r="C34" s="66">
        <v>0</v>
      </c>
      <c r="D34" s="66">
        <v>0</v>
      </c>
      <c r="E34" s="66">
        <v>0</v>
      </c>
      <c r="F34" s="66">
        <v>1704.13</v>
      </c>
      <c r="G34" s="66">
        <v>1876.66</v>
      </c>
      <c r="H34" s="66">
        <v>1876.66</v>
      </c>
    </row>
    <row r="35" spans="1:8" ht="15" customHeight="1" x14ac:dyDescent="0.3">
      <c r="A35" s="101" t="s">
        <v>1392</v>
      </c>
      <c r="B35" s="66">
        <v>584.21</v>
      </c>
      <c r="C35" s="66">
        <v>0</v>
      </c>
      <c r="D35" s="66">
        <v>0</v>
      </c>
      <c r="E35" s="66">
        <v>0</v>
      </c>
      <c r="F35" s="66">
        <v>414.4</v>
      </c>
      <c r="G35" s="66">
        <v>63.81</v>
      </c>
      <c r="H35" s="66">
        <v>0</v>
      </c>
    </row>
    <row r="36" spans="1:8" ht="15" customHeight="1" x14ac:dyDescent="0.3">
      <c r="A36" s="101" t="s">
        <v>1393</v>
      </c>
      <c r="B36" s="66">
        <v>471.35</v>
      </c>
      <c r="C36" s="66">
        <v>0</v>
      </c>
      <c r="D36" s="66">
        <v>0</v>
      </c>
      <c r="E36" s="66">
        <v>293.35000000000002</v>
      </c>
      <c r="F36" s="66">
        <v>0</v>
      </c>
      <c r="G36" s="66">
        <v>0</v>
      </c>
      <c r="H36" s="66">
        <v>178</v>
      </c>
    </row>
    <row r="37" spans="1:8" ht="15" customHeight="1" x14ac:dyDescent="0.3">
      <c r="A37" s="101" t="s">
        <v>1394</v>
      </c>
      <c r="B37" s="66">
        <v>14209.71</v>
      </c>
      <c r="C37" s="66">
        <v>0</v>
      </c>
      <c r="D37" s="66">
        <v>3587.5</v>
      </c>
      <c r="E37" s="66">
        <v>507.58</v>
      </c>
      <c r="F37" s="66">
        <v>2196.3200000000002</v>
      </c>
      <c r="G37" s="66">
        <v>429.28</v>
      </c>
      <c r="H37" s="66">
        <v>121.49</v>
      </c>
    </row>
    <row r="38" spans="1:8" ht="15" customHeight="1" x14ac:dyDescent="0.3">
      <c r="A38" s="101" t="s">
        <v>1395</v>
      </c>
      <c r="B38" s="66">
        <v>456.27</v>
      </c>
      <c r="C38" s="66">
        <v>0</v>
      </c>
      <c r="D38" s="66">
        <v>0</v>
      </c>
      <c r="E38" s="66">
        <v>82.5</v>
      </c>
      <c r="F38" s="66">
        <v>60</v>
      </c>
      <c r="G38" s="66">
        <v>106.28</v>
      </c>
      <c r="H38" s="66">
        <v>121.49</v>
      </c>
    </row>
    <row r="39" spans="1:8" ht="15" customHeight="1" x14ac:dyDescent="0.3">
      <c r="A39" s="101" t="s">
        <v>1396</v>
      </c>
      <c r="B39" s="66">
        <v>4202.3999999999996</v>
      </c>
      <c r="C39" s="66">
        <v>0</v>
      </c>
      <c r="D39" s="66">
        <v>0</v>
      </c>
      <c r="E39" s="66">
        <v>0</v>
      </c>
      <c r="F39" s="66">
        <v>59.4</v>
      </c>
      <c r="G39" s="66">
        <v>323</v>
      </c>
      <c r="H39" s="66">
        <v>0</v>
      </c>
    </row>
    <row r="40" spans="1:8" ht="15" customHeight="1" x14ac:dyDescent="0.3">
      <c r="A40" s="101" t="s">
        <v>1397</v>
      </c>
      <c r="B40" s="66">
        <v>9551.0400000000009</v>
      </c>
      <c r="C40" s="66">
        <v>0</v>
      </c>
      <c r="D40" s="66">
        <v>3587.5</v>
      </c>
      <c r="E40" s="66">
        <v>425.08</v>
      </c>
      <c r="F40" s="66">
        <v>2076.92</v>
      </c>
      <c r="G40" s="66">
        <v>0</v>
      </c>
      <c r="H40" s="66">
        <v>0</v>
      </c>
    </row>
    <row r="41" spans="1:8" ht="15" customHeight="1" x14ac:dyDescent="0.3">
      <c r="A41" s="101" t="s">
        <v>1398</v>
      </c>
      <c r="B41" s="66">
        <v>27755.08</v>
      </c>
      <c r="C41" s="66">
        <v>0</v>
      </c>
      <c r="D41" s="66">
        <v>4795</v>
      </c>
      <c r="E41" s="66">
        <v>0</v>
      </c>
      <c r="F41" s="66">
        <v>22316.41</v>
      </c>
      <c r="G41" s="66">
        <v>0</v>
      </c>
      <c r="H41" s="66">
        <v>589.66999999999996</v>
      </c>
    </row>
    <row r="42" spans="1:8" ht="15" customHeight="1" x14ac:dyDescent="0.3">
      <c r="A42" s="101" t="s">
        <v>1399</v>
      </c>
      <c r="B42" s="66">
        <v>21105.31</v>
      </c>
      <c r="C42" s="66">
        <v>0</v>
      </c>
      <c r="D42" s="66">
        <v>0</v>
      </c>
      <c r="E42" s="66">
        <v>0</v>
      </c>
      <c r="F42" s="66">
        <v>21105.31</v>
      </c>
      <c r="G42" s="66">
        <v>0</v>
      </c>
      <c r="H42" s="66">
        <v>0</v>
      </c>
    </row>
    <row r="43" spans="1:8" ht="15" customHeight="1" x14ac:dyDescent="0.3">
      <c r="A43" s="101" t="s">
        <v>1400</v>
      </c>
      <c r="B43" s="66">
        <v>10429.200000000001</v>
      </c>
      <c r="C43" s="66">
        <v>0</v>
      </c>
      <c r="D43" s="66">
        <v>0</v>
      </c>
      <c r="E43" s="66">
        <v>0</v>
      </c>
      <c r="F43" s="66">
        <v>10429.200000000001</v>
      </c>
      <c r="G43" s="66">
        <v>0</v>
      </c>
      <c r="H43" s="66">
        <v>0</v>
      </c>
    </row>
    <row r="44" spans="1:8" ht="15" customHeight="1" x14ac:dyDescent="0.3">
      <c r="A44" s="101" t="s">
        <v>1401</v>
      </c>
      <c r="B44" s="66">
        <v>10676.11</v>
      </c>
      <c r="C44" s="66">
        <v>0</v>
      </c>
      <c r="D44" s="66">
        <v>0</v>
      </c>
      <c r="E44" s="66">
        <v>0</v>
      </c>
      <c r="F44" s="66">
        <v>10676.11</v>
      </c>
      <c r="G44" s="66">
        <v>0</v>
      </c>
      <c r="H44" s="66">
        <v>0</v>
      </c>
    </row>
    <row r="45" spans="1:8" ht="15" customHeight="1" x14ac:dyDescent="0.3">
      <c r="A45" s="101" t="s">
        <v>1402</v>
      </c>
      <c r="B45" s="66">
        <v>589.66999999999996</v>
      </c>
      <c r="C45" s="66">
        <v>0</v>
      </c>
      <c r="D45" s="66">
        <v>0</v>
      </c>
      <c r="E45" s="66">
        <v>0</v>
      </c>
      <c r="F45" s="66">
        <v>0</v>
      </c>
      <c r="G45" s="66">
        <v>0</v>
      </c>
      <c r="H45" s="66">
        <v>589.66999999999996</v>
      </c>
    </row>
    <row r="46" spans="1:8" ht="15" customHeight="1" x14ac:dyDescent="0.3">
      <c r="A46" s="101" t="s">
        <v>1403</v>
      </c>
      <c r="B46" s="66">
        <v>589.66999999999996</v>
      </c>
      <c r="C46" s="66">
        <v>0</v>
      </c>
      <c r="D46" s="66">
        <v>0</v>
      </c>
      <c r="E46" s="66">
        <v>0</v>
      </c>
      <c r="F46" s="66">
        <v>0</v>
      </c>
      <c r="G46" s="66">
        <v>0</v>
      </c>
      <c r="H46" s="66">
        <v>589.66999999999996</v>
      </c>
    </row>
    <row r="47" spans="1:8" ht="15" customHeight="1" x14ac:dyDescent="0.3">
      <c r="A47" s="101" t="s">
        <v>1404</v>
      </c>
      <c r="B47" s="66">
        <v>4795</v>
      </c>
      <c r="C47" s="66">
        <v>0</v>
      </c>
      <c r="D47" s="66">
        <v>4795</v>
      </c>
      <c r="E47" s="66">
        <v>0</v>
      </c>
      <c r="F47" s="66">
        <v>0</v>
      </c>
      <c r="G47" s="66">
        <v>0</v>
      </c>
      <c r="H47" s="66">
        <v>0</v>
      </c>
    </row>
    <row r="48" spans="1:8" ht="15" customHeight="1" x14ac:dyDescent="0.3">
      <c r="A48" s="101" t="s">
        <v>1405</v>
      </c>
      <c r="B48" s="66">
        <v>4795</v>
      </c>
      <c r="C48" s="66">
        <v>0</v>
      </c>
      <c r="D48" s="66">
        <v>4795</v>
      </c>
      <c r="E48" s="66">
        <v>0</v>
      </c>
      <c r="F48" s="66">
        <v>0</v>
      </c>
      <c r="G48" s="66">
        <v>0</v>
      </c>
      <c r="H48" s="66">
        <v>0</v>
      </c>
    </row>
    <row r="49" spans="1:8" ht="15" customHeight="1" x14ac:dyDescent="0.3">
      <c r="A49" s="101" t="s">
        <v>1406</v>
      </c>
      <c r="B49" s="66">
        <v>1211.0999999999999</v>
      </c>
      <c r="C49" s="66">
        <v>0</v>
      </c>
      <c r="D49" s="66">
        <v>0</v>
      </c>
      <c r="E49" s="66">
        <v>0</v>
      </c>
      <c r="F49" s="66">
        <v>1211.0999999999999</v>
      </c>
      <c r="G49" s="66">
        <v>0</v>
      </c>
      <c r="H49" s="66">
        <v>0</v>
      </c>
    </row>
    <row r="50" spans="1:8" ht="15" customHeight="1" x14ac:dyDescent="0.3">
      <c r="A50" s="101" t="s">
        <v>1407</v>
      </c>
      <c r="B50" s="66">
        <v>1211.0999999999999</v>
      </c>
      <c r="C50" s="66">
        <v>0</v>
      </c>
      <c r="D50" s="66">
        <v>0</v>
      </c>
      <c r="E50" s="66">
        <v>0</v>
      </c>
      <c r="F50" s="66">
        <v>1211.0999999999999</v>
      </c>
      <c r="G50" s="66">
        <v>0</v>
      </c>
      <c r="H50" s="66">
        <v>0</v>
      </c>
    </row>
    <row r="51" spans="1:8" ht="15" customHeight="1" x14ac:dyDescent="0.3">
      <c r="A51" s="101" t="s">
        <v>1408</v>
      </c>
      <c r="B51" s="66">
        <v>54</v>
      </c>
      <c r="C51" s="66">
        <v>0</v>
      </c>
      <c r="D51" s="66">
        <v>0</v>
      </c>
      <c r="E51" s="66">
        <v>0</v>
      </c>
      <c r="F51" s="66">
        <v>0</v>
      </c>
      <c r="G51" s="66">
        <v>0</v>
      </c>
      <c r="H51" s="66">
        <v>0</v>
      </c>
    </row>
    <row r="52" spans="1:8" ht="15" customHeight="1" x14ac:dyDescent="0.3">
      <c r="A52" s="101" t="s">
        <v>1409</v>
      </c>
      <c r="B52" s="66">
        <v>54</v>
      </c>
      <c r="C52" s="66">
        <v>0</v>
      </c>
      <c r="D52" s="66">
        <v>0</v>
      </c>
      <c r="E52" s="66">
        <v>0</v>
      </c>
      <c r="F52" s="66">
        <v>0</v>
      </c>
      <c r="G52" s="66">
        <v>0</v>
      </c>
      <c r="H52" s="66">
        <v>0</v>
      </c>
    </row>
    <row r="53" spans="1:8" ht="15" customHeight="1" x14ac:dyDescent="0.3">
      <c r="A53" s="101" t="s">
        <v>1410</v>
      </c>
      <c r="B53" s="66">
        <v>446861.39</v>
      </c>
      <c r="C53" s="66">
        <v>14165</v>
      </c>
      <c r="D53" s="66">
        <v>28981.49</v>
      </c>
      <c r="E53" s="66">
        <v>39907.29</v>
      </c>
      <c r="F53" s="66">
        <v>46049.34</v>
      </c>
      <c r="G53" s="66">
        <v>78764.210000000006</v>
      </c>
      <c r="H53" s="66">
        <v>118782.39</v>
      </c>
    </row>
    <row r="54" spans="1:8" ht="15" customHeight="1" x14ac:dyDescent="0.3">
      <c r="A54" s="101" t="s">
        <v>1411</v>
      </c>
      <c r="B54" s="66">
        <v>94481.85</v>
      </c>
      <c r="C54" s="66">
        <v>4277</v>
      </c>
      <c r="D54" s="66">
        <v>13757.87</v>
      </c>
      <c r="E54" s="66">
        <v>15355.78</v>
      </c>
      <c r="F54" s="66">
        <v>15852.97</v>
      </c>
      <c r="G54" s="66">
        <v>13277.41</v>
      </c>
      <c r="H54" s="66">
        <v>15107.52</v>
      </c>
    </row>
    <row r="55" spans="1:8" ht="15" customHeight="1" x14ac:dyDescent="0.3">
      <c r="A55" s="101" t="s">
        <v>1412</v>
      </c>
      <c r="B55" s="66">
        <v>68715.48</v>
      </c>
      <c r="C55" s="66">
        <v>2277</v>
      </c>
      <c r="D55" s="66">
        <v>4326.6899999999996</v>
      </c>
      <c r="E55" s="66">
        <v>12653.67</v>
      </c>
      <c r="F55" s="66">
        <v>13532.97</v>
      </c>
      <c r="G55" s="66">
        <v>10811.41</v>
      </c>
      <c r="H55" s="66">
        <v>11850.52</v>
      </c>
    </row>
    <row r="56" spans="1:8" ht="15" customHeight="1" x14ac:dyDescent="0.3">
      <c r="A56" s="101" t="s">
        <v>1413</v>
      </c>
      <c r="B56" s="66">
        <v>13588.01</v>
      </c>
      <c r="C56" s="66">
        <v>0</v>
      </c>
      <c r="D56" s="66">
        <v>3482.52</v>
      </c>
      <c r="E56" s="66">
        <v>1571.87</v>
      </c>
      <c r="F56" s="66">
        <v>1850.4</v>
      </c>
      <c r="G56" s="66">
        <v>1850.4</v>
      </c>
      <c r="H56" s="66">
        <v>2362.7399999999998</v>
      </c>
    </row>
    <row r="57" spans="1:8" ht="15" customHeight="1" x14ac:dyDescent="0.3">
      <c r="A57" s="101" t="s">
        <v>1414</v>
      </c>
      <c r="B57" s="66">
        <v>2780.09</v>
      </c>
      <c r="C57" s="66">
        <v>0</v>
      </c>
      <c r="D57" s="66">
        <v>184.96</v>
      </c>
      <c r="E57" s="66">
        <v>423.4</v>
      </c>
      <c r="F57" s="66">
        <v>469.6</v>
      </c>
      <c r="G57" s="66">
        <v>469.6</v>
      </c>
      <c r="H57" s="66">
        <v>602.92999999999995</v>
      </c>
    </row>
    <row r="58" spans="1:8" ht="15" customHeight="1" x14ac:dyDescent="0.3">
      <c r="A58" s="101" t="s">
        <v>1415</v>
      </c>
      <c r="B58" s="66">
        <v>7813.7</v>
      </c>
      <c r="C58" s="66">
        <v>2000</v>
      </c>
      <c r="D58" s="66">
        <v>5763.7</v>
      </c>
      <c r="E58" s="66">
        <v>0</v>
      </c>
      <c r="F58" s="66">
        <v>0</v>
      </c>
      <c r="G58" s="66">
        <v>50</v>
      </c>
      <c r="H58" s="66">
        <v>0</v>
      </c>
    </row>
    <row r="59" spans="1:8" ht="15" customHeight="1" x14ac:dyDescent="0.3">
      <c r="A59" s="101" t="s">
        <v>2282</v>
      </c>
      <c r="B59" s="66">
        <v>394.4</v>
      </c>
      <c r="C59" s="66">
        <v>0</v>
      </c>
      <c r="D59" s="66">
        <v>0</v>
      </c>
      <c r="E59" s="66">
        <v>0</v>
      </c>
      <c r="F59" s="66">
        <v>0</v>
      </c>
      <c r="G59" s="66">
        <v>0</v>
      </c>
      <c r="H59" s="66">
        <v>0</v>
      </c>
    </row>
    <row r="60" spans="1:8" ht="15" customHeight="1" x14ac:dyDescent="0.3">
      <c r="A60" s="101" t="s">
        <v>1416</v>
      </c>
      <c r="B60" s="66">
        <v>211649.34</v>
      </c>
      <c r="C60" s="66">
        <v>1000</v>
      </c>
      <c r="D60" s="66">
        <v>10373.32</v>
      </c>
      <c r="E60" s="66">
        <v>16231</v>
      </c>
      <c r="F60" s="66">
        <v>15973.39</v>
      </c>
      <c r="G60" s="66">
        <v>24764.69</v>
      </c>
      <c r="H60" s="66">
        <v>83200.36</v>
      </c>
    </row>
    <row r="61" spans="1:8" ht="15" customHeight="1" x14ac:dyDescent="0.3">
      <c r="A61" s="101" t="s">
        <v>1417</v>
      </c>
      <c r="B61" s="66">
        <v>1793</v>
      </c>
      <c r="C61" s="66">
        <v>0</v>
      </c>
      <c r="D61" s="66">
        <v>1793</v>
      </c>
      <c r="E61" s="66">
        <v>0</v>
      </c>
      <c r="F61" s="66">
        <v>0</v>
      </c>
      <c r="G61" s="66">
        <v>0</v>
      </c>
      <c r="H61" s="66">
        <v>0</v>
      </c>
    </row>
    <row r="62" spans="1:8" ht="15" customHeight="1" x14ac:dyDescent="0.3">
      <c r="A62" s="101" t="s">
        <v>1418</v>
      </c>
      <c r="B62" s="66">
        <v>12200</v>
      </c>
      <c r="C62" s="66">
        <v>0</v>
      </c>
      <c r="D62" s="66">
        <v>0</v>
      </c>
      <c r="E62" s="66">
        <v>0</v>
      </c>
      <c r="F62" s="66">
        <v>5500</v>
      </c>
      <c r="G62" s="66">
        <v>400</v>
      </c>
      <c r="H62" s="66">
        <v>6300</v>
      </c>
    </row>
    <row r="63" spans="1:8" ht="15" customHeight="1" x14ac:dyDescent="0.3">
      <c r="A63" s="101" t="s">
        <v>1419</v>
      </c>
      <c r="B63" s="66">
        <v>11244</v>
      </c>
      <c r="C63" s="66">
        <v>0</v>
      </c>
      <c r="D63" s="66">
        <v>1518</v>
      </c>
      <c r="E63" s="66">
        <v>1621</v>
      </c>
      <c r="F63" s="66">
        <v>1621</v>
      </c>
      <c r="G63" s="66">
        <v>1621</v>
      </c>
      <c r="H63" s="66">
        <v>1621</v>
      </c>
    </row>
    <row r="64" spans="1:8" ht="15" customHeight="1" x14ac:dyDescent="0.3">
      <c r="A64" s="101" t="s">
        <v>1420</v>
      </c>
      <c r="B64" s="66">
        <v>118801.69</v>
      </c>
      <c r="C64" s="66">
        <v>0</v>
      </c>
      <c r="D64" s="66">
        <v>0</v>
      </c>
      <c r="E64" s="66">
        <v>3000</v>
      </c>
      <c r="F64" s="66">
        <v>6000</v>
      </c>
      <c r="G64" s="66">
        <v>17001.689999999999</v>
      </c>
      <c r="H64" s="66">
        <v>62300</v>
      </c>
    </row>
    <row r="65" spans="1:8" ht="15" customHeight="1" x14ac:dyDescent="0.3">
      <c r="A65" s="101" t="s">
        <v>1421</v>
      </c>
      <c r="B65" s="66">
        <v>32811.360000000001</v>
      </c>
      <c r="C65" s="66">
        <v>1000</v>
      </c>
      <c r="D65" s="66">
        <v>1390</v>
      </c>
      <c r="E65" s="66">
        <v>4294</v>
      </c>
      <c r="F65" s="66">
        <v>2852.39</v>
      </c>
      <c r="G65" s="66">
        <v>4432</v>
      </c>
      <c r="H65" s="66">
        <v>7700.72</v>
      </c>
    </row>
    <row r="66" spans="1:8" ht="15" customHeight="1" x14ac:dyDescent="0.3">
      <c r="A66" s="101" t="s">
        <v>1422</v>
      </c>
      <c r="B66" s="66">
        <v>21328.32</v>
      </c>
      <c r="C66" s="66">
        <v>0</v>
      </c>
      <c r="D66" s="66">
        <v>5672.32</v>
      </c>
      <c r="E66" s="66">
        <v>7086</v>
      </c>
      <c r="F66" s="66">
        <v>0</v>
      </c>
      <c r="G66" s="66">
        <v>0</v>
      </c>
      <c r="H66" s="66">
        <v>4300</v>
      </c>
    </row>
    <row r="67" spans="1:8" ht="15" customHeight="1" x14ac:dyDescent="0.3">
      <c r="A67" s="101" t="s">
        <v>1423</v>
      </c>
      <c r="B67" s="66">
        <v>13470.97</v>
      </c>
      <c r="C67" s="66">
        <v>0</v>
      </c>
      <c r="D67" s="66">
        <v>0</v>
      </c>
      <c r="E67" s="66">
        <v>230</v>
      </c>
      <c r="F67" s="66">
        <v>0</v>
      </c>
      <c r="G67" s="66">
        <v>1310</v>
      </c>
      <c r="H67" s="66">
        <v>978.64</v>
      </c>
    </row>
    <row r="68" spans="1:8" ht="15" customHeight="1" x14ac:dyDescent="0.3">
      <c r="A68" s="101" t="s">
        <v>1424</v>
      </c>
      <c r="B68" s="66">
        <v>36473.61</v>
      </c>
      <c r="C68" s="66">
        <v>8888</v>
      </c>
      <c r="D68" s="66">
        <v>2850</v>
      </c>
      <c r="E68" s="66">
        <v>1400</v>
      </c>
      <c r="F68" s="66">
        <v>2032.61</v>
      </c>
      <c r="G68" s="66">
        <v>11717.6</v>
      </c>
      <c r="H68" s="66">
        <v>1326.67</v>
      </c>
    </row>
    <row r="69" spans="1:8" ht="15" customHeight="1" x14ac:dyDescent="0.3">
      <c r="A69" s="101" t="s">
        <v>1425</v>
      </c>
      <c r="B69" s="66">
        <v>21638.959999999999</v>
      </c>
      <c r="C69" s="66">
        <v>0</v>
      </c>
      <c r="D69" s="66">
        <v>0</v>
      </c>
      <c r="E69" s="66">
        <v>708.65</v>
      </c>
      <c r="F69" s="66">
        <v>1192.6199999999999</v>
      </c>
      <c r="G69" s="66">
        <v>5854.62</v>
      </c>
      <c r="H69" s="66">
        <v>451.73</v>
      </c>
    </row>
    <row r="70" spans="1:8" ht="15" customHeight="1" x14ac:dyDescent="0.3">
      <c r="A70" s="101" t="s">
        <v>1426</v>
      </c>
      <c r="B70" s="66">
        <v>14110.96</v>
      </c>
      <c r="C70" s="66">
        <v>0</v>
      </c>
      <c r="D70" s="66">
        <v>0</v>
      </c>
      <c r="E70" s="66">
        <v>0</v>
      </c>
      <c r="F70" s="66">
        <v>382.62</v>
      </c>
      <c r="G70" s="66">
        <v>149</v>
      </c>
      <c r="H70" s="66">
        <v>148</v>
      </c>
    </row>
    <row r="71" spans="1:8" ht="15" customHeight="1" x14ac:dyDescent="0.3">
      <c r="A71" s="101" t="s">
        <v>1427</v>
      </c>
      <c r="B71" s="66">
        <v>145.19999999999999</v>
      </c>
      <c r="C71" s="66">
        <v>0</v>
      </c>
      <c r="D71" s="66">
        <v>0</v>
      </c>
      <c r="E71" s="66">
        <v>0</v>
      </c>
      <c r="F71" s="66">
        <v>60</v>
      </c>
      <c r="G71" s="66">
        <v>85.2</v>
      </c>
      <c r="H71" s="66">
        <v>0</v>
      </c>
    </row>
    <row r="72" spans="1:8" ht="15" customHeight="1" x14ac:dyDescent="0.3">
      <c r="A72" s="101" t="s">
        <v>1428</v>
      </c>
      <c r="B72" s="66">
        <v>303.73</v>
      </c>
      <c r="C72" s="66">
        <v>0</v>
      </c>
      <c r="D72" s="66">
        <v>0</v>
      </c>
      <c r="E72" s="66">
        <v>0</v>
      </c>
      <c r="F72" s="66">
        <v>0</v>
      </c>
      <c r="G72" s="66">
        <v>0</v>
      </c>
      <c r="H72" s="66">
        <v>303.73</v>
      </c>
    </row>
    <row r="73" spans="1:8" ht="15" customHeight="1" x14ac:dyDescent="0.3">
      <c r="A73" s="101" t="s">
        <v>1429</v>
      </c>
      <c r="B73" s="66">
        <v>1458.65</v>
      </c>
      <c r="C73" s="66">
        <v>0</v>
      </c>
      <c r="D73" s="66">
        <v>0</v>
      </c>
      <c r="E73" s="66">
        <v>708.65</v>
      </c>
      <c r="F73" s="66">
        <v>750</v>
      </c>
      <c r="G73" s="66">
        <v>0</v>
      </c>
      <c r="H73" s="66">
        <v>0</v>
      </c>
    </row>
    <row r="74" spans="1:8" ht="15" customHeight="1" x14ac:dyDescent="0.3">
      <c r="A74" s="101" t="s">
        <v>1430</v>
      </c>
      <c r="B74" s="66">
        <v>5620.42</v>
      </c>
      <c r="C74" s="66">
        <v>0</v>
      </c>
      <c r="D74" s="66">
        <v>0</v>
      </c>
      <c r="E74" s="66">
        <v>0</v>
      </c>
      <c r="F74" s="66">
        <v>0</v>
      </c>
      <c r="G74" s="66">
        <v>5620.42</v>
      </c>
      <c r="H74" s="66">
        <v>0</v>
      </c>
    </row>
    <row r="75" spans="1:8" ht="15" customHeight="1" x14ac:dyDescent="0.3">
      <c r="A75" s="101" t="s">
        <v>1431</v>
      </c>
      <c r="B75" s="66">
        <v>28525.87</v>
      </c>
      <c r="C75" s="66">
        <v>0</v>
      </c>
      <c r="D75" s="66">
        <v>76</v>
      </c>
      <c r="E75" s="66">
        <v>803.18</v>
      </c>
      <c r="F75" s="66">
        <v>6567.74</v>
      </c>
      <c r="G75" s="66">
        <v>12246.21</v>
      </c>
      <c r="H75" s="66">
        <v>5568.69</v>
      </c>
    </row>
    <row r="76" spans="1:8" ht="15" customHeight="1" x14ac:dyDescent="0.3">
      <c r="A76" s="101" t="s">
        <v>1432</v>
      </c>
      <c r="B76" s="66">
        <v>11168.23</v>
      </c>
      <c r="C76" s="66">
        <v>0</v>
      </c>
      <c r="D76" s="66">
        <v>0</v>
      </c>
      <c r="E76" s="66">
        <v>112</v>
      </c>
      <c r="F76" s="66">
        <v>2583.8000000000002</v>
      </c>
      <c r="G76" s="66">
        <v>7839.31</v>
      </c>
      <c r="H76" s="66">
        <v>633.12</v>
      </c>
    </row>
    <row r="77" spans="1:8" ht="15" customHeight="1" x14ac:dyDescent="0.3">
      <c r="A77" s="101" t="s">
        <v>1433</v>
      </c>
      <c r="B77" s="66">
        <v>14058.98</v>
      </c>
      <c r="C77" s="66">
        <v>0</v>
      </c>
      <c r="D77" s="66">
        <v>0</v>
      </c>
      <c r="E77" s="66">
        <v>0</v>
      </c>
      <c r="F77" s="66">
        <v>2494.94</v>
      </c>
      <c r="G77" s="66">
        <v>4314.88</v>
      </c>
      <c r="H77" s="66">
        <v>4472.26</v>
      </c>
    </row>
    <row r="78" spans="1:8" ht="15" customHeight="1" x14ac:dyDescent="0.3">
      <c r="A78" s="101" t="s">
        <v>1434</v>
      </c>
      <c r="B78" s="66">
        <v>3175.26</v>
      </c>
      <c r="C78" s="66">
        <v>0</v>
      </c>
      <c r="D78" s="66">
        <v>76</v>
      </c>
      <c r="E78" s="66">
        <v>691.18</v>
      </c>
      <c r="F78" s="66">
        <v>1489</v>
      </c>
      <c r="G78" s="66">
        <v>92.02</v>
      </c>
      <c r="H78" s="66">
        <v>356.31</v>
      </c>
    </row>
    <row r="79" spans="1:8" ht="15" customHeight="1" x14ac:dyDescent="0.3">
      <c r="A79" s="101" t="s">
        <v>1435</v>
      </c>
      <c r="B79" s="66">
        <v>123.4</v>
      </c>
      <c r="C79" s="66">
        <v>0</v>
      </c>
      <c r="D79" s="66">
        <v>0</v>
      </c>
      <c r="E79" s="66">
        <v>0</v>
      </c>
      <c r="F79" s="66">
        <v>0</v>
      </c>
      <c r="G79" s="66">
        <v>0</v>
      </c>
      <c r="H79" s="66">
        <v>107</v>
      </c>
    </row>
    <row r="80" spans="1:8" ht="15" customHeight="1" x14ac:dyDescent="0.3">
      <c r="A80" s="101" t="s">
        <v>1436</v>
      </c>
      <c r="B80" s="66">
        <v>54091.76</v>
      </c>
      <c r="C80" s="66">
        <v>0</v>
      </c>
      <c r="D80" s="66">
        <v>1924.3</v>
      </c>
      <c r="E80" s="66">
        <v>5408.68</v>
      </c>
      <c r="F80" s="66">
        <v>4430.01</v>
      </c>
      <c r="G80" s="66">
        <v>10903.68</v>
      </c>
      <c r="H80" s="66">
        <v>13127.42</v>
      </c>
    </row>
    <row r="81" spans="1:8" ht="15" customHeight="1" x14ac:dyDescent="0.3">
      <c r="A81" s="101" t="s">
        <v>1437</v>
      </c>
      <c r="B81" s="66">
        <v>8377.89</v>
      </c>
      <c r="C81" s="66">
        <v>0</v>
      </c>
      <c r="D81" s="66">
        <v>1798.86</v>
      </c>
      <c r="E81" s="66">
        <v>77.47</v>
      </c>
      <c r="F81" s="66">
        <v>0</v>
      </c>
      <c r="G81" s="66">
        <v>3718.07</v>
      </c>
      <c r="H81" s="66">
        <v>1702.44</v>
      </c>
    </row>
    <row r="82" spans="1:8" ht="15" customHeight="1" x14ac:dyDescent="0.3">
      <c r="A82" s="101" t="s">
        <v>1438</v>
      </c>
      <c r="B82" s="66">
        <v>22.67</v>
      </c>
      <c r="C82" s="66">
        <v>0</v>
      </c>
      <c r="D82" s="66">
        <v>0</v>
      </c>
      <c r="E82" s="66">
        <v>0</v>
      </c>
      <c r="F82" s="66">
        <v>0</v>
      </c>
      <c r="G82" s="66">
        <v>0</v>
      </c>
      <c r="H82" s="66">
        <v>22.67</v>
      </c>
    </row>
    <row r="83" spans="1:8" ht="15" customHeight="1" x14ac:dyDescent="0.3">
      <c r="A83" s="101" t="s">
        <v>1439</v>
      </c>
      <c r="B83" s="66">
        <v>45691.199999999997</v>
      </c>
      <c r="C83" s="66">
        <v>0</v>
      </c>
      <c r="D83" s="66">
        <v>125.44</v>
      </c>
      <c r="E83" s="66">
        <v>5331.21</v>
      </c>
      <c r="F83" s="66">
        <v>4430.01</v>
      </c>
      <c r="G83" s="66">
        <v>7185.61</v>
      </c>
      <c r="H83" s="66">
        <v>11402.31</v>
      </c>
    </row>
    <row r="84" spans="1:8" ht="15" customHeight="1" x14ac:dyDescent="0.3">
      <c r="A84" s="101" t="s">
        <v>1440</v>
      </c>
      <c r="B84" s="66">
        <v>16235.42</v>
      </c>
      <c r="C84" s="66">
        <v>1933.95</v>
      </c>
      <c r="D84" s="66">
        <v>1554.74</v>
      </c>
      <c r="E84" s="66">
        <v>2480.96</v>
      </c>
      <c r="F84" s="66">
        <v>2085.36</v>
      </c>
      <c r="G84" s="66">
        <v>2724.87</v>
      </c>
      <c r="H84" s="66">
        <v>2320.71</v>
      </c>
    </row>
    <row r="85" spans="1:8" ht="15" customHeight="1" x14ac:dyDescent="0.3">
      <c r="A85" s="101" t="s">
        <v>1441</v>
      </c>
      <c r="B85" s="66">
        <v>1149</v>
      </c>
      <c r="C85" s="66">
        <v>0</v>
      </c>
      <c r="D85" s="66">
        <v>190</v>
      </c>
      <c r="E85" s="66">
        <v>190</v>
      </c>
      <c r="F85" s="66">
        <v>190</v>
      </c>
      <c r="G85" s="66">
        <v>199</v>
      </c>
      <c r="H85" s="66">
        <v>190</v>
      </c>
    </row>
    <row r="86" spans="1:8" ht="15" customHeight="1" x14ac:dyDescent="0.3">
      <c r="A86" s="101" t="s">
        <v>1442</v>
      </c>
      <c r="B86" s="66">
        <v>9881.9699999999993</v>
      </c>
      <c r="C86" s="66">
        <v>1603.65</v>
      </c>
      <c r="D86" s="66">
        <v>889.44</v>
      </c>
      <c r="E86" s="66">
        <v>1445.19</v>
      </c>
      <c r="F86" s="66">
        <v>1098.5999999999999</v>
      </c>
      <c r="G86" s="66">
        <v>1956.55</v>
      </c>
      <c r="H86" s="66">
        <v>1356.23</v>
      </c>
    </row>
    <row r="87" spans="1:8" ht="15" customHeight="1" x14ac:dyDescent="0.3">
      <c r="A87" s="101" t="s">
        <v>1443</v>
      </c>
      <c r="B87" s="66">
        <v>259.7</v>
      </c>
      <c r="C87" s="66">
        <v>0</v>
      </c>
      <c r="D87" s="66">
        <v>145</v>
      </c>
      <c r="E87" s="66">
        <v>31.7</v>
      </c>
      <c r="F87" s="66">
        <v>6</v>
      </c>
      <c r="G87" s="66">
        <v>6</v>
      </c>
      <c r="H87" s="66">
        <v>0</v>
      </c>
    </row>
    <row r="88" spans="1:8" ht="15" customHeight="1" x14ac:dyDescent="0.3">
      <c r="A88" s="101" t="s">
        <v>1444</v>
      </c>
      <c r="B88" s="66">
        <v>2632.65</v>
      </c>
      <c r="C88" s="66">
        <v>0</v>
      </c>
      <c r="D88" s="66">
        <v>0</v>
      </c>
      <c r="E88" s="66">
        <v>483.77</v>
      </c>
      <c r="F88" s="66">
        <v>460.46</v>
      </c>
      <c r="G88" s="66">
        <v>563.32000000000005</v>
      </c>
      <c r="H88" s="66">
        <v>444.18</v>
      </c>
    </row>
    <row r="89" spans="1:8" ht="15" customHeight="1" x14ac:dyDescent="0.3">
      <c r="A89" s="101" t="s">
        <v>1445</v>
      </c>
      <c r="B89" s="66">
        <v>2312.1</v>
      </c>
      <c r="C89" s="66">
        <v>330.3</v>
      </c>
      <c r="D89" s="66">
        <v>330.3</v>
      </c>
      <c r="E89" s="66">
        <v>330.3</v>
      </c>
      <c r="F89" s="66">
        <v>330.3</v>
      </c>
      <c r="G89" s="66">
        <v>0</v>
      </c>
      <c r="H89" s="66">
        <v>330.3</v>
      </c>
    </row>
    <row r="90" spans="1:8" ht="15" customHeight="1" x14ac:dyDescent="0.3">
      <c r="A90" s="101" t="s">
        <v>1446</v>
      </c>
      <c r="B90" s="66">
        <v>10991.78</v>
      </c>
      <c r="C90" s="66">
        <v>3990</v>
      </c>
      <c r="D90" s="66">
        <v>1011.78</v>
      </c>
      <c r="E90" s="66">
        <v>0</v>
      </c>
      <c r="F90" s="66">
        <v>54.47</v>
      </c>
      <c r="G90" s="66">
        <v>3935.53</v>
      </c>
      <c r="H90" s="66">
        <v>0</v>
      </c>
    </row>
    <row r="91" spans="1:8" ht="15" customHeight="1" x14ac:dyDescent="0.3">
      <c r="A91" s="101" t="s">
        <v>1447</v>
      </c>
      <c r="B91" s="66">
        <v>10991.78</v>
      </c>
      <c r="C91" s="66">
        <v>3990</v>
      </c>
      <c r="D91" s="66">
        <v>1011.78</v>
      </c>
      <c r="E91" s="66">
        <v>0</v>
      </c>
      <c r="F91" s="66">
        <v>54.47</v>
      </c>
      <c r="G91" s="66">
        <v>3935.53</v>
      </c>
      <c r="H91" s="66">
        <v>0</v>
      </c>
    </row>
    <row r="92" spans="1:8" ht="15" customHeight="1" x14ac:dyDescent="0.3">
      <c r="A92" s="101" t="s">
        <v>1448</v>
      </c>
      <c r="B92" s="66">
        <v>12229.33</v>
      </c>
      <c r="C92" s="66">
        <v>2707.18</v>
      </c>
      <c r="D92" s="66">
        <v>0</v>
      </c>
      <c r="E92" s="66">
        <v>0</v>
      </c>
      <c r="F92" s="66">
        <v>2412.46</v>
      </c>
      <c r="G92" s="66">
        <v>964.58</v>
      </c>
      <c r="H92" s="66">
        <v>4566.99</v>
      </c>
    </row>
    <row r="93" spans="1:8" ht="15" customHeight="1" x14ac:dyDescent="0.3">
      <c r="A93" s="101" t="s">
        <v>1449</v>
      </c>
      <c r="B93" s="66">
        <v>8522.15</v>
      </c>
      <c r="C93" s="66">
        <v>0</v>
      </c>
      <c r="D93" s="66">
        <v>0</v>
      </c>
      <c r="E93" s="66">
        <v>0</v>
      </c>
      <c r="F93" s="66">
        <v>2412.46</v>
      </c>
      <c r="G93" s="66">
        <v>964.58</v>
      </c>
      <c r="H93" s="66">
        <v>4566.99</v>
      </c>
    </row>
    <row r="94" spans="1:8" ht="15" customHeight="1" x14ac:dyDescent="0.3">
      <c r="A94" s="101" t="s">
        <v>1450</v>
      </c>
      <c r="B94" s="66">
        <v>3377.04</v>
      </c>
      <c r="C94" s="66">
        <v>0</v>
      </c>
      <c r="D94" s="66">
        <v>0</v>
      </c>
      <c r="E94" s="66">
        <v>0</v>
      </c>
      <c r="F94" s="66">
        <v>2412.46</v>
      </c>
      <c r="G94" s="66">
        <v>964.58</v>
      </c>
      <c r="H94" s="66">
        <v>0</v>
      </c>
    </row>
    <row r="95" spans="1:8" ht="15" customHeight="1" x14ac:dyDescent="0.3">
      <c r="A95" s="101" t="s">
        <v>1451</v>
      </c>
      <c r="B95" s="66">
        <v>5145.1099999999997</v>
      </c>
      <c r="C95" s="66">
        <v>0</v>
      </c>
      <c r="D95" s="66">
        <v>0</v>
      </c>
      <c r="E95" s="66">
        <v>0</v>
      </c>
      <c r="F95" s="66">
        <v>0</v>
      </c>
      <c r="G95" s="66">
        <v>0</v>
      </c>
      <c r="H95" s="66">
        <v>4566.99</v>
      </c>
    </row>
    <row r="96" spans="1:8" ht="15" customHeight="1" x14ac:dyDescent="0.3">
      <c r="A96" s="101" t="s">
        <v>1538</v>
      </c>
      <c r="B96" s="66">
        <v>2707.18</v>
      </c>
      <c r="C96" s="66">
        <v>2707.18</v>
      </c>
      <c r="D96" s="66">
        <v>0</v>
      </c>
      <c r="E96" s="66">
        <v>0</v>
      </c>
      <c r="F96" s="66">
        <v>0</v>
      </c>
      <c r="G96" s="66">
        <v>0</v>
      </c>
      <c r="H96" s="66">
        <v>0</v>
      </c>
    </row>
    <row r="97" spans="1:8" ht="15" customHeight="1" x14ac:dyDescent="0.3">
      <c r="A97" s="101" t="s">
        <v>1539</v>
      </c>
      <c r="B97" s="66">
        <v>2707.18</v>
      </c>
      <c r="C97" s="66">
        <v>2707.18</v>
      </c>
      <c r="D97" s="66">
        <v>0</v>
      </c>
      <c r="E97" s="66">
        <v>0</v>
      </c>
      <c r="F97" s="66">
        <v>0</v>
      </c>
      <c r="G97" s="66">
        <v>0</v>
      </c>
      <c r="H97" s="66">
        <v>0</v>
      </c>
    </row>
    <row r="98" spans="1:8" ht="15" customHeight="1" x14ac:dyDescent="0.3">
      <c r="A98" s="101" t="s">
        <v>2322</v>
      </c>
      <c r="B98" s="66">
        <v>1000</v>
      </c>
      <c r="C98" s="66">
        <v>0</v>
      </c>
      <c r="D98" s="66">
        <v>0</v>
      </c>
      <c r="E98" s="66">
        <v>0</v>
      </c>
      <c r="F98" s="66">
        <v>0</v>
      </c>
      <c r="G98" s="66">
        <v>0</v>
      </c>
      <c r="H98" s="66">
        <v>0</v>
      </c>
    </row>
    <row r="99" spans="1:8" ht="15" customHeight="1" x14ac:dyDescent="0.3">
      <c r="A99" s="101" t="s">
        <v>1452</v>
      </c>
      <c r="B99" s="66">
        <v>5254.64</v>
      </c>
      <c r="C99" s="66">
        <v>1396.5</v>
      </c>
      <c r="D99" s="66">
        <v>66.05</v>
      </c>
      <c r="E99" s="66">
        <v>0</v>
      </c>
      <c r="F99" s="66">
        <v>8.43</v>
      </c>
      <c r="G99" s="66">
        <v>3271.23</v>
      </c>
      <c r="H99" s="66">
        <v>486.25</v>
      </c>
    </row>
    <row r="100" spans="1:8" ht="15" customHeight="1" x14ac:dyDescent="0.3">
      <c r="A100" s="101" t="s">
        <v>1540</v>
      </c>
      <c r="B100" s="66">
        <v>1396.5</v>
      </c>
      <c r="C100" s="66">
        <v>1396.5</v>
      </c>
      <c r="D100" s="66">
        <v>0</v>
      </c>
      <c r="E100" s="66">
        <v>0</v>
      </c>
      <c r="F100" s="66">
        <v>0</v>
      </c>
      <c r="G100" s="66">
        <v>0</v>
      </c>
      <c r="H100" s="66">
        <v>0</v>
      </c>
    </row>
    <row r="101" spans="1:8" ht="15" customHeight="1" x14ac:dyDescent="0.3">
      <c r="A101" s="101" t="s">
        <v>1453</v>
      </c>
      <c r="B101" s="66">
        <v>3831.96</v>
      </c>
      <c r="C101" s="66">
        <v>0</v>
      </c>
      <c r="D101" s="66">
        <v>66.05</v>
      </c>
      <c r="E101" s="66">
        <v>0</v>
      </c>
      <c r="F101" s="66">
        <v>8.43</v>
      </c>
      <c r="G101" s="66">
        <v>3271.23</v>
      </c>
      <c r="H101" s="66">
        <v>486.25</v>
      </c>
    </row>
    <row r="102" spans="1:8" ht="15" customHeight="1" x14ac:dyDescent="0.3">
      <c r="A102" s="101" t="s">
        <v>1454</v>
      </c>
      <c r="B102" s="66">
        <v>24565.39</v>
      </c>
      <c r="C102" s="66">
        <v>0</v>
      </c>
      <c r="D102" s="66">
        <v>15409.39</v>
      </c>
      <c r="E102" s="66">
        <v>2000</v>
      </c>
      <c r="F102" s="66">
        <v>3375</v>
      </c>
      <c r="G102" s="66">
        <v>3398</v>
      </c>
      <c r="H102" s="66">
        <v>307</v>
      </c>
    </row>
    <row r="103" spans="1:8" ht="15" customHeight="1" x14ac:dyDescent="0.3">
      <c r="A103" s="101" t="s">
        <v>1455</v>
      </c>
      <c r="B103" s="66">
        <v>24565.39</v>
      </c>
      <c r="C103" s="66">
        <v>0</v>
      </c>
      <c r="D103" s="66">
        <v>15409.39</v>
      </c>
      <c r="E103" s="66">
        <v>2000</v>
      </c>
      <c r="F103" s="66">
        <v>3375</v>
      </c>
      <c r="G103" s="66">
        <v>3398</v>
      </c>
      <c r="H103" s="66">
        <v>307</v>
      </c>
    </row>
    <row r="104" spans="1:8" ht="15" customHeight="1" x14ac:dyDescent="0.3">
      <c r="A104" s="101" t="s">
        <v>1456</v>
      </c>
      <c r="B104" s="66">
        <v>872446.35</v>
      </c>
      <c r="C104" s="66">
        <v>128000</v>
      </c>
      <c r="D104" s="66">
        <v>3104.1</v>
      </c>
      <c r="E104" s="66">
        <v>2274</v>
      </c>
      <c r="F104" s="66">
        <v>1434.48</v>
      </c>
      <c r="G104" s="66">
        <v>326738</v>
      </c>
      <c r="H104" s="66">
        <v>74415.48</v>
      </c>
    </row>
    <row r="105" spans="1:8" x14ac:dyDescent="0.3">
      <c r="A105" s="102" t="s">
        <v>1457</v>
      </c>
      <c r="B105">
        <v>96490.66</v>
      </c>
      <c r="C105">
        <v>0</v>
      </c>
      <c r="D105">
        <v>0</v>
      </c>
      <c r="E105">
        <v>0</v>
      </c>
      <c r="F105">
        <v>0</v>
      </c>
      <c r="G105">
        <v>28400</v>
      </c>
      <c r="H105">
        <v>47655.48</v>
      </c>
    </row>
    <row r="106" spans="1:8" x14ac:dyDescent="0.3">
      <c r="A106" s="102" t="s">
        <v>1458</v>
      </c>
      <c r="B106">
        <v>249955.69</v>
      </c>
      <c r="C106">
        <v>0</v>
      </c>
      <c r="D106">
        <v>3104.1</v>
      </c>
      <c r="E106">
        <v>2274</v>
      </c>
      <c r="F106">
        <v>1434.48</v>
      </c>
      <c r="G106">
        <v>100338</v>
      </c>
      <c r="H106">
        <v>26760</v>
      </c>
    </row>
    <row r="107" spans="1:8" x14ac:dyDescent="0.3">
      <c r="A107" s="102" t="s">
        <v>1459</v>
      </c>
      <c r="B107">
        <v>526000</v>
      </c>
      <c r="C107">
        <v>128000</v>
      </c>
      <c r="D107">
        <v>0</v>
      </c>
      <c r="E107">
        <v>0</v>
      </c>
      <c r="F107">
        <v>0</v>
      </c>
      <c r="G107">
        <v>198000</v>
      </c>
      <c r="H107">
        <v>0</v>
      </c>
    </row>
    <row r="108" spans="1:8" x14ac:dyDescent="0.3">
      <c r="A108" s="102" t="s">
        <v>1460</v>
      </c>
      <c r="B108">
        <v>526000</v>
      </c>
      <c r="C108">
        <v>128000</v>
      </c>
      <c r="D108">
        <v>0</v>
      </c>
      <c r="E108">
        <v>0</v>
      </c>
      <c r="F108">
        <v>0</v>
      </c>
      <c r="G108">
        <v>198000</v>
      </c>
      <c r="H108">
        <v>0</v>
      </c>
    </row>
    <row r="109" spans="1:8" x14ac:dyDescent="0.3">
      <c r="A109" s="102" t="s">
        <v>1461</v>
      </c>
      <c r="B109">
        <v>26000</v>
      </c>
      <c r="C109">
        <v>0</v>
      </c>
      <c r="D109">
        <v>11000</v>
      </c>
      <c r="E109">
        <v>0</v>
      </c>
      <c r="F109">
        <v>0</v>
      </c>
      <c r="G109">
        <v>0</v>
      </c>
      <c r="H109">
        <v>0</v>
      </c>
    </row>
    <row r="110" spans="1:8" x14ac:dyDescent="0.3">
      <c r="A110" s="102" t="s">
        <v>1462</v>
      </c>
      <c r="B110">
        <v>-395025.46</v>
      </c>
      <c r="C110">
        <v>86232.05</v>
      </c>
      <c r="D110">
        <v>82065.77</v>
      </c>
      <c r="E110">
        <v>372663.28</v>
      </c>
      <c r="F110">
        <v>113851.97</v>
      </c>
      <c r="G110">
        <v>-411113.19</v>
      </c>
      <c r="H110">
        <v>-191894.55</v>
      </c>
    </row>
    <row r="111" spans="1:8" x14ac:dyDescent="0.3">
      <c r="A111" s="102" t="s">
        <v>1463</v>
      </c>
      <c r="C111">
        <v>86232.05</v>
      </c>
      <c r="D111">
        <v>168297.82</v>
      </c>
      <c r="E111">
        <v>540961.1</v>
      </c>
      <c r="F111">
        <v>654813.06999999995</v>
      </c>
      <c r="G111">
        <v>243699.88</v>
      </c>
      <c r="H111">
        <v>51805.33</v>
      </c>
    </row>
  </sheetData>
  <autoFilter ref="A1:H104" xr:uid="{00000000-0009-0000-0000-000011000000}"/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9">
    <tabColor rgb="FF6E5660"/>
  </sheetPr>
  <dimension ref="A1:O743"/>
  <sheetViews>
    <sheetView zoomScaleNormal="100" workbookViewId="0">
      <selection activeCell="E10" sqref="E10"/>
    </sheetView>
  </sheetViews>
  <sheetFormatPr defaultColWidth="8.6640625" defaultRowHeight="14.4" x14ac:dyDescent="0.3"/>
  <cols>
    <col min="1" max="1" width="12" customWidth="1"/>
    <col min="2" max="2" width="22" customWidth="1"/>
    <col min="3" max="5" width="11" customWidth="1"/>
    <col min="6" max="6" width="20" customWidth="1"/>
    <col min="7" max="7" width="10" customWidth="1"/>
    <col min="8" max="8" width="8" customWidth="1"/>
    <col min="9" max="12" width="13" customWidth="1"/>
    <col min="13" max="13" width="6" customWidth="1"/>
    <col min="14" max="14" width="8" customWidth="1"/>
    <col min="15" max="15" width="11" customWidth="1"/>
  </cols>
  <sheetData>
    <row r="1" spans="1:15" ht="15" customHeight="1" x14ac:dyDescent="0.3">
      <c r="A1" s="33" t="s">
        <v>1464</v>
      </c>
      <c r="B1" s="33" t="s">
        <v>1465</v>
      </c>
      <c r="C1" s="33" t="s">
        <v>1466</v>
      </c>
      <c r="D1" s="33" t="s">
        <v>1467</v>
      </c>
      <c r="E1" s="33" t="s">
        <v>1468</v>
      </c>
      <c r="F1" s="33" t="s">
        <v>1469</v>
      </c>
      <c r="G1" s="33" t="s">
        <v>1470</v>
      </c>
      <c r="H1" s="33" t="s">
        <v>1471</v>
      </c>
      <c r="I1" s="33" t="s">
        <v>1472</v>
      </c>
      <c r="J1" s="33" t="s">
        <v>1473</v>
      </c>
      <c r="K1" s="33" t="s">
        <v>1474</v>
      </c>
      <c r="L1" s="33" t="s">
        <v>1475</v>
      </c>
      <c r="M1" s="33" t="s">
        <v>1476</v>
      </c>
      <c r="N1" s="33" t="s">
        <v>1477</v>
      </c>
      <c r="O1" s="33" t="s">
        <v>1478</v>
      </c>
    </row>
    <row r="2" spans="1:15" ht="15" customHeight="1" x14ac:dyDescent="0.3">
      <c r="A2" s="102" t="s">
        <v>1479</v>
      </c>
      <c r="B2" t="s">
        <v>1541</v>
      </c>
      <c r="C2" s="93">
        <v>46198</v>
      </c>
      <c r="D2" s="93">
        <v>46198</v>
      </c>
      <c r="E2" s="93">
        <v>46198</v>
      </c>
      <c r="F2" s="102" t="s">
        <v>1542</v>
      </c>
      <c r="G2" s="102" t="s">
        <v>1544</v>
      </c>
      <c r="H2" s="102" t="s">
        <v>1480</v>
      </c>
      <c r="I2" s="94">
        <v>50609.19</v>
      </c>
      <c r="J2" s="94">
        <v>50609.19</v>
      </c>
      <c r="K2" s="94">
        <v>50609.19</v>
      </c>
      <c r="L2" s="94">
        <v>50609.19</v>
      </c>
      <c r="M2" s="102" t="s">
        <v>1099</v>
      </c>
      <c r="N2" s="102" t="s">
        <v>1481</v>
      </c>
      <c r="O2" s="93">
        <v>46173</v>
      </c>
    </row>
    <row r="3" spans="1:15" ht="15" customHeight="1" x14ac:dyDescent="0.3">
      <c r="A3" s="102" t="s">
        <v>1479</v>
      </c>
      <c r="B3" t="s">
        <v>1541</v>
      </c>
      <c r="C3" s="93">
        <v>46078</v>
      </c>
      <c r="D3" s="93">
        <v>46078</v>
      </c>
      <c r="E3" s="93">
        <v>46078</v>
      </c>
      <c r="F3" s="102" t="s">
        <v>1542</v>
      </c>
      <c r="G3" s="102" t="s">
        <v>1546</v>
      </c>
      <c r="H3" s="102" t="s">
        <v>1480</v>
      </c>
      <c r="I3" s="94">
        <v>29902.54</v>
      </c>
      <c r="J3" s="94">
        <v>29902.54</v>
      </c>
      <c r="K3" s="94">
        <v>29902.54</v>
      </c>
      <c r="L3" s="94">
        <v>29902.54</v>
      </c>
      <c r="M3" s="102" t="s">
        <v>1099</v>
      </c>
      <c r="N3" s="102" t="s">
        <v>1481</v>
      </c>
      <c r="O3" s="93">
        <v>46053</v>
      </c>
    </row>
    <row r="4" spans="1:15" ht="15" customHeight="1" x14ac:dyDescent="0.3">
      <c r="A4" s="102" t="s">
        <v>1479</v>
      </c>
      <c r="B4" t="s">
        <v>1541</v>
      </c>
      <c r="C4" s="93">
        <v>46106</v>
      </c>
      <c r="D4" s="93">
        <v>46106</v>
      </c>
      <c r="E4" s="93">
        <v>46106</v>
      </c>
      <c r="F4" s="102" t="s">
        <v>1542</v>
      </c>
      <c r="G4" s="102" t="s">
        <v>1482</v>
      </c>
      <c r="H4" s="102" t="s">
        <v>1480</v>
      </c>
      <c r="I4" s="94">
        <v>26025.84</v>
      </c>
      <c r="J4" s="94">
        <v>26025.84</v>
      </c>
      <c r="K4" s="94">
        <v>26025.84</v>
      </c>
      <c r="L4" s="94">
        <v>26025.84</v>
      </c>
      <c r="M4" s="102" t="s">
        <v>1099</v>
      </c>
      <c r="N4" s="102" t="s">
        <v>1481</v>
      </c>
      <c r="O4" s="93">
        <v>46081</v>
      </c>
    </row>
    <row r="5" spans="1:15" ht="15" customHeight="1" x14ac:dyDescent="0.3">
      <c r="A5" s="102" t="s">
        <v>1479</v>
      </c>
      <c r="B5" t="s">
        <v>1541</v>
      </c>
      <c r="C5" s="93">
        <v>46167</v>
      </c>
      <c r="D5" s="93">
        <v>46167</v>
      </c>
      <c r="E5" s="93">
        <v>46167</v>
      </c>
      <c r="F5" s="102" t="s">
        <v>1542</v>
      </c>
      <c r="G5" s="102" t="s">
        <v>1547</v>
      </c>
      <c r="H5" s="102" t="s">
        <v>1480</v>
      </c>
      <c r="I5" s="94">
        <v>37070.79</v>
      </c>
      <c r="J5" s="94">
        <v>37070.79</v>
      </c>
      <c r="K5" s="94">
        <v>37070.79</v>
      </c>
      <c r="L5" s="94">
        <v>37070.79</v>
      </c>
      <c r="M5" s="102" t="s">
        <v>1099</v>
      </c>
      <c r="N5" s="102" t="s">
        <v>1481</v>
      </c>
      <c r="O5" s="93">
        <v>46142</v>
      </c>
    </row>
    <row r="6" spans="1:15" ht="15" customHeight="1" x14ac:dyDescent="0.3">
      <c r="A6" s="102" t="s">
        <v>1479</v>
      </c>
      <c r="B6" t="s">
        <v>1541</v>
      </c>
      <c r="C6" s="93">
        <v>46047</v>
      </c>
      <c r="D6" s="93">
        <v>46048</v>
      </c>
      <c r="E6" s="93">
        <v>46048</v>
      </c>
      <c r="F6" s="102" t="s">
        <v>1542</v>
      </c>
      <c r="G6" s="102" t="s">
        <v>1543</v>
      </c>
      <c r="H6" s="102" t="s">
        <v>1480</v>
      </c>
      <c r="I6" s="94">
        <v>25526.400000000001</v>
      </c>
      <c r="J6" s="94">
        <v>25526.400000000001</v>
      </c>
      <c r="K6" s="94">
        <v>25526.400000000001</v>
      </c>
      <c r="L6" s="94">
        <v>25526.400000000001</v>
      </c>
      <c r="M6" s="102" t="s">
        <v>1099</v>
      </c>
      <c r="N6" s="102" t="s">
        <v>1481</v>
      </c>
      <c r="O6" s="93">
        <v>46022</v>
      </c>
    </row>
    <row r="7" spans="1:15" ht="15" customHeight="1" x14ac:dyDescent="0.3">
      <c r="A7" s="102" t="s">
        <v>1479</v>
      </c>
      <c r="B7" t="s">
        <v>1541</v>
      </c>
      <c r="C7" s="93">
        <v>46136</v>
      </c>
      <c r="D7" s="93">
        <v>46136</v>
      </c>
      <c r="E7" s="93">
        <v>46136</v>
      </c>
      <c r="F7" s="102" t="s">
        <v>1542</v>
      </c>
      <c r="G7" s="102" t="s">
        <v>1545</v>
      </c>
      <c r="H7" s="102" t="s">
        <v>1480</v>
      </c>
      <c r="I7" s="94">
        <v>35776.32</v>
      </c>
      <c r="J7" s="94">
        <v>35776.32</v>
      </c>
      <c r="K7" s="94">
        <v>35776.32</v>
      </c>
      <c r="L7" s="94">
        <v>35776.32</v>
      </c>
      <c r="M7" s="102" t="s">
        <v>1099</v>
      </c>
      <c r="N7" s="102" t="s">
        <v>1481</v>
      </c>
      <c r="O7" s="93">
        <v>46112</v>
      </c>
    </row>
    <row r="8" spans="1:15" ht="15" customHeight="1" x14ac:dyDescent="0.3">
      <c r="A8" s="102" t="s">
        <v>1483</v>
      </c>
      <c r="B8" t="s">
        <v>1548</v>
      </c>
      <c r="C8" s="93">
        <v>46177</v>
      </c>
      <c r="D8" s="93">
        <v>46177</v>
      </c>
      <c r="E8" s="93">
        <v>46177</v>
      </c>
      <c r="F8" s="102" t="s">
        <v>1553</v>
      </c>
      <c r="G8" s="102" t="s">
        <v>1554</v>
      </c>
      <c r="H8" s="102" t="s">
        <v>1480</v>
      </c>
      <c r="I8" s="94">
        <v>8000</v>
      </c>
      <c r="J8" s="94">
        <v>8000</v>
      </c>
      <c r="K8" s="94">
        <v>8000</v>
      </c>
      <c r="L8" s="94">
        <v>8000</v>
      </c>
      <c r="M8" s="102" t="s">
        <v>1099</v>
      </c>
      <c r="N8" s="102" t="s">
        <v>1481</v>
      </c>
      <c r="O8" s="93">
        <v>46177</v>
      </c>
    </row>
    <row r="9" spans="1:15" ht="15" customHeight="1" x14ac:dyDescent="0.3">
      <c r="A9" s="102" t="s">
        <v>1483</v>
      </c>
      <c r="B9" t="s">
        <v>1548</v>
      </c>
      <c r="C9" s="93">
        <v>46030</v>
      </c>
      <c r="D9" s="93">
        <v>46030</v>
      </c>
      <c r="E9" s="93">
        <v>46030</v>
      </c>
      <c r="F9" s="102" t="s">
        <v>1484</v>
      </c>
      <c r="G9" s="102" t="s">
        <v>1549</v>
      </c>
      <c r="H9" s="102" t="s">
        <v>1480</v>
      </c>
      <c r="I9" s="94">
        <v>27396.48</v>
      </c>
      <c r="J9" s="94">
        <v>27396.48</v>
      </c>
      <c r="K9" s="94">
        <v>27396.48</v>
      </c>
      <c r="L9" s="94">
        <v>27396.48</v>
      </c>
      <c r="M9" s="102" t="s">
        <v>1099</v>
      </c>
      <c r="N9" s="102" t="s">
        <v>1481</v>
      </c>
      <c r="O9" s="93">
        <v>46019</v>
      </c>
    </row>
    <row r="10" spans="1:15" ht="15" customHeight="1" x14ac:dyDescent="0.3">
      <c r="A10" s="102" t="s">
        <v>1483</v>
      </c>
      <c r="B10" t="s">
        <v>1548</v>
      </c>
      <c r="C10" s="93">
        <v>46030</v>
      </c>
      <c r="D10" s="93">
        <v>46030</v>
      </c>
      <c r="E10" s="93">
        <v>46030</v>
      </c>
      <c r="F10" s="102" t="s">
        <v>1484</v>
      </c>
      <c r="G10" s="102" t="s">
        <v>1550</v>
      </c>
      <c r="H10" s="102" t="s">
        <v>1480</v>
      </c>
      <c r="I10" s="94">
        <v>92463.14</v>
      </c>
      <c r="J10" s="94">
        <v>92463.14</v>
      </c>
      <c r="K10" s="94">
        <v>92463.14</v>
      </c>
      <c r="L10" s="94">
        <v>92463.14</v>
      </c>
      <c r="M10" s="102" t="s">
        <v>1099</v>
      </c>
      <c r="N10" s="102" t="s">
        <v>1481</v>
      </c>
      <c r="O10" s="93">
        <v>46019</v>
      </c>
    </row>
    <row r="11" spans="1:15" ht="15" customHeight="1" x14ac:dyDescent="0.3">
      <c r="A11" s="102" t="s">
        <v>1483</v>
      </c>
      <c r="B11" t="s">
        <v>1548</v>
      </c>
      <c r="C11" s="93">
        <v>46162</v>
      </c>
      <c r="D11" s="93">
        <v>46162</v>
      </c>
      <c r="E11" s="93">
        <v>46162</v>
      </c>
      <c r="F11" s="102" t="s">
        <v>1551</v>
      </c>
      <c r="G11" s="102" t="s">
        <v>1552</v>
      </c>
      <c r="H11" s="102" t="s">
        <v>1480</v>
      </c>
      <c r="I11" s="94">
        <v>6000</v>
      </c>
      <c r="J11" s="94">
        <v>3000</v>
      </c>
      <c r="K11" s="94">
        <v>3000</v>
      </c>
      <c r="L11" s="94">
        <v>6000</v>
      </c>
      <c r="M11" s="102" t="s">
        <v>1099</v>
      </c>
      <c r="N11" s="102" t="s">
        <v>1481</v>
      </c>
      <c r="O11" s="93">
        <v>46162</v>
      </c>
    </row>
    <row r="12" spans="1:15" ht="15" customHeight="1" x14ac:dyDescent="0.3">
      <c r="A12" s="102" t="s">
        <v>1555</v>
      </c>
      <c r="B12" t="s">
        <v>1556</v>
      </c>
      <c r="C12" s="93">
        <v>46162</v>
      </c>
      <c r="D12" s="93">
        <v>46162</v>
      </c>
      <c r="E12" s="93">
        <v>46162</v>
      </c>
      <c r="F12" s="102" t="s">
        <v>1551</v>
      </c>
      <c r="G12" s="102" t="s">
        <v>1552</v>
      </c>
      <c r="H12" s="102" t="s">
        <v>1480</v>
      </c>
      <c r="I12" s="94">
        <v>6000</v>
      </c>
      <c r="J12" s="94">
        <v>3000</v>
      </c>
      <c r="K12" s="94">
        <v>3000</v>
      </c>
      <c r="L12" s="94">
        <v>6000</v>
      </c>
      <c r="M12" s="102" t="s">
        <v>1099</v>
      </c>
      <c r="N12" s="102" t="s">
        <v>1481</v>
      </c>
      <c r="O12" s="93">
        <v>46162</v>
      </c>
    </row>
    <row r="13" spans="1:15" ht="15" customHeight="1" x14ac:dyDescent="0.3">
      <c r="A13" s="102" t="s">
        <v>1557</v>
      </c>
      <c r="B13" t="s">
        <v>1558</v>
      </c>
      <c r="C13" s="93">
        <v>46020</v>
      </c>
      <c r="D13" s="93">
        <v>46020</v>
      </c>
      <c r="E13" s="93">
        <v>46020</v>
      </c>
      <c r="F13" s="102" t="s">
        <v>1559</v>
      </c>
      <c r="G13" s="102" t="s">
        <v>1560</v>
      </c>
      <c r="H13" s="102" t="s">
        <v>1480</v>
      </c>
      <c r="I13" s="94">
        <v>2000</v>
      </c>
      <c r="J13" s="94">
        <v>2000</v>
      </c>
      <c r="K13" s="94">
        <v>2000</v>
      </c>
      <c r="L13" s="94">
        <v>2000</v>
      </c>
      <c r="M13" s="102" t="s">
        <v>1099</v>
      </c>
      <c r="N13" s="102" t="s">
        <v>1481</v>
      </c>
      <c r="O13" s="93">
        <v>46020</v>
      </c>
    </row>
    <row r="14" spans="1:15" x14ac:dyDescent="0.3">
      <c r="A14" s="102" t="s">
        <v>1485</v>
      </c>
      <c r="B14" t="s">
        <v>1486</v>
      </c>
      <c r="C14" s="93">
        <v>46108</v>
      </c>
      <c r="D14" s="93">
        <v>46108</v>
      </c>
      <c r="E14" s="93">
        <v>46108</v>
      </c>
      <c r="F14" s="102" t="s">
        <v>1487</v>
      </c>
      <c r="G14" s="102" t="s">
        <v>1561</v>
      </c>
      <c r="H14" s="102" t="s">
        <v>1480</v>
      </c>
      <c r="I14">
        <v>192917.04</v>
      </c>
      <c r="J14">
        <v>192917.04</v>
      </c>
      <c r="K14">
        <v>192917.04</v>
      </c>
      <c r="L14">
        <v>192917.04</v>
      </c>
      <c r="M14" s="102" t="s">
        <v>1099</v>
      </c>
      <c r="N14" s="102" t="s">
        <v>1488</v>
      </c>
      <c r="O14" s="93">
        <v>46108</v>
      </c>
    </row>
    <row r="15" spans="1:15" x14ac:dyDescent="0.3">
      <c r="A15" s="102" t="s">
        <v>1562</v>
      </c>
      <c r="B15" t="s">
        <v>1563</v>
      </c>
      <c r="C15" s="93">
        <v>46054</v>
      </c>
      <c r="D15" s="93">
        <v>46054</v>
      </c>
      <c r="E15" s="93">
        <v>46054</v>
      </c>
      <c r="F15" s="102" t="s">
        <v>1564</v>
      </c>
      <c r="G15" s="102" t="s">
        <v>1565</v>
      </c>
      <c r="H15" s="102" t="s">
        <v>1480</v>
      </c>
      <c r="I15">
        <v>420000</v>
      </c>
      <c r="J15">
        <v>420000</v>
      </c>
      <c r="K15">
        <v>420000</v>
      </c>
      <c r="L15">
        <v>420000</v>
      </c>
      <c r="M15" s="102" t="s">
        <v>1099</v>
      </c>
      <c r="N15" s="102" t="s">
        <v>1488</v>
      </c>
      <c r="O15" s="93">
        <v>46054</v>
      </c>
    </row>
    <row r="16" spans="1:15" x14ac:dyDescent="0.3">
      <c r="A16" s="102" t="s">
        <v>1566</v>
      </c>
      <c r="B16" t="s">
        <v>1567</v>
      </c>
      <c r="C16" s="93">
        <v>45992</v>
      </c>
      <c r="D16" s="93">
        <v>45992</v>
      </c>
      <c r="E16" s="93">
        <v>45992</v>
      </c>
      <c r="F16" s="102" t="s">
        <v>1568</v>
      </c>
      <c r="G16" s="102" t="s">
        <v>1569</v>
      </c>
      <c r="H16" s="102" t="s">
        <v>1480</v>
      </c>
      <c r="I16">
        <v>214296.52</v>
      </c>
      <c r="J16">
        <v>214296.52</v>
      </c>
      <c r="K16">
        <v>214296.52</v>
      </c>
      <c r="L16">
        <v>214296.52</v>
      </c>
      <c r="M16" s="102" t="s">
        <v>1099</v>
      </c>
      <c r="N16" s="102" t="s">
        <v>1481</v>
      </c>
      <c r="O16" s="93">
        <v>45992</v>
      </c>
    </row>
    <row r="17" spans="1:15" x14ac:dyDescent="0.3">
      <c r="A17" s="102" t="s">
        <v>1566</v>
      </c>
      <c r="B17" t="s">
        <v>1567</v>
      </c>
      <c r="C17" s="93">
        <v>45992</v>
      </c>
      <c r="D17" s="93">
        <v>46357</v>
      </c>
      <c r="E17" s="93">
        <v>46357</v>
      </c>
      <c r="F17" s="102" t="s">
        <v>1568</v>
      </c>
      <c r="G17" s="102" t="s">
        <v>1569</v>
      </c>
      <c r="H17" s="102" t="s">
        <v>1480</v>
      </c>
      <c r="I17">
        <v>6777.68</v>
      </c>
      <c r="J17">
        <v>6777.68</v>
      </c>
      <c r="K17">
        <v>6777.68</v>
      </c>
      <c r="L17">
        <v>6777.68</v>
      </c>
      <c r="M17" s="102" t="s">
        <v>1099</v>
      </c>
      <c r="N17" s="102" t="s">
        <v>1481</v>
      </c>
      <c r="O17" s="93">
        <v>45992</v>
      </c>
    </row>
    <row r="18" spans="1:15" x14ac:dyDescent="0.3">
      <c r="A18" s="102" t="s">
        <v>1489</v>
      </c>
      <c r="B18" t="s">
        <v>1570</v>
      </c>
      <c r="C18" s="93">
        <v>46149</v>
      </c>
      <c r="D18" s="93">
        <v>46148</v>
      </c>
      <c r="E18" s="93">
        <v>46148</v>
      </c>
      <c r="F18" s="102" t="s">
        <v>1490</v>
      </c>
      <c r="G18" s="102" t="s">
        <v>1491</v>
      </c>
      <c r="H18" s="102" t="s">
        <v>1480</v>
      </c>
      <c r="I18">
        <v>9434.24</v>
      </c>
      <c r="J18">
        <v>3925.64</v>
      </c>
      <c r="K18">
        <v>3925.64</v>
      </c>
      <c r="L18">
        <v>9434.24</v>
      </c>
      <c r="M18" s="102" t="s">
        <v>1099</v>
      </c>
      <c r="N18" s="102" t="s">
        <v>1481</v>
      </c>
      <c r="O18" s="93">
        <v>46121</v>
      </c>
    </row>
    <row r="19" spans="1:15" x14ac:dyDescent="0.3">
      <c r="A19" s="102" t="s">
        <v>1492</v>
      </c>
      <c r="B19" t="s">
        <v>316</v>
      </c>
      <c r="C19" s="93">
        <v>46149</v>
      </c>
      <c r="D19" s="93">
        <v>46149</v>
      </c>
      <c r="E19" s="93">
        <v>46149</v>
      </c>
      <c r="F19" s="102" t="s">
        <v>1571</v>
      </c>
      <c r="G19" s="102" t="s">
        <v>1572</v>
      </c>
      <c r="H19" s="102" t="s">
        <v>1480</v>
      </c>
      <c r="I19">
        <v>906.08</v>
      </c>
      <c r="J19">
        <v>20</v>
      </c>
      <c r="K19">
        <v>20</v>
      </c>
      <c r="L19">
        <v>906.08</v>
      </c>
      <c r="M19" s="102" t="s">
        <v>1099</v>
      </c>
      <c r="N19" s="102" t="s">
        <v>1481</v>
      </c>
      <c r="O19" s="93">
        <v>46140</v>
      </c>
    </row>
    <row r="20" spans="1:15" x14ac:dyDescent="0.3">
      <c r="A20" s="102" t="s">
        <v>1573</v>
      </c>
      <c r="B20" t="s">
        <v>1197</v>
      </c>
      <c r="C20" s="93">
        <v>46192</v>
      </c>
      <c r="D20" s="93">
        <v>46192</v>
      </c>
      <c r="E20" s="93">
        <v>46192</v>
      </c>
      <c r="F20" s="102" t="s">
        <v>1531</v>
      </c>
      <c r="G20" s="102" t="s">
        <v>1574</v>
      </c>
      <c r="H20" s="102" t="s">
        <v>1480</v>
      </c>
      <c r="I20">
        <v>200</v>
      </c>
      <c r="J20">
        <v>200</v>
      </c>
      <c r="K20">
        <v>200</v>
      </c>
      <c r="L20">
        <v>200</v>
      </c>
      <c r="M20" s="102" t="s">
        <v>1099</v>
      </c>
      <c r="N20" s="102" t="s">
        <v>1481</v>
      </c>
      <c r="O20" s="93">
        <v>46192</v>
      </c>
    </row>
    <row r="21" spans="1:15" x14ac:dyDescent="0.3">
      <c r="A21" s="102" t="s">
        <v>1573</v>
      </c>
      <c r="B21" t="s">
        <v>1197</v>
      </c>
      <c r="C21" s="93">
        <v>46141</v>
      </c>
      <c r="D21" s="93">
        <v>46141</v>
      </c>
      <c r="E21" s="93">
        <v>46141</v>
      </c>
      <c r="F21" s="102" t="s">
        <v>138</v>
      </c>
      <c r="G21" s="102" t="s">
        <v>1576</v>
      </c>
      <c r="H21" s="102" t="s">
        <v>1480</v>
      </c>
      <c r="I21">
        <v>200</v>
      </c>
      <c r="J21">
        <v>200</v>
      </c>
      <c r="K21">
        <v>200</v>
      </c>
      <c r="L21">
        <v>200</v>
      </c>
      <c r="M21" s="102" t="s">
        <v>1099</v>
      </c>
      <c r="N21" s="102" t="s">
        <v>1481</v>
      </c>
      <c r="O21" s="93">
        <v>46141</v>
      </c>
    </row>
    <row r="22" spans="1:15" x14ac:dyDescent="0.3">
      <c r="A22" s="102" t="s">
        <v>1573</v>
      </c>
      <c r="B22" t="s">
        <v>1197</v>
      </c>
      <c r="C22" s="93">
        <v>46059</v>
      </c>
      <c r="D22" s="93">
        <v>46059</v>
      </c>
      <c r="E22" s="93">
        <v>46059</v>
      </c>
      <c r="F22" s="102" t="s">
        <v>138</v>
      </c>
      <c r="G22" s="102" t="s">
        <v>1575</v>
      </c>
      <c r="H22" s="102" t="s">
        <v>1480</v>
      </c>
      <c r="I22">
        <v>200</v>
      </c>
      <c r="J22">
        <v>200</v>
      </c>
      <c r="K22">
        <v>200</v>
      </c>
      <c r="L22">
        <v>200</v>
      </c>
      <c r="M22" s="102" t="s">
        <v>1099</v>
      </c>
      <c r="N22" s="102" t="s">
        <v>1481</v>
      </c>
      <c r="O22" s="93">
        <v>46059</v>
      </c>
    </row>
    <row r="23" spans="1:15" x14ac:dyDescent="0.3">
      <c r="A23" s="102" t="s">
        <v>1577</v>
      </c>
      <c r="B23" t="s">
        <v>1578</v>
      </c>
      <c r="C23" s="93">
        <v>46047</v>
      </c>
      <c r="D23" s="93">
        <v>46043</v>
      </c>
      <c r="E23" s="93">
        <v>46043</v>
      </c>
      <c r="F23" s="102" t="s">
        <v>1579</v>
      </c>
      <c r="G23" s="102" t="s">
        <v>1580</v>
      </c>
      <c r="H23" s="102" t="s">
        <v>1480</v>
      </c>
      <c r="I23">
        <v>520</v>
      </c>
      <c r="J23">
        <v>520</v>
      </c>
      <c r="K23">
        <v>520</v>
      </c>
      <c r="L23">
        <v>520</v>
      </c>
      <c r="M23" s="102" t="s">
        <v>1099</v>
      </c>
      <c r="N23" s="102" t="s">
        <v>1481</v>
      </c>
      <c r="O23" s="93">
        <v>46010</v>
      </c>
    </row>
    <row r="24" spans="1:15" x14ac:dyDescent="0.3">
      <c r="A24" s="102" t="s">
        <v>1577</v>
      </c>
      <c r="B24" t="s">
        <v>1578</v>
      </c>
      <c r="C24" s="93">
        <v>46210</v>
      </c>
      <c r="F24" s="102" t="s">
        <v>1490</v>
      </c>
      <c r="G24" s="102" t="s">
        <v>1581</v>
      </c>
      <c r="H24" s="102" t="s">
        <v>1480</v>
      </c>
      <c r="I24">
        <v>546.97</v>
      </c>
      <c r="J24">
        <v>23.57</v>
      </c>
      <c r="K24">
        <v>23.57</v>
      </c>
      <c r="L24">
        <v>0</v>
      </c>
      <c r="M24" s="102" t="s">
        <v>1099</v>
      </c>
      <c r="N24" s="102" t="s">
        <v>1481</v>
      </c>
      <c r="O24" s="93">
        <v>46176</v>
      </c>
    </row>
    <row r="25" spans="1:15" x14ac:dyDescent="0.3">
      <c r="A25" s="102" t="s">
        <v>1493</v>
      </c>
      <c r="B25" t="s">
        <v>1494</v>
      </c>
      <c r="C25" s="93">
        <v>46119</v>
      </c>
      <c r="D25" s="93">
        <v>46119</v>
      </c>
      <c r="E25" s="93">
        <v>46119</v>
      </c>
      <c r="F25" s="102" t="s">
        <v>1490</v>
      </c>
      <c r="G25" s="102" t="s">
        <v>1589</v>
      </c>
      <c r="H25" s="102" t="s">
        <v>1480</v>
      </c>
      <c r="I25">
        <v>121</v>
      </c>
      <c r="J25">
        <v>25</v>
      </c>
      <c r="K25">
        <v>25</v>
      </c>
      <c r="L25">
        <v>121</v>
      </c>
      <c r="M25" s="102" t="s">
        <v>1099</v>
      </c>
      <c r="N25" s="102" t="s">
        <v>1481</v>
      </c>
      <c r="O25" s="93">
        <v>46094</v>
      </c>
    </row>
    <row r="26" spans="1:15" x14ac:dyDescent="0.3">
      <c r="A26" s="102" t="s">
        <v>1493</v>
      </c>
      <c r="B26" t="s">
        <v>1494</v>
      </c>
      <c r="C26" s="93">
        <v>46119</v>
      </c>
      <c r="D26" s="93">
        <v>46119</v>
      </c>
      <c r="E26" s="93">
        <v>46119</v>
      </c>
      <c r="F26" s="102" t="s">
        <v>1490</v>
      </c>
      <c r="G26" s="102" t="s">
        <v>1591</v>
      </c>
      <c r="H26" s="102" t="s">
        <v>1480</v>
      </c>
      <c r="I26">
        <v>788.89</v>
      </c>
      <c r="J26">
        <v>364.35</v>
      </c>
      <c r="K26">
        <v>14.35</v>
      </c>
      <c r="L26">
        <v>788.89</v>
      </c>
      <c r="M26" s="102" t="s">
        <v>1099</v>
      </c>
      <c r="N26" s="102" t="s">
        <v>1481</v>
      </c>
      <c r="O26" s="93">
        <v>46099</v>
      </c>
    </row>
    <row r="27" spans="1:15" x14ac:dyDescent="0.3">
      <c r="A27" s="102" t="s">
        <v>1493</v>
      </c>
      <c r="B27" t="s">
        <v>1494</v>
      </c>
      <c r="C27" s="93">
        <v>46060</v>
      </c>
      <c r="D27" s="93">
        <v>46060</v>
      </c>
      <c r="E27" s="93">
        <v>46060</v>
      </c>
      <c r="F27" s="102" t="s">
        <v>1490</v>
      </c>
      <c r="G27" s="102" t="s">
        <v>1495</v>
      </c>
      <c r="H27" s="102" t="s">
        <v>1480</v>
      </c>
      <c r="I27">
        <v>3867.18</v>
      </c>
      <c r="J27">
        <v>1009.18</v>
      </c>
      <c r="K27">
        <v>1009.182</v>
      </c>
      <c r="L27">
        <v>3867.18</v>
      </c>
      <c r="M27" s="102" t="s">
        <v>1099</v>
      </c>
      <c r="N27" s="102" t="s">
        <v>1481</v>
      </c>
      <c r="O27" s="93">
        <v>46030</v>
      </c>
    </row>
    <row r="28" spans="1:15" x14ac:dyDescent="0.3">
      <c r="A28" s="102" t="s">
        <v>1493</v>
      </c>
      <c r="B28" t="s">
        <v>1494</v>
      </c>
      <c r="C28" s="93">
        <v>46088</v>
      </c>
      <c r="D28" s="93">
        <v>46090</v>
      </c>
      <c r="E28" s="93">
        <v>46090</v>
      </c>
      <c r="F28" s="102" t="s">
        <v>1490</v>
      </c>
      <c r="G28" s="102" t="s">
        <v>1587</v>
      </c>
      <c r="H28" s="102" t="s">
        <v>1480</v>
      </c>
      <c r="I28">
        <v>388.73</v>
      </c>
      <c r="J28">
        <v>154</v>
      </c>
      <c r="K28">
        <v>96</v>
      </c>
      <c r="L28">
        <v>388.73</v>
      </c>
      <c r="M28" s="102" t="s">
        <v>1099</v>
      </c>
      <c r="N28" s="102" t="s">
        <v>1481</v>
      </c>
      <c r="O28" s="93">
        <v>46055</v>
      </c>
    </row>
    <row r="29" spans="1:15" x14ac:dyDescent="0.3">
      <c r="A29" s="102" t="s">
        <v>1493</v>
      </c>
      <c r="B29" t="s">
        <v>1494</v>
      </c>
      <c r="C29" s="93">
        <v>46149</v>
      </c>
      <c r="D29" s="93">
        <v>46148</v>
      </c>
      <c r="E29" s="93">
        <v>46148</v>
      </c>
      <c r="F29" s="102" t="s">
        <v>1490</v>
      </c>
      <c r="G29" s="102" t="s">
        <v>1584</v>
      </c>
      <c r="H29" s="102" t="s">
        <v>1480</v>
      </c>
      <c r="I29">
        <v>159.5</v>
      </c>
      <c r="J29">
        <v>159.5</v>
      </c>
      <c r="K29">
        <v>102.5</v>
      </c>
      <c r="L29">
        <v>159.5</v>
      </c>
      <c r="M29" s="102" t="s">
        <v>1099</v>
      </c>
      <c r="N29" s="102" t="s">
        <v>1481</v>
      </c>
      <c r="O29" s="93">
        <v>46132</v>
      </c>
    </row>
    <row r="30" spans="1:15" x14ac:dyDescent="0.3">
      <c r="A30" s="102" t="s">
        <v>1493</v>
      </c>
      <c r="B30" t="s">
        <v>1494</v>
      </c>
      <c r="C30" s="93">
        <v>46180</v>
      </c>
      <c r="D30" s="93">
        <v>46180</v>
      </c>
      <c r="E30" s="93">
        <v>46180</v>
      </c>
      <c r="F30" s="102" t="s">
        <v>1490</v>
      </c>
      <c r="G30" s="102" t="s">
        <v>1582</v>
      </c>
      <c r="H30" s="102" t="s">
        <v>1480</v>
      </c>
      <c r="I30">
        <v>2822.89</v>
      </c>
      <c r="J30">
        <v>98</v>
      </c>
      <c r="K30">
        <v>22</v>
      </c>
      <c r="L30">
        <v>2822.89</v>
      </c>
      <c r="M30" s="102" t="s">
        <v>1099</v>
      </c>
      <c r="N30" s="102" t="s">
        <v>1481</v>
      </c>
      <c r="O30" s="93">
        <v>46146</v>
      </c>
    </row>
    <row r="31" spans="1:15" x14ac:dyDescent="0.3">
      <c r="A31" s="102" t="s">
        <v>1493</v>
      </c>
      <c r="B31" t="s">
        <v>1494</v>
      </c>
      <c r="C31" s="93">
        <v>46060</v>
      </c>
      <c r="D31" s="93">
        <v>46060</v>
      </c>
      <c r="E31" s="93">
        <v>46060</v>
      </c>
      <c r="F31" s="102" t="s">
        <v>1490</v>
      </c>
      <c r="G31" s="102" t="s">
        <v>1588</v>
      </c>
      <c r="H31" s="102" t="s">
        <v>1480</v>
      </c>
      <c r="I31">
        <v>487.28</v>
      </c>
      <c r="J31">
        <v>90</v>
      </c>
      <c r="K31">
        <v>90</v>
      </c>
      <c r="L31">
        <v>487.28</v>
      </c>
      <c r="M31" s="102" t="s">
        <v>1099</v>
      </c>
      <c r="N31" s="102" t="s">
        <v>1481</v>
      </c>
      <c r="O31" s="93">
        <v>46024</v>
      </c>
    </row>
    <row r="32" spans="1:15" x14ac:dyDescent="0.3">
      <c r="A32" s="102" t="s">
        <v>1493</v>
      </c>
      <c r="B32" t="s">
        <v>1494</v>
      </c>
      <c r="C32" s="93">
        <v>46210</v>
      </c>
      <c r="D32" s="93"/>
      <c r="E32" s="93"/>
      <c r="F32" s="102" t="s">
        <v>1490</v>
      </c>
      <c r="G32" s="102" t="s">
        <v>1583</v>
      </c>
      <c r="H32" s="102" t="s">
        <v>1480</v>
      </c>
      <c r="I32">
        <v>285.94</v>
      </c>
      <c r="J32">
        <v>19</v>
      </c>
      <c r="K32">
        <v>19</v>
      </c>
      <c r="L32">
        <v>0</v>
      </c>
      <c r="M32" s="102" t="s">
        <v>1099</v>
      </c>
      <c r="N32" s="102" t="s">
        <v>1481</v>
      </c>
      <c r="O32" s="93">
        <v>46164</v>
      </c>
    </row>
    <row r="33" spans="1:15" x14ac:dyDescent="0.3">
      <c r="A33" s="102" t="s">
        <v>1493</v>
      </c>
      <c r="B33" t="s">
        <v>1494</v>
      </c>
      <c r="C33" s="93">
        <v>46210</v>
      </c>
      <c r="D33" s="93"/>
      <c r="E33" s="93"/>
      <c r="F33" s="102" t="s">
        <v>1490</v>
      </c>
      <c r="G33" s="102" t="s">
        <v>1586</v>
      </c>
      <c r="H33" s="102" t="s">
        <v>1480</v>
      </c>
      <c r="I33">
        <v>647</v>
      </c>
      <c r="J33">
        <v>324</v>
      </c>
      <c r="K33">
        <v>100</v>
      </c>
      <c r="L33">
        <v>0</v>
      </c>
      <c r="M33" s="102" t="s">
        <v>1099</v>
      </c>
      <c r="N33" s="102" t="s">
        <v>1481</v>
      </c>
      <c r="O33" s="93">
        <v>46171</v>
      </c>
    </row>
    <row r="34" spans="1:15" x14ac:dyDescent="0.3">
      <c r="A34" s="102" t="s">
        <v>1493</v>
      </c>
      <c r="B34" t="s">
        <v>1494</v>
      </c>
      <c r="C34" s="93">
        <v>46180</v>
      </c>
      <c r="D34" s="93">
        <v>46180</v>
      </c>
      <c r="E34" s="93">
        <v>46180</v>
      </c>
      <c r="F34" s="102" t="s">
        <v>1490</v>
      </c>
      <c r="G34" s="102" t="s">
        <v>1585</v>
      </c>
      <c r="H34" s="102" t="s">
        <v>1480</v>
      </c>
      <c r="I34">
        <v>1403.41</v>
      </c>
      <c r="J34">
        <v>896.6</v>
      </c>
      <c r="K34">
        <v>408.6</v>
      </c>
      <c r="L34">
        <v>1403.41</v>
      </c>
      <c r="M34" s="102" t="s">
        <v>1099</v>
      </c>
      <c r="N34" s="102" t="s">
        <v>1481</v>
      </c>
      <c r="O34" s="93">
        <v>46162</v>
      </c>
    </row>
    <row r="35" spans="1:15" x14ac:dyDescent="0.3">
      <c r="A35" s="102" t="s">
        <v>1493</v>
      </c>
      <c r="B35" t="s">
        <v>1494</v>
      </c>
      <c r="C35" s="93">
        <v>46210</v>
      </c>
      <c r="D35" s="93"/>
      <c r="E35" s="93"/>
      <c r="F35" s="102" t="s">
        <v>1490</v>
      </c>
      <c r="G35" s="102" t="s">
        <v>1590</v>
      </c>
      <c r="H35" s="102" t="s">
        <v>1480</v>
      </c>
      <c r="I35">
        <v>461.77</v>
      </c>
      <c r="J35">
        <v>194</v>
      </c>
      <c r="K35">
        <v>17</v>
      </c>
      <c r="L35">
        <v>0</v>
      </c>
      <c r="M35" s="102" t="s">
        <v>1099</v>
      </c>
      <c r="N35" s="102" t="s">
        <v>1481</v>
      </c>
      <c r="O35" s="93">
        <v>46190</v>
      </c>
    </row>
    <row r="36" spans="1:15" x14ac:dyDescent="0.3">
      <c r="A36" s="102" t="s">
        <v>1592</v>
      </c>
      <c r="B36" t="s">
        <v>1593</v>
      </c>
      <c r="C36" s="93">
        <v>46180</v>
      </c>
      <c r="D36" s="93">
        <v>46180</v>
      </c>
      <c r="E36" s="93">
        <v>46180</v>
      </c>
      <c r="F36" s="102" t="s">
        <v>1490</v>
      </c>
      <c r="G36" s="102" t="s">
        <v>1594</v>
      </c>
      <c r="H36" s="102" t="s">
        <v>1480</v>
      </c>
      <c r="I36">
        <v>242</v>
      </c>
      <c r="J36">
        <v>242</v>
      </c>
      <c r="K36">
        <v>242</v>
      </c>
      <c r="L36">
        <v>242</v>
      </c>
      <c r="M36" s="102" t="s">
        <v>1099</v>
      </c>
      <c r="N36" s="102" t="s">
        <v>1481</v>
      </c>
      <c r="O36" s="93">
        <v>46154</v>
      </c>
    </row>
    <row r="37" spans="1:15" x14ac:dyDescent="0.3">
      <c r="A37" s="102" t="s">
        <v>1592</v>
      </c>
      <c r="B37" t="s">
        <v>1593</v>
      </c>
      <c r="C37" s="93">
        <v>46119</v>
      </c>
      <c r="D37" s="93">
        <v>46119</v>
      </c>
      <c r="E37" s="93">
        <v>46119</v>
      </c>
      <c r="F37" s="102" t="s">
        <v>1490</v>
      </c>
      <c r="G37" s="102" t="s">
        <v>1595</v>
      </c>
      <c r="H37" s="102" t="s">
        <v>1480</v>
      </c>
      <c r="I37">
        <v>135</v>
      </c>
      <c r="J37">
        <v>135</v>
      </c>
      <c r="K37">
        <v>135</v>
      </c>
      <c r="L37">
        <v>135</v>
      </c>
      <c r="M37" s="102" t="s">
        <v>1099</v>
      </c>
      <c r="N37" s="102" t="s">
        <v>1481</v>
      </c>
      <c r="O37" s="93">
        <v>46098</v>
      </c>
    </row>
    <row r="38" spans="1:15" x14ac:dyDescent="0.3">
      <c r="A38" s="102" t="s">
        <v>1596</v>
      </c>
      <c r="B38" t="s">
        <v>1597</v>
      </c>
      <c r="C38" s="93">
        <v>46171</v>
      </c>
      <c r="D38" s="93">
        <v>46171</v>
      </c>
      <c r="E38" s="93">
        <v>46171</v>
      </c>
      <c r="F38" s="102" t="s">
        <v>1602</v>
      </c>
      <c r="G38" s="102" t="s">
        <v>1605</v>
      </c>
      <c r="H38" s="102" t="s">
        <v>1480</v>
      </c>
      <c r="I38">
        <v>825</v>
      </c>
      <c r="J38">
        <v>825</v>
      </c>
      <c r="K38">
        <v>825</v>
      </c>
      <c r="L38">
        <v>825</v>
      </c>
      <c r="M38" s="102" t="s">
        <v>1099</v>
      </c>
      <c r="N38" s="102" t="s">
        <v>1481</v>
      </c>
      <c r="O38" s="93">
        <v>46171</v>
      </c>
    </row>
    <row r="39" spans="1:15" x14ac:dyDescent="0.3">
      <c r="A39" s="102" t="s">
        <v>1596</v>
      </c>
      <c r="B39" t="s">
        <v>1597</v>
      </c>
      <c r="C39" s="93">
        <v>46119</v>
      </c>
      <c r="D39" s="93">
        <v>46119</v>
      </c>
      <c r="E39" s="93">
        <v>46119</v>
      </c>
      <c r="F39" s="102" t="s">
        <v>1490</v>
      </c>
      <c r="G39" s="102" t="s">
        <v>1607</v>
      </c>
      <c r="H39" s="102" t="s">
        <v>1480</v>
      </c>
      <c r="I39">
        <v>351.47</v>
      </c>
      <c r="J39">
        <v>351.47</v>
      </c>
      <c r="K39">
        <v>351.47</v>
      </c>
      <c r="L39">
        <v>351.47</v>
      </c>
      <c r="M39" s="102" t="s">
        <v>1099</v>
      </c>
      <c r="N39" s="102" t="s">
        <v>1481</v>
      </c>
      <c r="O39" s="93">
        <v>46088</v>
      </c>
    </row>
    <row r="40" spans="1:15" x14ac:dyDescent="0.3">
      <c r="A40" s="102" t="s">
        <v>1596</v>
      </c>
      <c r="B40" t="s">
        <v>1597</v>
      </c>
      <c r="C40" s="93">
        <v>46088</v>
      </c>
      <c r="D40" s="93">
        <v>46088</v>
      </c>
      <c r="E40" s="93">
        <v>46088</v>
      </c>
      <c r="F40" s="102" t="s">
        <v>1598</v>
      </c>
      <c r="G40" s="102" t="s">
        <v>1599</v>
      </c>
      <c r="H40" s="102" t="s">
        <v>1480</v>
      </c>
      <c r="I40">
        <v>146</v>
      </c>
      <c r="J40">
        <v>146</v>
      </c>
      <c r="K40">
        <v>146</v>
      </c>
      <c r="L40">
        <v>146</v>
      </c>
      <c r="M40" s="102" t="s">
        <v>1099</v>
      </c>
      <c r="N40" s="102" t="s">
        <v>1481</v>
      </c>
      <c r="O40" s="93">
        <v>46088</v>
      </c>
    </row>
    <row r="41" spans="1:15" x14ac:dyDescent="0.3">
      <c r="A41" s="102" t="s">
        <v>1596</v>
      </c>
      <c r="B41" t="s">
        <v>1597</v>
      </c>
      <c r="C41" s="93">
        <v>46210</v>
      </c>
      <c r="D41" s="93"/>
      <c r="E41" s="93"/>
      <c r="F41" s="102" t="s">
        <v>1490</v>
      </c>
      <c r="G41" s="102" t="s">
        <v>1611</v>
      </c>
      <c r="H41" s="102" t="s">
        <v>1480</v>
      </c>
      <c r="I41">
        <v>174.2</v>
      </c>
      <c r="J41">
        <v>174.2</v>
      </c>
      <c r="K41">
        <v>174.2</v>
      </c>
      <c r="L41">
        <v>0</v>
      </c>
      <c r="M41" s="102" t="s">
        <v>1099</v>
      </c>
      <c r="N41" s="102" t="s">
        <v>1481</v>
      </c>
      <c r="O41" s="93">
        <v>46192</v>
      </c>
    </row>
    <row r="42" spans="1:15" x14ac:dyDescent="0.3">
      <c r="A42" s="102" t="s">
        <v>1596</v>
      </c>
      <c r="B42" t="s">
        <v>1597</v>
      </c>
      <c r="C42" s="93">
        <v>46060</v>
      </c>
      <c r="D42" s="93">
        <v>46060</v>
      </c>
      <c r="E42" s="93">
        <v>46060</v>
      </c>
      <c r="F42" s="102" t="s">
        <v>1490</v>
      </c>
      <c r="G42" s="102" t="s">
        <v>1495</v>
      </c>
      <c r="H42" s="102" t="s">
        <v>1480</v>
      </c>
      <c r="I42">
        <v>3867.18</v>
      </c>
      <c r="J42">
        <v>959.48</v>
      </c>
      <c r="K42">
        <v>959.47799999999995</v>
      </c>
      <c r="L42">
        <v>3867.18</v>
      </c>
      <c r="M42" s="102" t="s">
        <v>1099</v>
      </c>
      <c r="N42" s="102" t="s">
        <v>1481</v>
      </c>
      <c r="O42" s="93">
        <v>46030</v>
      </c>
    </row>
    <row r="43" spans="1:15" x14ac:dyDescent="0.3">
      <c r="A43" s="102" t="s">
        <v>1596</v>
      </c>
      <c r="B43" t="s">
        <v>1597</v>
      </c>
      <c r="C43" s="93">
        <v>46119</v>
      </c>
      <c r="D43" s="93">
        <v>46119</v>
      </c>
      <c r="E43" s="93">
        <v>46119</v>
      </c>
      <c r="F43" s="102" t="s">
        <v>1490</v>
      </c>
      <c r="G43" s="102" t="s">
        <v>1604</v>
      </c>
      <c r="H43" s="102" t="s">
        <v>1480</v>
      </c>
      <c r="I43">
        <v>218.22</v>
      </c>
      <c r="J43">
        <v>174.2</v>
      </c>
      <c r="K43">
        <v>174.2</v>
      </c>
      <c r="L43">
        <v>218.22</v>
      </c>
      <c r="M43" s="102" t="s">
        <v>1099</v>
      </c>
      <c r="N43" s="102" t="s">
        <v>1481</v>
      </c>
      <c r="O43" s="93">
        <v>46097</v>
      </c>
    </row>
    <row r="44" spans="1:15" x14ac:dyDescent="0.3">
      <c r="A44" s="102" t="s">
        <v>1596</v>
      </c>
      <c r="B44" t="s">
        <v>1597</v>
      </c>
      <c r="C44" s="93">
        <v>46100</v>
      </c>
      <c r="D44" s="93">
        <v>46100</v>
      </c>
      <c r="E44" s="93">
        <v>46100</v>
      </c>
      <c r="F44" s="102" t="s">
        <v>1602</v>
      </c>
      <c r="G44" s="102" t="s">
        <v>1608</v>
      </c>
      <c r="H44" s="102" t="s">
        <v>1480</v>
      </c>
      <c r="I44">
        <v>1674.5</v>
      </c>
      <c r="J44">
        <v>1525</v>
      </c>
      <c r="K44">
        <v>1525</v>
      </c>
      <c r="L44">
        <v>1674.5</v>
      </c>
      <c r="M44" s="102" t="s">
        <v>1099</v>
      </c>
      <c r="N44" s="102" t="s">
        <v>1481</v>
      </c>
      <c r="O44" s="93">
        <v>46100</v>
      </c>
    </row>
    <row r="45" spans="1:15" x14ac:dyDescent="0.3">
      <c r="A45" s="102" t="s">
        <v>1596</v>
      </c>
      <c r="B45" t="s">
        <v>1597</v>
      </c>
      <c r="C45" s="93">
        <v>46210</v>
      </c>
      <c r="D45" s="93"/>
      <c r="E45" s="93"/>
      <c r="F45" s="102" t="s">
        <v>1490</v>
      </c>
      <c r="G45" s="102" t="s">
        <v>1614</v>
      </c>
      <c r="H45" s="102" t="s">
        <v>1480</v>
      </c>
      <c r="I45">
        <v>49.6</v>
      </c>
      <c r="J45">
        <v>25</v>
      </c>
      <c r="K45">
        <v>25</v>
      </c>
      <c r="L45">
        <v>0</v>
      </c>
      <c r="M45" s="102" t="s">
        <v>1099</v>
      </c>
      <c r="N45" s="102" t="s">
        <v>1481</v>
      </c>
      <c r="O45" s="93">
        <v>46178</v>
      </c>
    </row>
    <row r="46" spans="1:15" x14ac:dyDescent="0.3">
      <c r="A46" s="102" t="s">
        <v>1596</v>
      </c>
      <c r="B46" t="s">
        <v>1597</v>
      </c>
      <c r="C46" s="93">
        <v>46119</v>
      </c>
      <c r="D46" s="93">
        <v>46119</v>
      </c>
      <c r="E46" s="93">
        <v>46119</v>
      </c>
      <c r="F46" s="102" t="s">
        <v>1490</v>
      </c>
      <c r="G46" s="102" t="s">
        <v>1591</v>
      </c>
      <c r="H46" s="102" t="s">
        <v>1480</v>
      </c>
      <c r="I46">
        <v>788.89</v>
      </c>
      <c r="J46">
        <v>133.63999999999999</v>
      </c>
      <c r="K46">
        <v>133.63999999999999</v>
      </c>
      <c r="L46">
        <v>788.89</v>
      </c>
      <c r="M46" s="102" t="s">
        <v>1099</v>
      </c>
      <c r="N46" s="102" t="s">
        <v>1481</v>
      </c>
      <c r="O46" s="93">
        <v>46099</v>
      </c>
    </row>
    <row r="47" spans="1:15" x14ac:dyDescent="0.3">
      <c r="A47" s="102" t="s">
        <v>1596</v>
      </c>
      <c r="B47" t="s">
        <v>1597</v>
      </c>
      <c r="C47" s="93">
        <v>46087</v>
      </c>
      <c r="D47" s="93">
        <v>46087</v>
      </c>
      <c r="E47" s="93">
        <v>46087</v>
      </c>
      <c r="F47" s="102" t="s">
        <v>1600</v>
      </c>
      <c r="G47" s="102" t="s">
        <v>1609</v>
      </c>
      <c r="H47" s="102" t="s">
        <v>1480</v>
      </c>
      <c r="I47">
        <v>254.18</v>
      </c>
      <c r="J47">
        <v>29.7</v>
      </c>
      <c r="K47">
        <v>29.7</v>
      </c>
      <c r="L47">
        <v>254.18</v>
      </c>
      <c r="M47" s="102" t="s">
        <v>1099</v>
      </c>
      <c r="N47" s="102" t="s">
        <v>1481</v>
      </c>
      <c r="O47" s="93">
        <v>46087</v>
      </c>
    </row>
    <row r="48" spans="1:15" x14ac:dyDescent="0.3">
      <c r="A48" s="102" t="s">
        <v>1596</v>
      </c>
      <c r="B48" t="s">
        <v>1597</v>
      </c>
      <c r="C48" s="93">
        <v>46066</v>
      </c>
      <c r="D48" s="93">
        <v>46066</v>
      </c>
      <c r="E48" s="93">
        <v>46066</v>
      </c>
      <c r="F48" s="102" t="s">
        <v>1602</v>
      </c>
      <c r="G48" s="102" t="s">
        <v>1603</v>
      </c>
      <c r="H48" s="102" t="s">
        <v>1480</v>
      </c>
      <c r="I48">
        <v>964.5</v>
      </c>
      <c r="J48">
        <v>964.5</v>
      </c>
      <c r="K48">
        <v>964.5</v>
      </c>
      <c r="L48">
        <v>964.5</v>
      </c>
      <c r="M48" s="102" t="s">
        <v>1099</v>
      </c>
      <c r="N48" s="102" t="s">
        <v>1481</v>
      </c>
      <c r="O48" s="93">
        <v>46066</v>
      </c>
    </row>
    <row r="49" spans="1:15" x14ac:dyDescent="0.3">
      <c r="A49" s="102" t="s">
        <v>1596</v>
      </c>
      <c r="B49" t="s">
        <v>1597</v>
      </c>
      <c r="C49" s="93">
        <v>46066</v>
      </c>
      <c r="D49" s="93">
        <v>46066</v>
      </c>
      <c r="E49" s="93">
        <v>46066</v>
      </c>
      <c r="F49" s="102" t="s">
        <v>1600</v>
      </c>
      <c r="G49" s="102" t="s">
        <v>1601</v>
      </c>
      <c r="H49" s="102" t="s">
        <v>1480</v>
      </c>
      <c r="I49">
        <v>2915.75</v>
      </c>
      <c r="J49">
        <v>11</v>
      </c>
      <c r="K49">
        <v>11</v>
      </c>
      <c r="L49">
        <v>2915.75</v>
      </c>
      <c r="M49" s="102" t="s">
        <v>1099</v>
      </c>
      <c r="N49" s="102" t="s">
        <v>1481</v>
      </c>
      <c r="O49" s="93">
        <v>46066</v>
      </c>
    </row>
    <row r="50" spans="1:15" x14ac:dyDescent="0.3">
      <c r="A50" s="102" t="s">
        <v>1596</v>
      </c>
      <c r="B50" t="s">
        <v>1597</v>
      </c>
      <c r="C50" s="93">
        <v>46129</v>
      </c>
      <c r="D50" s="93">
        <v>46129</v>
      </c>
      <c r="E50" s="93">
        <v>46129</v>
      </c>
      <c r="F50" s="102" t="s">
        <v>1600</v>
      </c>
      <c r="G50" s="102" t="s">
        <v>1612</v>
      </c>
      <c r="H50" s="102" t="s">
        <v>1480</v>
      </c>
      <c r="I50">
        <v>18</v>
      </c>
      <c r="J50">
        <v>18</v>
      </c>
      <c r="K50">
        <v>18</v>
      </c>
      <c r="L50">
        <v>18</v>
      </c>
      <c r="M50" s="102" t="s">
        <v>1099</v>
      </c>
      <c r="N50" s="102" t="s">
        <v>1481</v>
      </c>
      <c r="O50" s="93">
        <v>46129</v>
      </c>
    </row>
    <row r="51" spans="1:15" x14ac:dyDescent="0.3">
      <c r="A51" s="102" t="s">
        <v>1596</v>
      </c>
      <c r="B51" t="s">
        <v>1597</v>
      </c>
      <c r="C51" s="93">
        <v>46130</v>
      </c>
      <c r="D51" s="93">
        <v>46129</v>
      </c>
      <c r="E51" s="93">
        <v>46129</v>
      </c>
      <c r="F51" s="102" t="s">
        <v>1602</v>
      </c>
      <c r="G51" s="102" t="s">
        <v>1610</v>
      </c>
      <c r="H51" s="102" t="s">
        <v>1480</v>
      </c>
      <c r="I51">
        <v>1577</v>
      </c>
      <c r="J51">
        <v>1577</v>
      </c>
      <c r="K51">
        <v>1577</v>
      </c>
      <c r="L51">
        <v>1577</v>
      </c>
      <c r="M51" s="102" t="s">
        <v>1099</v>
      </c>
      <c r="N51" s="102" t="s">
        <v>1481</v>
      </c>
      <c r="O51" s="93">
        <v>46129</v>
      </c>
    </row>
    <row r="52" spans="1:15" x14ac:dyDescent="0.3">
      <c r="A52" s="102" t="s">
        <v>1596</v>
      </c>
      <c r="B52" t="s">
        <v>1597</v>
      </c>
      <c r="C52" s="93">
        <v>46193</v>
      </c>
      <c r="D52" s="93">
        <v>46193</v>
      </c>
      <c r="E52" s="93">
        <v>46193</v>
      </c>
      <c r="F52" s="102" t="s">
        <v>1602</v>
      </c>
      <c r="G52" s="102" t="s">
        <v>1613</v>
      </c>
      <c r="H52" s="102" t="s">
        <v>1480</v>
      </c>
      <c r="I52">
        <v>830</v>
      </c>
      <c r="J52">
        <v>830</v>
      </c>
      <c r="K52">
        <v>830</v>
      </c>
      <c r="L52">
        <v>830</v>
      </c>
      <c r="M52" s="102" t="s">
        <v>1099</v>
      </c>
      <c r="N52" s="102" t="s">
        <v>1481</v>
      </c>
      <c r="O52" s="93">
        <v>46193</v>
      </c>
    </row>
    <row r="53" spans="1:15" x14ac:dyDescent="0.3">
      <c r="A53" s="102" t="s">
        <v>1596</v>
      </c>
      <c r="B53" t="s">
        <v>1597</v>
      </c>
      <c r="C53" s="93">
        <v>46158</v>
      </c>
      <c r="D53" s="93">
        <v>46158</v>
      </c>
      <c r="E53" s="93">
        <v>46158</v>
      </c>
      <c r="F53" s="102" t="s">
        <v>1602</v>
      </c>
      <c r="G53" s="102" t="s">
        <v>1606</v>
      </c>
      <c r="H53" s="102" t="s">
        <v>1480</v>
      </c>
      <c r="I53">
        <v>840</v>
      </c>
      <c r="J53">
        <v>536.27</v>
      </c>
      <c r="K53">
        <v>536.27099999999996</v>
      </c>
      <c r="L53">
        <v>840</v>
      </c>
      <c r="M53" s="102" t="s">
        <v>1099</v>
      </c>
      <c r="N53" s="102" t="s">
        <v>1481</v>
      </c>
      <c r="O53" s="93">
        <v>46157</v>
      </c>
    </row>
    <row r="54" spans="1:15" x14ac:dyDescent="0.3">
      <c r="A54" s="102" t="s">
        <v>1596</v>
      </c>
      <c r="B54" t="s">
        <v>1597</v>
      </c>
      <c r="C54" s="93">
        <v>46088</v>
      </c>
      <c r="D54" s="93">
        <v>46090</v>
      </c>
      <c r="E54" s="93">
        <v>46090</v>
      </c>
      <c r="F54" s="102" t="s">
        <v>1490</v>
      </c>
      <c r="G54" s="102" t="s">
        <v>1587</v>
      </c>
      <c r="H54" s="102" t="s">
        <v>1480</v>
      </c>
      <c r="I54">
        <v>388.73</v>
      </c>
      <c r="J54">
        <v>87.1</v>
      </c>
      <c r="K54">
        <v>87.1</v>
      </c>
      <c r="L54">
        <v>388.73</v>
      </c>
      <c r="M54" s="102" t="s">
        <v>1099</v>
      </c>
      <c r="N54" s="102" t="s">
        <v>1481</v>
      </c>
      <c r="O54" s="93">
        <v>46055</v>
      </c>
    </row>
    <row r="55" spans="1:15" x14ac:dyDescent="0.3">
      <c r="A55" s="102" t="s">
        <v>1596</v>
      </c>
      <c r="B55" t="s">
        <v>1597</v>
      </c>
      <c r="C55" s="93">
        <v>46180</v>
      </c>
      <c r="D55" s="93">
        <v>46180</v>
      </c>
      <c r="E55" s="93">
        <v>46180</v>
      </c>
      <c r="F55" s="102" t="s">
        <v>1490</v>
      </c>
      <c r="G55" s="102" t="s">
        <v>1582</v>
      </c>
      <c r="H55" s="102" t="s">
        <v>1480</v>
      </c>
      <c r="I55">
        <v>2822.89</v>
      </c>
      <c r="J55">
        <v>174.2</v>
      </c>
      <c r="K55">
        <v>174.2</v>
      </c>
      <c r="L55">
        <v>2822.89</v>
      </c>
      <c r="M55" s="102" t="s">
        <v>1099</v>
      </c>
      <c r="N55" s="102" t="s">
        <v>1481</v>
      </c>
      <c r="O55" s="93">
        <v>46146</v>
      </c>
    </row>
    <row r="56" spans="1:15" x14ac:dyDescent="0.3">
      <c r="A56" s="102" t="s">
        <v>1615</v>
      </c>
      <c r="B56" t="s">
        <v>1117</v>
      </c>
      <c r="C56" s="93">
        <v>46036</v>
      </c>
      <c r="D56" s="93">
        <v>46037</v>
      </c>
      <c r="E56" s="93">
        <v>46037</v>
      </c>
      <c r="F56" s="102" t="s">
        <v>1616</v>
      </c>
      <c r="G56" s="102" t="s">
        <v>1618</v>
      </c>
      <c r="H56" s="102" t="s">
        <v>1480</v>
      </c>
      <c r="I56">
        <v>3925.2</v>
      </c>
      <c r="J56">
        <v>3925.2</v>
      </c>
      <c r="K56">
        <v>3925.2</v>
      </c>
      <c r="L56">
        <v>3925.2</v>
      </c>
      <c r="M56" s="102" t="s">
        <v>1099</v>
      </c>
      <c r="N56" s="102" t="s">
        <v>1481</v>
      </c>
      <c r="O56" s="93">
        <v>46032</v>
      </c>
    </row>
    <row r="57" spans="1:15" x14ac:dyDescent="0.3">
      <c r="A57" s="102" t="s">
        <v>1615</v>
      </c>
      <c r="B57" t="s">
        <v>1117</v>
      </c>
      <c r="C57" s="93">
        <v>46156</v>
      </c>
      <c r="D57" s="93">
        <v>46156</v>
      </c>
      <c r="E57" s="93">
        <v>46156</v>
      </c>
      <c r="F57" s="102" t="s">
        <v>1616</v>
      </c>
      <c r="G57" s="102" t="s">
        <v>1617</v>
      </c>
      <c r="H57" s="102" t="s">
        <v>1480</v>
      </c>
      <c r="I57">
        <v>6086</v>
      </c>
      <c r="J57">
        <v>6086</v>
      </c>
      <c r="K57">
        <v>6086</v>
      </c>
      <c r="L57">
        <v>6086</v>
      </c>
      <c r="M57" s="102" t="s">
        <v>1099</v>
      </c>
      <c r="N57" s="102" t="s">
        <v>1481</v>
      </c>
      <c r="O57" s="93">
        <v>46156</v>
      </c>
    </row>
    <row r="58" spans="1:15" x14ac:dyDescent="0.3">
      <c r="A58" s="102" t="s">
        <v>1619</v>
      </c>
      <c r="B58" t="s">
        <v>1620</v>
      </c>
      <c r="C58" s="93">
        <v>46119</v>
      </c>
      <c r="D58" s="93">
        <v>46119</v>
      </c>
      <c r="E58" s="93">
        <v>46119</v>
      </c>
      <c r="F58" s="102" t="s">
        <v>1490</v>
      </c>
      <c r="G58" s="102" t="s">
        <v>1591</v>
      </c>
      <c r="H58" s="102" t="s">
        <v>1480</v>
      </c>
      <c r="I58">
        <v>788.89</v>
      </c>
      <c r="J58">
        <v>5.9</v>
      </c>
      <c r="K58">
        <v>5.9</v>
      </c>
      <c r="L58">
        <v>788.89</v>
      </c>
      <c r="M58" s="102" t="s">
        <v>1099</v>
      </c>
      <c r="N58" s="102" t="s">
        <v>1481</v>
      </c>
      <c r="O58" s="93">
        <v>46099</v>
      </c>
    </row>
    <row r="59" spans="1:15" x14ac:dyDescent="0.3">
      <c r="A59" s="102" t="s">
        <v>1619</v>
      </c>
      <c r="B59" t="s">
        <v>1620</v>
      </c>
      <c r="C59" s="93">
        <v>46060</v>
      </c>
      <c r="D59" s="93">
        <v>46060</v>
      </c>
      <c r="E59" s="93">
        <v>46060</v>
      </c>
      <c r="F59" s="102" t="s">
        <v>1490</v>
      </c>
      <c r="G59" s="102" t="s">
        <v>1495</v>
      </c>
      <c r="H59" s="102" t="s">
        <v>1480</v>
      </c>
      <c r="I59">
        <v>3867.18</v>
      </c>
      <c r="J59">
        <v>263.68</v>
      </c>
      <c r="K59">
        <v>263.68299999999999</v>
      </c>
      <c r="L59">
        <v>3867.18</v>
      </c>
      <c r="M59" s="102" t="s">
        <v>1099</v>
      </c>
      <c r="N59" s="102" t="s">
        <v>1481</v>
      </c>
      <c r="O59" s="93">
        <v>46030</v>
      </c>
    </row>
    <row r="60" spans="1:15" x14ac:dyDescent="0.3">
      <c r="A60" s="102" t="s">
        <v>1619</v>
      </c>
      <c r="B60" t="s">
        <v>1620</v>
      </c>
      <c r="C60" s="93">
        <v>46060</v>
      </c>
      <c r="D60" s="93">
        <v>46060</v>
      </c>
      <c r="E60" s="93">
        <v>46060</v>
      </c>
      <c r="F60" s="102" t="s">
        <v>1490</v>
      </c>
      <c r="G60" s="102" t="s">
        <v>1588</v>
      </c>
      <c r="H60" s="102" t="s">
        <v>1480</v>
      </c>
      <c r="I60">
        <v>487.28</v>
      </c>
      <c r="J60">
        <v>277</v>
      </c>
      <c r="K60">
        <v>277</v>
      </c>
      <c r="L60">
        <v>487.28</v>
      </c>
      <c r="M60" s="102" t="s">
        <v>1099</v>
      </c>
      <c r="N60" s="102" t="s">
        <v>1481</v>
      </c>
      <c r="O60" s="93">
        <v>46024</v>
      </c>
    </row>
    <row r="61" spans="1:15" x14ac:dyDescent="0.3">
      <c r="A61" s="102" t="s">
        <v>1621</v>
      </c>
      <c r="B61" t="s">
        <v>1622</v>
      </c>
      <c r="C61" s="93">
        <v>46139</v>
      </c>
      <c r="D61" s="93">
        <v>46136</v>
      </c>
      <c r="E61" s="93">
        <v>46136</v>
      </c>
      <c r="F61" s="102" t="s">
        <v>1598</v>
      </c>
      <c r="G61" s="102" t="s">
        <v>1625</v>
      </c>
      <c r="H61" s="102" t="s">
        <v>1630</v>
      </c>
      <c r="I61">
        <v>744.13</v>
      </c>
      <c r="J61">
        <v>744.13</v>
      </c>
      <c r="K61">
        <v>744.13</v>
      </c>
      <c r="L61">
        <v>744.13</v>
      </c>
      <c r="M61" s="102" t="s">
        <v>1099</v>
      </c>
      <c r="N61" s="102" t="s">
        <v>1481</v>
      </c>
      <c r="O61" s="93">
        <v>46083</v>
      </c>
    </row>
    <row r="62" spans="1:15" x14ac:dyDescent="0.3">
      <c r="A62" s="102" t="s">
        <v>1621</v>
      </c>
      <c r="B62" t="s">
        <v>1622</v>
      </c>
      <c r="C62" s="93">
        <v>46090</v>
      </c>
      <c r="D62" s="93">
        <v>46090</v>
      </c>
      <c r="E62" s="93">
        <v>46090</v>
      </c>
      <c r="F62" s="102" t="s">
        <v>1633</v>
      </c>
      <c r="G62" s="102" t="s">
        <v>1634</v>
      </c>
      <c r="H62" s="102" t="s">
        <v>1480</v>
      </c>
      <c r="I62">
        <v>960</v>
      </c>
      <c r="J62">
        <v>960</v>
      </c>
      <c r="K62">
        <v>960</v>
      </c>
      <c r="L62">
        <v>960</v>
      </c>
      <c r="M62" s="102" t="s">
        <v>1099</v>
      </c>
      <c r="N62" s="102" t="s">
        <v>1481</v>
      </c>
      <c r="O62" s="93">
        <v>46090</v>
      </c>
    </row>
    <row r="63" spans="1:15" x14ac:dyDescent="0.3">
      <c r="A63" s="102" t="s">
        <v>1621</v>
      </c>
      <c r="B63" t="s">
        <v>1622</v>
      </c>
      <c r="C63" s="93">
        <v>46196</v>
      </c>
      <c r="D63" s="93">
        <v>46189</v>
      </c>
      <c r="E63" s="93">
        <v>46189</v>
      </c>
      <c r="F63" s="102" t="s">
        <v>1598</v>
      </c>
      <c r="G63" s="102" t="s">
        <v>1627</v>
      </c>
      <c r="H63" s="102" t="s">
        <v>1480</v>
      </c>
      <c r="I63">
        <v>1704.6</v>
      </c>
      <c r="J63">
        <v>1704.6</v>
      </c>
      <c r="K63">
        <v>1704.6</v>
      </c>
      <c r="L63">
        <v>1704.6</v>
      </c>
      <c r="M63" s="102" t="s">
        <v>1099</v>
      </c>
      <c r="N63" s="102" t="s">
        <v>1481</v>
      </c>
      <c r="O63" s="93">
        <v>46179</v>
      </c>
    </row>
    <row r="64" spans="1:15" x14ac:dyDescent="0.3">
      <c r="A64" s="102" t="s">
        <v>1621</v>
      </c>
      <c r="B64" t="s">
        <v>1622</v>
      </c>
      <c r="C64" s="93">
        <v>46169</v>
      </c>
      <c r="D64" s="93">
        <v>46164</v>
      </c>
      <c r="E64" s="93">
        <v>46164</v>
      </c>
      <c r="F64" s="102" t="s">
        <v>1598</v>
      </c>
      <c r="G64" s="102" t="s">
        <v>1625</v>
      </c>
      <c r="H64" s="102" t="s">
        <v>1626</v>
      </c>
      <c r="I64">
        <v>744.13</v>
      </c>
      <c r="J64">
        <v>744.13</v>
      </c>
      <c r="K64">
        <v>744.13</v>
      </c>
      <c r="L64">
        <v>744.13</v>
      </c>
      <c r="M64" s="102" t="s">
        <v>1099</v>
      </c>
      <c r="N64" s="102" t="s">
        <v>1481</v>
      </c>
      <c r="O64" s="93">
        <v>46083</v>
      </c>
    </row>
    <row r="65" spans="1:15" x14ac:dyDescent="0.3">
      <c r="A65" s="102" t="s">
        <v>1621</v>
      </c>
      <c r="B65" t="s">
        <v>1622</v>
      </c>
      <c r="C65" s="93">
        <v>46169</v>
      </c>
      <c r="D65" s="93">
        <v>46164</v>
      </c>
      <c r="E65" s="93">
        <v>46164</v>
      </c>
      <c r="F65" s="102" t="s">
        <v>1598</v>
      </c>
      <c r="G65" s="102" t="s">
        <v>1631</v>
      </c>
      <c r="H65" s="102" t="s">
        <v>1626</v>
      </c>
      <c r="I65">
        <v>1132.53</v>
      </c>
      <c r="J65">
        <v>1132.53</v>
      </c>
      <c r="K65">
        <v>1132.53</v>
      </c>
      <c r="L65">
        <v>1132.53</v>
      </c>
      <c r="M65" s="102" t="s">
        <v>1099</v>
      </c>
      <c r="N65" s="102" t="s">
        <v>1481</v>
      </c>
      <c r="O65" s="93">
        <v>46083</v>
      </c>
    </row>
    <row r="66" spans="1:15" x14ac:dyDescent="0.3">
      <c r="A66" s="102" t="s">
        <v>1621</v>
      </c>
      <c r="B66" t="s">
        <v>1622</v>
      </c>
      <c r="C66" s="93">
        <v>46108</v>
      </c>
      <c r="D66" s="93">
        <v>46101</v>
      </c>
      <c r="E66" s="93">
        <v>46101</v>
      </c>
      <c r="F66" s="102" t="s">
        <v>1598</v>
      </c>
      <c r="G66" s="102" t="s">
        <v>1625</v>
      </c>
      <c r="H66" s="102" t="s">
        <v>1629</v>
      </c>
      <c r="I66">
        <v>744.13</v>
      </c>
      <c r="J66">
        <v>744.13</v>
      </c>
      <c r="K66">
        <v>744.13</v>
      </c>
      <c r="L66">
        <v>744.13</v>
      </c>
      <c r="M66" s="102" t="s">
        <v>1099</v>
      </c>
      <c r="N66" s="102" t="s">
        <v>1481</v>
      </c>
      <c r="O66" s="93">
        <v>46083</v>
      </c>
    </row>
    <row r="67" spans="1:15" x14ac:dyDescent="0.3">
      <c r="A67" s="102" t="s">
        <v>1621</v>
      </c>
      <c r="B67" t="s">
        <v>1622</v>
      </c>
      <c r="C67" s="93">
        <v>46139</v>
      </c>
      <c r="D67" s="93">
        <v>46136</v>
      </c>
      <c r="E67" s="93">
        <v>46136</v>
      </c>
      <c r="F67" s="102" t="s">
        <v>1598</v>
      </c>
      <c r="G67" s="102" t="s">
        <v>1631</v>
      </c>
      <c r="H67" s="102" t="s">
        <v>1630</v>
      </c>
      <c r="I67">
        <v>1132.53</v>
      </c>
      <c r="J67">
        <v>1132.53</v>
      </c>
      <c r="K67">
        <v>1132.53</v>
      </c>
      <c r="L67">
        <v>1132.53</v>
      </c>
      <c r="M67" s="102" t="s">
        <v>1099</v>
      </c>
      <c r="N67" s="102" t="s">
        <v>1481</v>
      </c>
      <c r="O67" s="93">
        <v>46083</v>
      </c>
    </row>
    <row r="68" spans="1:15" x14ac:dyDescent="0.3">
      <c r="A68" s="102" t="s">
        <v>1621</v>
      </c>
      <c r="B68" t="s">
        <v>1622</v>
      </c>
      <c r="C68" s="93">
        <v>46108</v>
      </c>
      <c r="D68" s="93">
        <v>46101</v>
      </c>
      <c r="E68" s="93">
        <v>46193</v>
      </c>
      <c r="F68" s="102" t="s">
        <v>1598</v>
      </c>
      <c r="G68" s="102" t="s">
        <v>1631</v>
      </c>
      <c r="H68" s="102" t="s">
        <v>1629</v>
      </c>
      <c r="I68">
        <v>1132.53</v>
      </c>
      <c r="J68">
        <v>1132.53</v>
      </c>
      <c r="K68">
        <v>1132.53</v>
      </c>
      <c r="L68">
        <v>1132.53</v>
      </c>
      <c r="M68" s="102" t="s">
        <v>1099</v>
      </c>
      <c r="N68" s="102" t="s">
        <v>1481</v>
      </c>
      <c r="O68" s="93">
        <v>46083</v>
      </c>
    </row>
    <row r="69" spans="1:15" x14ac:dyDescent="0.3">
      <c r="A69" s="102" t="s">
        <v>1621</v>
      </c>
      <c r="B69" t="s">
        <v>1622</v>
      </c>
      <c r="C69" s="93">
        <v>46224</v>
      </c>
      <c r="D69" s="93">
        <v>46200</v>
      </c>
      <c r="E69" s="93">
        <v>46200</v>
      </c>
      <c r="F69" s="102" t="s">
        <v>1598</v>
      </c>
      <c r="G69" s="102" t="s">
        <v>1632</v>
      </c>
      <c r="H69" s="102" t="s">
        <v>1480</v>
      </c>
      <c r="I69">
        <v>1054.4000000000001</v>
      </c>
      <c r="J69">
        <v>660</v>
      </c>
      <c r="K69">
        <v>660</v>
      </c>
      <c r="L69">
        <v>1054.4000000000001</v>
      </c>
      <c r="M69" s="102" t="s">
        <v>1099</v>
      </c>
      <c r="N69" s="102" t="s">
        <v>1481</v>
      </c>
      <c r="O69" s="93">
        <v>46196</v>
      </c>
    </row>
    <row r="70" spans="1:15" x14ac:dyDescent="0.3">
      <c r="A70" s="102" t="s">
        <v>1621</v>
      </c>
      <c r="B70" t="s">
        <v>1622</v>
      </c>
      <c r="C70" s="93">
        <v>46196</v>
      </c>
      <c r="D70" s="93">
        <v>46189</v>
      </c>
      <c r="E70" s="93">
        <v>46189</v>
      </c>
      <c r="F70" s="102" t="s">
        <v>1598</v>
      </c>
      <c r="G70" s="102" t="s">
        <v>1624</v>
      </c>
      <c r="H70" s="102" t="s">
        <v>1480</v>
      </c>
      <c r="I70">
        <v>254.24</v>
      </c>
      <c r="J70">
        <v>148.24</v>
      </c>
      <c r="K70">
        <v>148.24</v>
      </c>
      <c r="L70">
        <v>254.24</v>
      </c>
      <c r="M70" s="102" t="s">
        <v>1099</v>
      </c>
      <c r="N70" s="102" t="s">
        <v>1481</v>
      </c>
      <c r="O70" s="93">
        <v>46179</v>
      </c>
    </row>
    <row r="71" spans="1:15" x14ac:dyDescent="0.3">
      <c r="A71" s="102" t="s">
        <v>1621</v>
      </c>
      <c r="B71" t="s">
        <v>1622</v>
      </c>
      <c r="C71" s="93">
        <v>46211</v>
      </c>
      <c r="D71" s="93">
        <v>46200</v>
      </c>
      <c r="E71" s="93">
        <v>46200</v>
      </c>
      <c r="F71" s="102" t="s">
        <v>1598</v>
      </c>
      <c r="G71" s="102" t="s">
        <v>1623</v>
      </c>
      <c r="H71" s="102" t="s">
        <v>1480</v>
      </c>
      <c r="I71">
        <v>1494.6</v>
      </c>
      <c r="J71">
        <v>990</v>
      </c>
      <c r="K71">
        <v>990</v>
      </c>
      <c r="L71">
        <v>1494.6</v>
      </c>
      <c r="M71" s="102" t="s">
        <v>1099</v>
      </c>
      <c r="N71" s="102" t="s">
        <v>1481</v>
      </c>
      <c r="O71" s="93">
        <v>46190</v>
      </c>
    </row>
    <row r="72" spans="1:15" x14ac:dyDescent="0.3">
      <c r="A72" s="102" t="s">
        <v>1621</v>
      </c>
      <c r="B72" t="s">
        <v>1622</v>
      </c>
      <c r="C72" s="93">
        <v>46107</v>
      </c>
      <c r="D72" s="93">
        <v>46107</v>
      </c>
      <c r="E72" s="93">
        <v>46107</v>
      </c>
      <c r="F72" s="102" t="s">
        <v>1598</v>
      </c>
      <c r="G72" s="102" t="s">
        <v>1628</v>
      </c>
      <c r="H72" s="102" t="s">
        <v>1480</v>
      </c>
      <c r="I72">
        <v>1996.4</v>
      </c>
      <c r="J72">
        <v>0</v>
      </c>
      <c r="K72">
        <v>0</v>
      </c>
      <c r="L72">
        <v>0</v>
      </c>
      <c r="M72" s="102" t="s">
        <v>1099</v>
      </c>
      <c r="N72" s="102" t="s">
        <v>1481</v>
      </c>
      <c r="O72" s="93">
        <v>46107</v>
      </c>
    </row>
    <row r="73" spans="1:15" x14ac:dyDescent="0.3">
      <c r="A73" s="102" t="s">
        <v>1635</v>
      </c>
      <c r="B73" t="s">
        <v>1636</v>
      </c>
      <c r="C73" s="93">
        <v>46111</v>
      </c>
      <c r="D73" s="93">
        <v>46108</v>
      </c>
      <c r="E73" s="93">
        <v>46108</v>
      </c>
      <c r="F73" s="102" t="s">
        <v>1598</v>
      </c>
      <c r="G73" s="102" t="s">
        <v>1641</v>
      </c>
      <c r="H73" s="102" t="s">
        <v>1480</v>
      </c>
      <c r="I73">
        <v>59</v>
      </c>
      <c r="J73">
        <v>0</v>
      </c>
      <c r="K73">
        <v>0</v>
      </c>
      <c r="L73">
        <v>0</v>
      </c>
      <c r="M73" s="102" t="s">
        <v>1099</v>
      </c>
      <c r="N73" s="102" t="s">
        <v>1481</v>
      </c>
      <c r="O73" s="93">
        <v>46091</v>
      </c>
    </row>
    <row r="74" spans="1:15" x14ac:dyDescent="0.3">
      <c r="A74" s="102" t="s">
        <v>1635</v>
      </c>
      <c r="B74" t="s">
        <v>1636</v>
      </c>
      <c r="C74" s="93">
        <v>46196</v>
      </c>
      <c r="D74" s="93">
        <v>46189</v>
      </c>
      <c r="E74" s="93">
        <v>46189</v>
      </c>
      <c r="F74" s="102" t="s">
        <v>1598</v>
      </c>
      <c r="G74" s="102" t="s">
        <v>1624</v>
      </c>
      <c r="H74" s="102" t="s">
        <v>1480</v>
      </c>
      <c r="I74">
        <v>254.24</v>
      </c>
      <c r="J74">
        <v>106</v>
      </c>
      <c r="K74">
        <v>106</v>
      </c>
      <c r="L74">
        <v>254.24</v>
      </c>
      <c r="M74" s="102" t="s">
        <v>1099</v>
      </c>
      <c r="N74" s="102" t="s">
        <v>1481</v>
      </c>
      <c r="O74" s="93">
        <v>46179</v>
      </c>
    </row>
    <row r="75" spans="1:15" x14ac:dyDescent="0.3">
      <c r="A75" s="102" t="s">
        <v>1635</v>
      </c>
      <c r="B75" t="s">
        <v>1636</v>
      </c>
      <c r="C75" s="93">
        <v>46121</v>
      </c>
      <c r="D75" s="93">
        <v>46121</v>
      </c>
      <c r="E75" s="93">
        <v>46121</v>
      </c>
      <c r="F75" s="102" t="s">
        <v>1598</v>
      </c>
      <c r="G75" s="102" t="s">
        <v>1642</v>
      </c>
      <c r="H75" s="102" t="s">
        <v>1480</v>
      </c>
      <c r="I75">
        <v>34.21</v>
      </c>
      <c r="J75">
        <v>30</v>
      </c>
      <c r="K75">
        <v>30</v>
      </c>
      <c r="L75">
        <v>34.21</v>
      </c>
      <c r="M75" s="102" t="s">
        <v>1099</v>
      </c>
      <c r="N75" s="102" t="s">
        <v>1481</v>
      </c>
      <c r="O75" s="93">
        <v>46121</v>
      </c>
    </row>
    <row r="76" spans="1:15" x14ac:dyDescent="0.3">
      <c r="A76" s="102" t="s">
        <v>1635</v>
      </c>
      <c r="B76" t="s">
        <v>1636</v>
      </c>
      <c r="C76" s="93">
        <v>46100</v>
      </c>
      <c r="D76" s="93">
        <v>46100</v>
      </c>
      <c r="E76" s="93">
        <v>46100</v>
      </c>
      <c r="F76" s="102" t="s">
        <v>1602</v>
      </c>
      <c r="G76" s="102" t="s">
        <v>1608</v>
      </c>
      <c r="H76" s="102" t="s">
        <v>1480</v>
      </c>
      <c r="I76">
        <v>1674.5</v>
      </c>
      <c r="J76">
        <v>89.5</v>
      </c>
      <c r="K76">
        <v>89.5</v>
      </c>
      <c r="L76">
        <v>1674.5</v>
      </c>
      <c r="M76" s="102" t="s">
        <v>1099</v>
      </c>
      <c r="N76" s="102" t="s">
        <v>1481</v>
      </c>
      <c r="O76" s="93">
        <v>46100</v>
      </c>
    </row>
    <row r="77" spans="1:15" x14ac:dyDescent="0.3">
      <c r="A77" s="102" t="s">
        <v>1635</v>
      </c>
      <c r="B77" t="s">
        <v>1636</v>
      </c>
      <c r="C77" s="93">
        <v>46109</v>
      </c>
      <c r="D77" s="93">
        <v>46109</v>
      </c>
      <c r="E77" s="93">
        <v>46109</v>
      </c>
      <c r="F77" s="102" t="s">
        <v>1639</v>
      </c>
      <c r="G77" s="102" t="s">
        <v>1640</v>
      </c>
      <c r="H77" s="102" t="s">
        <v>1480</v>
      </c>
      <c r="I77">
        <v>162.76</v>
      </c>
      <c r="J77">
        <v>129.9</v>
      </c>
      <c r="K77">
        <v>129.9</v>
      </c>
      <c r="L77">
        <v>162.76</v>
      </c>
      <c r="M77" s="102" t="s">
        <v>1099</v>
      </c>
      <c r="N77" s="102" t="s">
        <v>1481</v>
      </c>
      <c r="O77" s="93">
        <v>46109</v>
      </c>
    </row>
    <row r="78" spans="1:15" x14ac:dyDescent="0.3">
      <c r="A78" s="102" t="s">
        <v>1635</v>
      </c>
      <c r="B78" t="s">
        <v>1636</v>
      </c>
      <c r="C78" s="93">
        <v>46111</v>
      </c>
      <c r="D78" s="93">
        <v>46110</v>
      </c>
      <c r="E78" s="93">
        <v>46110</v>
      </c>
      <c r="F78" s="102" t="s">
        <v>1598</v>
      </c>
      <c r="G78" s="102" t="s">
        <v>1637</v>
      </c>
      <c r="H78" s="102" t="s">
        <v>1480</v>
      </c>
      <c r="I78">
        <v>195</v>
      </c>
      <c r="J78">
        <v>195</v>
      </c>
      <c r="K78">
        <v>195</v>
      </c>
      <c r="L78">
        <v>195</v>
      </c>
      <c r="M78" s="102" t="s">
        <v>1099</v>
      </c>
      <c r="N78" s="102" t="s">
        <v>1481</v>
      </c>
      <c r="O78" s="93">
        <v>46106</v>
      </c>
    </row>
    <row r="79" spans="1:15" x14ac:dyDescent="0.3">
      <c r="A79" s="102" t="s">
        <v>1635</v>
      </c>
      <c r="B79" t="s">
        <v>1636</v>
      </c>
      <c r="C79" s="93">
        <v>46119</v>
      </c>
      <c r="D79" s="93">
        <v>46119</v>
      </c>
      <c r="E79" s="93">
        <v>46119</v>
      </c>
      <c r="F79" s="102" t="s">
        <v>1490</v>
      </c>
      <c r="G79" s="102" t="s">
        <v>1638</v>
      </c>
      <c r="H79" s="102" t="s">
        <v>1480</v>
      </c>
      <c r="I79">
        <v>33.81</v>
      </c>
      <c r="J79">
        <v>33.81</v>
      </c>
      <c r="K79">
        <v>33.81</v>
      </c>
      <c r="L79">
        <v>33.81</v>
      </c>
      <c r="M79" s="102" t="s">
        <v>1099</v>
      </c>
      <c r="N79" s="102" t="s">
        <v>1481</v>
      </c>
      <c r="O79" s="93">
        <v>46092</v>
      </c>
    </row>
    <row r="80" spans="1:15" x14ac:dyDescent="0.3">
      <c r="A80" s="102" t="s">
        <v>1643</v>
      </c>
      <c r="B80" t="s">
        <v>1644</v>
      </c>
      <c r="C80" s="93">
        <v>46149</v>
      </c>
      <c r="D80" s="93">
        <v>46148</v>
      </c>
      <c r="E80" s="93">
        <v>46148</v>
      </c>
      <c r="F80" s="102" t="s">
        <v>1490</v>
      </c>
      <c r="G80" s="102" t="s">
        <v>1646</v>
      </c>
      <c r="H80" s="102" t="s">
        <v>1480</v>
      </c>
      <c r="I80">
        <v>245</v>
      </c>
      <c r="J80">
        <v>89</v>
      </c>
      <c r="K80">
        <v>89</v>
      </c>
      <c r="L80">
        <v>245</v>
      </c>
      <c r="M80" s="102" t="s">
        <v>1099</v>
      </c>
      <c r="N80" s="102" t="s">
        <v>1481</v>
      </c>
      <c r="O80" s="93">
        <v>46122</v>
      </c>
    </row>
    <row r="81" spans="1:15" x14ac:dyDescent="0.3">
      <c r="A81" s="102" t="s">
        <v>1643</v>
      </c>
      <c r="B81" t="s">
        <v>1644</v>
      </c>
      <c r="C81" s="93">
        <v>46060</v>
      </c>
      <c r="D81" s="93">
        <v>46060</v>
      </c>
      <c r="E81" s="93">
        <v>46060</v>
      </c>
      <c r="F81" s="102" t="s">
        <v>1490</v>
      </c>
      <c r="G81" s="102" t="s">
        <v>1495</v>
      </c>
      <c r="H81" s="102" t="s">
        <v>1480</v>
      </c>
      <c r="I81">
        <v>3867.18</v>
      </c>
      <c r="J81">
        <v>293.35000000000002</v>
      </c>
      <c r="K81">
        <v>293.34800000000001</v>
      </c>
      <c r="L81">
        <v>3867.18</v>
      </c>
      <c r="M81" s="102" t="s">
        <v>1099</v>
      </c>
      <c r="N81" s="102" t="s">
        <v>1481</v>
      </c>
      <c r="O81" s="93">
        <v>46030</v>
      </c>
    </row>
    <row r="82" spans="1:15" x14ac:dyDescent="0.3">
      <c r="A82" s="102" t="s">
        <v>1643</v>
      </c>
      <c r="B82" t="s">
        <v>1644</v>
      </c>
      <c r="C82" s="93">
        <v>46149</v>
      </c>
      <c r="D82" s="93">
        <v>46148</v>
      </c>
      <c r="E82" s="93">
        <v>46148</v>
      </c>
      <c r="F82" s="102" t="s">
        <v>1490</v>
      </c>
      <c r="G82" s="102" t="s">
        <v>1645</v>
      </c>
      <c r="H82" s="102" t="s">
        <v>1480</v>
      </c>
      <c r="I82">
        <v>502.42</v>
      </c>
      <c r="J82">
        <v>89</v>
      </c>
      <c r="K82">
        <v>89</v>
      </c>
      <c r="L82">
        <v>502.42</v>
      </c>
      <c r="M82" s="102" t="s">
        <v>1099</v>
      </c>
      <c r="N82" s="102" t="s">
        <v>1481</v>
      </c>
      <c r="O82" s="93">
        <v>46102</v>
      </c>
    </row>
    <row r="83" spans="1:15" x14ac:dyDescent="0.3">
      <c r="A83" s="102" t="s">
        <v>1647</v>
      </c>
      <c r="B83" t="s">
        <v>1163</v>
      </c>
      <c r="C83" s="93">
        <v>46100</v>
      </c>
      <c r="D83" s="93">
        <v>46100</v>
      </c>
      <c r="E83" s="93">
        <v>46100</v>
      </c>
      <c r="F83" s="102" t="s">
        <v>1602</v>
      </c>
      <c r="G83" s="102" t="s">
        <v>1608</v>
      </c>
      <c r="H83" s="102" t="s">
        <v>1480</v>
      </c>
      <c r="I83">
        <v>1674.5</v>
      </c>
      <c r="J83">
        <v>60</v>
      </c>
      <c r="K83">
        <v>60</v>
      </c>
      <c r="L83">
        <v>1674.5</v>
      </c>
      <c r="M83" s="102" t="s">
        <v>1099</v>
      </c>
      <c r="N83" s="102" t="s">
        <v>1481</v>
      </c>
      <c r="O83" s="93">
        <v>46100</v>
      </c>
    </row>
    <row r="84" spans="1:15" x14ac:dyDescent="0.3">
      <c r="A84" s="102" t="s">
        <v>1647</v>
      </c>
      <c r="B84" t="s">
        <v>1163</v>
      </c>
      <c r="C84" s="93">
        <v>46180</v>
      </c>
      <c r="D84" s="93">
        <v>46180</v>
      </c>
      <c r="E84" s="93">
        <v>46180</v>
      </c>
      <c r="F84" s="102" t="s">
        <v>1490</v>
      </c>
      <c r="G84" s="102" t="s">
        <v>1648</v>
      </c>
      <c r="H84" s="102" t="s">
        <v>1480</v>
      </c>
      <c r="I84">
        <v>311.33</v>
      </c>
      <c r="J84">
        <v>86</v>
      </c>
      <c r="K84">
        <v>86</v>
      </c>
      <c r="L84">
        <v>311.33</v>
      </c>
      <c r="M84" s="102" t="s">
        <v>1099</v>
      </c>
      <c r="N84" s="102" t="s">
        <v>1481</v>
      </c>
      <c r="O84" s="93">
        <v>46141</v>
      </c>
    </row>
    <row r="85" spans="1:15" x14ac:dyDescent="0.3">
      <c r="A85" s="102" t="s">
        <v>1647</v>
      </c>
      <c r="B85" t="s">
        <v>1163</v>
      </c>
      <c r="C85" s="93">
        <v>46134</v>
      </c>
      <c r="D85" s="93">
        <v>46134</v>
      </c>
      <c r="E85" s="93">
        <v>46134</v>
      </c>
      <c r="F85" s="102" t="s">
        <v>1650</v>
      </c>
      <c r="G85" s="102" t="s">
        <v>1651</v>
      </c>
      <c r="H85" s="102" t="s">
        <v>1480</v>
      </c>
      <c r="I85">
        <v>106.28</v>
      </c>
      <c r="J85">
        <v>106.28</v>
      </c>
      <c r="K85">
        <v>106.28</v>
      </c>
      <c r="L85">
        <v>106.28</v>
      </c>
      <c r="M85" s="102" t="s">
        <v>1099</v>
      </c>
      <c r="N85" s="102" t="s">
        <v>1481</v>
      </c>
      <c r="O85" s="93">
        <v>46134</v>
      </c>
    </row>
    <row r="86" spans="1:15" x14ac:dyDescent="0.3">
      <c r="A86" s="102" t="s">
        <v>1647</v>
      </c>
      <c r="B86" t="s">
        <v>1163</v>
      </c>
      <c r="C86" s="93">
        <v>46066</v>
      </c>
      <c r="D86" s="93">
        <v>46066</v>
      </c>
      <c r="E86" s="93">
        <v>46066</v>
      </c>
      <c r="F86" s="102" t="s">
        <v>1600</v>
      </c>
      <c r="G86" s="102" t="s">
        <v>1601</v>
      </c>
      <c r="H86" s="102" t="s">
        <v>1480</v>
      </c>
      <c r="I86">
        <v>2915.75</v>
      </c>
      <c r="J86">
        <v>82.5</v>
      </c>
      <c r="K86">
        <v>82.5</v>
      </c>
      <c r="L86">
        <v>2915.75</v>
      </c>
      <c r="M86" s="102" t="s">
        <v>1099</v>
      </c>
      <c r="N86" s="102" t="s">
        <v>1481</v>
      </c>
      <c r="O86" s="93">
        <v>46066</v>
      </c>
    </row>
    <row r="87" spans="1:15" x14ac:dyDescent="0.3">
      <c r="A87" s="102" t="s">
        <v>1647</v>
      </c>
      <c r="B87" t="s">
        <v>1163</v>
      </c>
      <c r="C87" s="93">
        <v>46149</v>
      </c>
      <c r="D87" s="93">
        <v>46148</v>
      </c>
      <c r="E87" s="93">
        <v>46148</v>
      </c>
      <c r="F87" s="102" t="s">
        <v>1490</v>
      </c>
      <c r="G87" s="102" t="s">
        <v>1645</v>
      </c>
      <c r="H87" s="102" t="s">
        <v>1480</v>
      </c>
      <c r="I87">
        <v>502.42</v>
      </c>
      <c r="J87">
        <v>87.49</v>
      </c>
      <c r="K87">
        <v>87.49</v>
      </c>
      <c r="L87">
        <v>502.42</v>
      </c>
      <c r="M87" s="102" t="s">
        <v>1099</v>
      </c>
      <c r="N87" s="102" t="s">
        <v>1481</v>
      </c>
      <c r="O87" s="93">
        <v>46102</v>
      </c>
    </row>
    <row r="88" spans="1:15" x14ac:dyDescent="0.3">
      <c r="A88" s="102" t="s">
        <v>1647</v>
      </c>
      <c r="B88" t="s">
        <v>1163</v>
      </c>
      <c r="C88" s="93">
        <v>46149</v>
      </c>
      <c r="D88" s="93">
        <v>46148</v>
      </c>
      <c r="E88" s="93">
        <v>46148</v>
      </c>
      <c r="F88" s="102" t="s">
        <v>1490</v>
      </c>
      <c r="G88" s="102" t="s">
        <v>1649</v>
      </c>
      <c r="H88" s="102" t="s">
        <v>1480</v>
      </c>
      <c r="I88">
        <v>202.46</v>
      </c>
      <c r="J88">
        <v>34</v>
      </c>
      <c r="K88">
        <v>34</v>
      </c>
      <c r="L88">
        <v>202.46</v>
      </c>
      <c r="M88" s="102" t="s">
        <v>1099</v>
      </c>
      <c r="N88" s="102" t="s">
        <v>1481</v>
      </c>
      <c r="O88" s="93">
        <v>46107</v>
      </c>
    </row>
    <row r="89" spans="1:15" x14ac:dyDescent="0.3">
      <c r="A89" s="102" t="s">
        <v>1647</v>
      </c>
      <c r="B89" t="s">
        <v>1163</v>
      </c>
      <c r="C89" s="93">
        <v>46210</v>
      </c>
      <c r="D89" s="93"/>
      <c r="E89" s="93"/>
      <c r="F89" s="102" t="s">
        <v>1490</v>
      </c>
      <c r="G89" s="102" t="s">
        <v>1586</v>
      </c>
      <c r="H89" s="102" t="s">
        <v>1480</v>
      </c>
      <c r="I89">
        <v>647</v>
      </c>
      <c r="J89">
        <v>323</v>
      </c>
      <c r="K89">
        <v>323</v>
      </c>
      <c r="L89">
        <v>0</v>
      </c>
      <c r="M89" s="102" t="s">
        <v>1099</v>
      </c>
      <c r="N89" s="102" t="s">
        <v>1481</v>
      </c>
      <c r="O89" s="93">
        <v>46171</v>
      </c>
    </row>
    <row r="90" spans="1:15" x14ac:dyDescent="0.3">
      <c r="A90" s="102" t="s">
        <v>1652</v>
      </c>
      <c r="B90" t="s">
        <v>1653</v>
      </c>
      <c r="C90" s="93">
        <v>46210</v>
      </c>
      <c r="D90" s="93"/>
      <c r="E90" s="93"/>
      <c r="F90" s="102" t="s">
        <v>1490</v>
      </c>
      <c r="G90" s="102" t="s">
        <v>1655</v>
      </c>
      <c r="H90" s="102" t="s">
        <v>1480</v>
      </c>
      <c r="I90">
        <v>975.2</v>
      </c>
      <c r="J90">
        <v>420</v>
      </c>
      <c r="K90">
        <v>420</v>
      </c>
      <c r="L90">
        <v>0</v>
      </c>
      <c r="M90" s="102" t="s">
        <v>1099</v>
      </c>
      <c r="N90" s="102" t="s">
        <v>1481</v>
      </c>
      <c r="O90" s="93">
        <v>46192</v>
      </c>
    </row>
    <row r="91" spans="1:15" x14ac:dyDescent="0.3">
      <c r="A91" s="102" t="s">
        <v>1652</v>
      </c>
      <c r="B91" t="s">
        <v>1653</v>
      </c>
      <c r="C91" s="93">
        <v>46087</v>
      </c>
      <c r="D91" s="93">
        <v>46087</v>
      </c>
      <c r="E91" s="93">
        <v>46087</v>
      </c>
      <c r="F91" s="102" t="s">
        <v>1600</v>
      </c>
      <c r="G91" s="102" t="s">
        <v>1609</v>
      </c>
      <c r="H91" s="102" t="s">
        <v>1480</v>
      </c>
      <c r="I91">
        <v>254.18</v>
      </c>
      <c r="J91">
        <v>59.4</v>
      </c>
      <c r="K91">
        <v>59.4</v>
      </c>
      <c r="L91">
        <v>254.18</v>
      </c>
      <c r="M91" s="102" t="s">
        <v>1099</v>
      </c>
      <c r="N91" s="102" t="s">
        <v>1481</v>
      </c>
      <c r="O91" s="93">
        <v>46087</v>
      </c>
    </row>
    <row r="92" spans="1:15" x14ac:dyDescent="0.3">
      <c r="A92" s="102" t="s">
        <v>1652</v>
      </c>
      <c r="B92" t="s">
        <v>1653</v>
      </c>
      <c r="C92" s="93">
        <v>46119</v>
      </c>
      <c r="D92" s="93">
        <v>46119</v>
      </c>
      <c r="E92" s="93">
        <v>46119</v>
      </c>
      <c r="F92" s="102" t="s">
        <v>1490</v>
      </c>
      <c r="G92" s="102" t="s">
        <v>1654</v>
      </c>
      <c r="H92" s="102" t="s">
        <v>1480</v>
      </c>
      <c r="I92">
        <v>323</v>
      </c>
      <c r="J92">
        <v>323</v>
      </c>
      <c r="K92">
        <v>323</v>
      </c>
      <c r="L92">
        <v>323</v>
      </c>
      <c r="M92" s="102" t="s">
        <v>1099</v>
      </c>
      <c r="N92" s="102" t="s">
        <v>1481</v>
      </c>
      <c r="O92" s="93">
        <v>46087</v>
      </c>
    </row>
    <row r="93" spans="1:15" x14ac:dyDescent="0.3">
      <c r="A93" s="102" t="s">
        <v>1652</v>
      </c>
      <c r="B93" t="s">
        <v>1653</v>
      </c>
      <c r="C93" s="93">
        <v>46206</v>
      </c>
      <c r="D93" s="93">
        <v>46206</v>
      </c>
      <c r="E93" s="93">
        <v>46206</v>
      </c>
      <c r="F93" s="102" t="s">
        <v>2323</v>
      </c>
      <c r="G93" s="102" t="s">
        <v>1568</v>
      </c>
      <c r="H93" s="102" t="s">
        <v>1480</v>
      </c>
      <c r="I93">
        <v>3820</v>
      </c>
      <c r="J93">
        <v>3820</v>
      </c>
      <c r="K93">
        <v>3820</v>
      </c>
      <c r="L93">
        <v>3820</v>
      </c>
      <c r="M93" s="102" t="s">
        <v>1099</v>
      </c>
      <c r="N93" s="102" t="s">
        <v>1481</v>
      </c>
      <c r="O93" s="93">
        <v>46206</v>
      </c>
    </row>
    <row r="94" spans="1:15" x14ac:dyDescent="0.3">
      <c r="A94" s="102" t="s">
        <v>1656</v>
      </c>
      <c r="B94" t="s">
        <v>1657</v>
      </c>
      <c r="C94" s="93">
        <v>46243</v>
      </c>
      <c r="D94" s="93"/>
      <c r="E94" s="93"/>
      <c r="F94" s="102" t="s">
        <v>1658</v>
      </c>
      <c r="G94" s="102" t="s">
        <v>1659</v>
      </c>
      <c r="H94" s="102" t="s">
        <v>1626</v>
      </c>
      <c r="I94">
        <v>5000</v>
      </c>
      <c r="J94">
        <v>3461.54</v>
      </c>
      <c r="K94">
        <v>3461.538</v>
      </c>
      <c r="L94">
        <v>0</v>
      </c>
      <c r="M94" s="102" t="s">
        <v>1099</v>
      </c>
      <c r="N94" s="102" t="s">
        <v>1481</v>
      </c>
      <c r="O94" s="93">
        <v>46182</v>
      </c>
    </row>
    <row r="95" spans="1:15" x14ac:dyDescent="0.3">
      <c r="A95" s="102" t="s">
        <v>1656</v>
      </c>
      <c r="B95" t="s">
        <v>1657</v>
      </c>
      <c r="C95" s="93">
        <v>46078</v>
      </c>
      <c r="D95" s="93">
        <v>46074</v>
      </c>
      <c r="E95" s="93">
        <v>46074</v>
      </c>
      <c r="F95" s="102" t="s">
        <v>1579</v>
      </c>
      <c r="G95" s="102" t="s">
        <v>1660</v>
      </c>
      <c r="H95" s="102" t="s">
        <v>1480</v>
      </c>
      <c r="I95">
        <v>3425.95</v>
      </c>
      <c r="J95">
        <v>425.08</v>
      </c>
      <c r="K95">
        <v>425.08100000000002</v>
      </c>
      <c r="L95">
        <v>3425.95</v>
      </c>
      <c r="M95" s="102" t="s">
        <v>1099</v>
      </c>
      <c r="N95" s="102" t="s">
        <v>1481</v>
      </c>
      <c r="O95" s="93">
        <v>46046</v>
      </c>
    </row>
    <row r="96" spans="1:15" x14ac:dyDescent="0.3">
      <c r="A96" s="102" t="s">
        <v>1656</v>
      </c>
      <c r="B96" t="s">
        <v>1657</v>
      </c>
      <c r="C96" s="93">
        <v>46241</v>
      </c>
      <c r="F96" s="102" t="s">
        <v>1490</v>
      </c>
      <c r="G96" s="102" t="s">
        <v>1661</v>
      </c>
      <c r="H96" s="102" t="s">
        <v>1480</v>
      </c>
      <c r="I96">
        <v>15254.82</v>
      </c>
      <c r="J96">
        <v>4831.51</v>
      </c>
      <c r="K96">
        <v>4831.51</v>
      </c>
      <c r="L96">
        <v>0</v>
      </c>
      <c r="M96" s="102" t="s">
        <v>1099</v>
      </c>
      <c r="N96" s="102" t="s">
        <v>1481</v>
      </c>
      <c r="O96" s="93">
        <v>46195</v>
      </c>
    </row>
    <row r="97" spans="1:15" x14ac:dyDescent="0.3">
      <c r="A97" s="102" t="s">
        <v>1656</v>
      </c>
      <c r="B97" t="s">
        <v>1657</v>
      </c>
      <c r="C97" s="93">
        <v>46210</v>
      </c>
      <c r="D97" s="93"/>
      <c r="E97" s="93"/>
      <c r="F97" s="102" t="s">
        <v>1490</v>
      </c>
      <c r="G97" s="102" t="s">
        <v>1663</v>
      </c>
      <c r="H97" s="102" t="s">
        <v>1480</v>
      </c>
      <c r="I97">
        <v>220.89</v>
      </c>
      <c r="J97">
        <v>86.35</v>
      </c>
      <c r="K97">
        <v>86.35</v>
      </c>
      <c r="L97">
        <v>0</v>
      </c>
      <c r="M97" s="102" t="s">
        <v>1099</v>
      </c>
      <c r="N97" s="102" t="s">
        <v>1481</v>
      </c>
      <c r="O97" s="93">
        <v>46183</v>
      </c>
    </row>
    <row r="98" spans="1:15" x14ac:dyDescent="0.3">
      <c r="A98" s="102" t="s">
        <v>1656</v>
      </c>
      <c r="B98" t="s">
        <v>1657</v>
      </c>
      <c r="C98" s="93">
        <v>46210</v>
      </c>
      <c r="D98" s="93"/>
      <c r="E98" s="93"/>
      <c r="F98" s="102" t="s">
        <v>1490</v>
      </c>
      <c r="G98" s="102" t="s">
        <v>1583</v>
      </c>
      <c r="H98" s="102" t="s">
        <v>1480</v>
      </c>
      <c r="I98">
        <v>285.94</v>
      </c>
      <c r="J98">
        <v>67.25</v>
      </c>
      <c r="K98">
        <v>67.25</v>
      </c>
      <c r="L98">
        <v>0</v>
      </c>
      <c r="M98" s="102" t="s">
        <v>1099</v>
      </c>
      <c r="N98" s="102" t="s">
        <v>1481</v>
      </c>
      <c r="O98" s="93">
        <v>46164</v>
      </c>
    </row>
    <row r="99" spans="1:15" x14ac:dyDescent="0.3">
      <c r="A99" s="102" t="s">
        <v>1656</v>
      </c>
      <c r="B99" t="s">
        <v>1657</v>
      </c>
      <c r="C99" s="93">
        <v>46241</v>
      </c>
      <c r="F99" s="102" t="s">
        <v>1490</v>
      </c>
      <c r="G99" s="102" t="s">
        <v>1662</v>
      </c>
      <c r="H99" s="102" t="s">
        <v>1480</v>
      </c>
      <c r="I99">
        <v>1539</v>
      </c>
      <c r="J99">
        <v>1539</v>
      </c>
      <c r="K99">
        <v>1539</v>
      </c>
      <c r="L99">
        <v>0</v>
      </c>
      <c r="M99" s="102" t="s">
        <v>1099</v>
      </c>
      <c r="N99" s="102" t="s">
        <v>1481</v>
      </c>
      <c r="O99" s="93">
        <v>46195</v>
      </c>
    </row>
    <row r="100" spans="1:15" x14ac:dyDescent="0.3">
      <c r="A100" s="102" t="s">
        <v>1656</v>
      </c>
      <c r="B100" t="s">
        <v>1657</v>
      </c>
      <c r="C100" s="93">
        <v>46212</v>
      </c>
      <c r="D100" s="93">
        <v>46200</v>
      </c>
      <c r="E100" s="93">
        <v>46200</v>
      </c>
      <c r="F100" s="102" t="s">
        <v>1658</v>
      </c>
      <c r="G100" s="102" t="s">
        <v>1659</v>
      </c>
      <c r="H100" s="102" t="s">
        <v>1630</v>
      </c>
      <c r="I100">
        <v>5000</v>
      </c>
      <c r="J100">
        <v>3461.54</v>
      </c>
      <c r="K100">
        <v>3461.538</v>
      </c>
      <c r="L100">
        <v>5000</v>
      </c>
      <c r="M100" s="102" t="s">
        <v>1099</v>
      </c>
      <c r="N100" s="102" t="s">
        <v>1481</v>
      </c>
      <c r="O100" s="93">
        <v>46182</v>
      </c>
    </row>
    <row r="101" spans="1:15" x14ac:dyDescent="0.3">
      <c r="A101" s="102" t="s">
        <v>1656</v>
      </c>
      <c r="B101" t="s">
        <v>1657</v>
      </c>
      <c r="C101" s="93">
        <v>46101</v>
      </c>
      <c r="D101" s="93">
        <v>46101</v>
      </c>
      <c r="E101" s="93">
        <v>46101</v>
      </c>
      <c r="F101" s="102" t="s">
        <v>1658</v>
      </c>
      <c r="G101" s="102" t="s">
        <v>1659</v>
      </c>
      <c r="H101" s="102" t="s">
        <v>1629</v>
      </c>
      <c r="I101">
        <v>3000</v>
      </c>
      <c r="J101">
        <v>2076.92</v>
      </c>
      <c r="K101">
        <v>2076.9229999999998</v>
      </c>
      <c r="L101">
        <v>3000</v>
      </c>
      <c r="M101" s="102" t="s">
        <v>1099</v>
      </c>
      <c r="N101" s="102" t="s">
        <v>1481</v>
      </c>
      <c r="O101" s="93">
        <v>46182</v>
      </c>
    </row>
    <row r="102" spans="1:15" x14ac:dyDescent="0.3">
      <c r="A102" s="102" t="s">
        <v>1656</v>
      </c>
      <c r="B102" t="s">
        <v>1657</v>
      </c>
      <c r="C102" s="93">
        <v>46241</v>
      </c>
      <c r="D102" s="93"/>
      <c r="E102" s="93"/>
      <c r="F102" s="102" t="s">
        <v>1490</v>
      </c>
      <c r="G102" s="102" t="s">
        <v>1664</v>
      </c>
      <c r="H102" s="102" t="s">
        <v>1480</v>
      </c>
      <c r="I102">
        <v>121</v>
      </c>
      <c r="J102">
        <v>121</v>
      </c>
      <c r="K102">
        <v>121</v>
      </c>
      <c r="L102">
        <v>0</v>
      </c>
      <c r="M102" s="102" t="s">
        <v>1099</v>
      </c>
      <c r="N102" s="102" t="s">
        <v>1481</v>
      </c>
      <c r="O102" s="93">
        <v>46197</v>
      </c>
    </row>
    <row r="103" spans="1:15" x14ac:dyDescent="0.3">
      <c r="A103" s="102" t="s">
        <v>1498</v>
      </c>
      <c r="B103" t="s">
        <v>1499</v>
      </c>
      <c r="C103" s="93">
        <v>46111</v>
      </c>
      <c r="D103" s="93">
        <v>46107</v>
      </c>
      <c r="E103" s="93">
        <v>46107</v>
      </c>
      <c r="F103" s="102" t="s">
        <v>1490</v>
      </c>
      <c r="G103" s="102" t="s">
        <v>1665</v>
      </c>
      <c r="H103" s="102" t="s">
        <v>1480</v>
      </c>
      <c r="I103">
        <v>21105.31</v>
      </c>
      <c r="J103">
        <v>10429.200000000001</v>
      </c>
      <c r="K103">
        <v>10429.195</v>
      </c>
      <c r="L103">
        <v>21105.31</v>
      </c>
      <c r="M103" s="102" t="s">
        <v>1099</v>
      </c>
      <c r="N103" s="102" t="s">
        <v>1481</v>
      </c>
      <c r="O103" s="93">
        <v>46037</v>
      </c>
    </row>
    <row r="104" spans="1:15" x14ac:dyDescent="0.3">
      <c r="A104" s="102" t="s">
        <v>1666</v>
      </c>
      <c r="B104" t="s">
        <v>1667</v>
      </c>
      <c r="C104" s="93">
        <v>46111</v>
      </c>
      <c r="D104" s="93">
        <v>46107</v>
      </c>
      <c r="E104" s="93">
        <v>46107</v>
      </c>
      <c r="F104" s="102" t="s">
        <v>1490</v>
      </c>
      <c r="G104" s="102" t="s">
        <v>1665</v>
      </c>
      <c r="H104" s="102" t="s">
        <v>1480</v>
      </c>
      <c r="I104">
        <v>21105.31</v>
      </c>
      <c r="J104">
        <v>10676.11</v>
      </c>
      <c r="K104">
        <v>10676.115</v>
      </c>
      <c r="L104">
        <v>21105.31</v>
      </c>
      <c r="M104" s="102" t="s">
        <v>1099</v>
      </c>
      <c r="N104" s="102" t="s">
        <v>1481</v>
      </c>
      <c r="O104" s="93">
        <v>46037</v>
      </c>
    </row>
    <row r="105" spans="1:15" x14ac:dyDescent="0.3">
      <c r="A105" s="102" t="s">
        <v>1668</v>
      </c>
      <c r="B105" t="s">
        <v>1669</v>
      </c>
      <c r="C105" s="93">
        <v>46149</v>
      </c>
      <c r="D105" s="93">
        <v>46167</v>
      </c>
      <c r="E105" s="93">
        <v>46167</v>
      </c>
      <c r="F105" s="102" t="s">
        <v>1490</v>
      </c>
      <c r="G105" s="102" t="s">
        <v>1670</v>
      </c>
      <c r="H105" s="102" t="s">
        <v>1480</v>
      </c>
      <c r="I105">
        <v>588</v>
      </c>
      <c r="J105">
        <v>589.66999999999996</v>
      </c>
      <c r="K105">
        <v>589.66999999999996</v>
      </c>
      <c r="L105">
        <v>589.66999999999996</v>
      </c>
      <c r="M105" s="102" t="s">
        <v>1099</v>
      </c>
      <c r="N105" s="102" t="s">
        <v>1481</v>
      </c>
      <c r="O105" s="93">
        <v>46132</v>
      </c>
    </row>
    <row r="106" spans="1:15" x14ac:dyDescent="0.3">
      <c r="A106" s="102" t="s">
        <v>1671</v>
      </c>
      <c r="B106" t="s">
        <v>1672</v>
      </c>
      <c r="C106" s="93">
        <v>46038</v>
      </c>
      <c r="D106" s="93">
        <v>46038</v>
      </c>
      <c r="E106" s="93">
        <v>46038</v>
      </c>
      <c r="F106" s="102" t="s">
        <v>1673</v>
      </c>
      <c r="G106" s="102" t="s">
        <v>1674</v>
      </c>
      <c r="H106" s="102" t="s">
        <v>1480</v>
      </c>
      <c r="I106">
        <v>4795</v>
      </c>
      <c r="J106">
        <v>4795</v>
      </c>
      <c r="K106">
        <v>4795</v>
      </c>
      <c r="L106">
        <v>4795</v>
      </c>
      <c r="M106" s="102" t="s">
        <v>1099</v>
      </c>
      <c r="N106" s="102" t="s">
        <v>1481</v>
      </c>
      <c r="O106" s="93">
        <v>46043</v>
      </c>
    </row>
    <row r="107" spans="1:15" x14ac:dyDescent="0.3">
      <c r="A107" s="102" t="s">
        <v>1675</v>
      </c>
      <c r="B107" t="s">
        <v>1676</v>
      </c>
      <c r="C107" s="93">
        <v>46111</v>
      </c>
      <c r="D107" s="93">
        <v>46107</v>
      </c>
      <c r="E107" s="93">
        <v>46107</v>
      </c>
      <c r="F107" s="102" t="s">
        <v>1490</v>
      </c>
      <c r="G107" s="102" t="s">
        <v>1677</v>
      </c>
      <c r="H107" s="102" t="s">
        <v>1480</v>
      </c>
      <c r="I107">
        <v>1211.0999999999999</v>
      </c>
      <c r="J107">
        <v>1211.0999999999999</v>
      </c>
      <c r="K107">
        <v>1211.0999999999999</v>
      </c>
      <c r="L107">
        <v>1211.0999999999999</v>
      </c>
      <c r="M107" s="102" t="s">
        <v>1099</v>
      </c>
      <c r="N107" s="102" t="s">
        <v>1481</v>
      </c>
      <c r="O107" s="93">
        <v>46037</v>
      </c>
    </row>
    <row r="108" spans="1:15" x14ac:dyDescent="0.3">
      <c r="A108" s="102" t="s">
        <v>1678</v>
      </c>
      <c r="B108" t="s">
        <v>1163</v>
      </c>
      <c r="C108" s="93">
        <v>46180</v>
      </c>
      <c r="D108" s="93">
        <v>46180</v>
      </c>
      <c r="E108" s="93">
        <v>46180</v>
      </c>
      <c r="F108" s="102" t="s">
        <v>1490</v>
      </c>
      <c r="G108" s="102" t="s">
        <v>1585</v>
      </c>
      <c r="H108" s="102" t="s">
        <v>1480</v>
      </c>
      <c r="I108">
        <v>1403.41</v>
      </c>
      <c r="J108">
        <v>54</v>
      </c>
      <c r="K108">
        <v>54</v>
      </c>
      <c r="L108">
        <v>1403.41</v>
      </c>
      <c r="M108" s="102" t="s">
        <v>1099</v>
      </c>
      <c r="N108" s="102" t="s">
        <v>1481</v>
      </c>
      <c r="O108" s="93">
        <v>46162</v>
      </c>
    </row>
    <row r="109" spans="1:15" x14ac:dyDescent="0.3">
      <c r="A109" s="102" t="s">
        <v>1678</v>
      </c>
      <c r="B109" t="s">
        <v>1163</v>
      </c>
      <c r="C109" s="93">
        <v>46210</v>
      </c>
      <c r="F109" s="102" t="s">
        <v>1490</v>
      </c>
      <c r="G109" s="102" t="s">
        <v>1581</v>
      </c>
      <c r="H109" s="102" t="s">
        <v>1480</v>
      </c>
      <c r="I109">
        <v>546.97</v>
      </c>
      <c r="J109">
        <v>88.71</v>
      </c>
      <c r="K109">
        <v>88.71</v>
      </c>
      <c r="L109">
        <v>0</v>
      </c>
      <c r="M109" s="102" t="s">
        <v>1099</v>
      </c>
      <c r="N109" s="102" t="s">
        <v>1481</v>
      </c>
      <c r="O109" s="93">
        <v>46176</v>
      </c>
    </row>
    <row r="110" spans="1:15" x14ac:dyDescent="0.3">
      <c r="A110" s="102" t="s">
        <v>1679</v>
      </c>
      <c r="B110" t="s">
        <v>1653</v>
      </c>
      <c r="C110" s="93">
        <v>46210</v>
      </c>
      <c r="F110" s="102" t="s">
        <v>1490</v>
      </c>
      <c r="G110" s="102" t="s">
        <v>1681</v>
      </c>
      <c r="H110" s="102" t="s">
        <v>1480</v>
      </c>
      <c r="I110">
        <v>4138</v>
      </c>
      <c r="J110">
        <v>4138</v>
      </c>
      <c r="K110">
        <v>4138</v>
      </c>
      <c r="L110">
        <v>0</v>
      </c>
      <c r="M110" s="102" t="s">
        <v>1099</v>
      </c>
      <c r="N110" s="102" t="s">
        <v>1481</v>
      </c>
      <c r="O110" s="93">
        <v>46182</v>
      </c>
    </row>
    <row r="111" spans="1:15" x14ac:dyDescent="0.3">
      <c r="A111" s="102" t="s">
        <v>1679</v>
      </c>
      <c r="B111" t="s">
        <v>1653</v>
      </c>
      <c r="C111" s="93">
        <v>46210</v>
      </c>
      <c r="D111" s="93"/>
      <c r="E111" s="93"/>
      <c r="F111" s="102" t="s">
        <v>1490</v>
      </c>
      <c r="G111" s="102" t="s">
        <v>1680</v>
      </c>
      <c r="H111" s="102" t="s">
        <v>1480</v>
      </c>
      <c r="I111">
        <v>4138</v>
      </c>
      <c r="J111">
        <v>4138</v>
      </c>
      <c r="K111">
        <v>4138</v>
      </c>
      <c r="L111">
        <v>0</v>
      </c>
      <c r="M111" s="102" t="s">
        <v>1099</v>
      </c>
      <c r="N111" s="102" t="s">
        <v>1481</v>
      </c>
      <c r="O111" s="93">
        <v>46174</v>
      </c>
    </row>
    <row r="112" spans="1:15" x14ac:dyDescent="0.3">
      <c r="A112" s="102" t="s">
        <v>1496</v>
      </c>
      <c r="B112" t="s">
        <v>1682</v>
      </c>
      <c r="C112" s="93">
        <v>46208</v>
      </c>
      <c r="D112" s="93"/>
      <c r="E112" s="93"/>
      <c r="F112" s="102" t="s">
        <v>1683</v>
      </c>
      <c r="G112" s="102" t="s">
        <v>2324</v>
      </c>
      <c r="H112" s="102" t="s">
        <v>1629</v>
      </c>
      <c r="I112">
        <v>2654.02</v>
      </c>
      <c r="J112">
        <v>2597.4299999999998</v>
      </c>
      <c r="K112">
        <v>2597.431</v>
      </c>
      <c r="L112">
        <v>0</v>
      </c>
      <c r="M112" s="102" t="s">
        <v>1099</v>
      </c>
      <c r="N112" s="102" t="s">
        <v>1481</v>
      </c>
      <c r="O112" s="93">
        <v>46204</v>
      </c>
    </row>
    <row r="113" spans="1:15" x14ac:dyDescent="0.3">
      <c r="A113" s="102" t="s">
        <v>1496</v>
      </c>
      <c r="B113" t="s">
        <v>1682</v>
      </c>
      <c r="C113" s="93">
        <v>46117</v>
      </c>
      <c r="D113" s="93">
        <v>46117</v>
      </c>
      <c r="E113" s="93">
        <v>46117</v>
      </c>
      <c r="F113" s="102" t="s">
        <v>1694</v>
      </c>
      <c r="G113" s="102" t="s">
        <v>1687</v>
      </c>
      <c r="H113" s="102" t="s">
        <v>1480</v>
      </c>
      <c r="I113">
        <v>1621</v>
      </c>
      <c r="J113">
        <v>1621</v>
      </c>
      <c r="K113">
        <v>1621</v>
      </c>
      <c r="L113">
        <v>1621</v>
      </c>
      <c r="M113" s="102" t="s">
        <v>1099</v>
      </c>
      <c r="N113" s="102" t="s">
        <v>1481</v>
      </c>
      <c r="O113" s="93">
        <v>46113</v>
      </c>
    </row>
    <row r="114" spans="1:15" x14ac:dyDescent="0.3">
      <c r="A114" s="102" t="s">
        <v>1496</v>
      </c>
      <c r="B114" t="s">
        <v>1682</v>
      </c>
      <c r="C114" s="93">
        <v>46086</v>
      </c>
      <c r="D114" s="93">
        <v>46086</v>
      </c>
      <c r="E114" s="93">
        <v>46086</v>
      </c>
      <c r="F114" s="102" t="s">
        <v>1694</v>
      </c>
      <c r="G114" s="102" t="s">
        <v>1692</v>
      </c>
      <c r="H114" s="102" t="s">
        <v>1480</v>
      </c>
      <c r="I114">
        <v>1621</v>
      </c>
      <c r="J114">
        <v>1621</v>
      </c>
      <c r="K114">
        <v>1621</v>
      </c>
      <c r="L114">
        <v>1621</v>
      </c>
      <c r="M114" s="102" t="s">
        <v>1099</v>
      </c>
      <c r="N114" s="102" t="s">
        <v>1481</v>
      </c>
      <c r="O114" s="93">
        <v>46082</v>
      </c>
    </row>
    <row r="115" spans="1:15" x14ac:dyDescent="0.3">
      <c r="A115" s="102" t="s">
        <v>1496</v>
      </c>
      <c r="B115" t="s">
        <v>1682</v>
      </c>
      <c r="C115" s="93">
        <v>46147</v>
      </c>
      <c r="D115" s="93">
        <v>46144</v>
      </c>
      <c r="E115" s="93">
        <v>46144</v>
      </c>
      <c r="F115" s="102" t="s">
        <v>126</v>
      </c>
      <c r="G115" s="102" t="s">
        <v>1689</v>
      </c>
      <c r="H115" s="102" t="s">
        <v>1626</v>
      </c>
      <c r="I115">
        <v>2913</v>
      </c>
      <c r="J115">
        <v>2913</v>
      </c>
      <c r="K115">
        <v>2913</v>
      </c>
      <c r="L115">
        <v>2913</v>
      </c>
      <c r="M115" s="102" t="s">
        <v>1099</v>
      </c>
      <c r="N115" s="102" t="s">
        <v>1481</v>
      </c>
      <c r="O115" s="93">
        <v>46143</v>
      </c>
    </row>
    <row r="116" spans="1:15" x14ac:dyDescent="0.3">
      <c r="A116" s="102" t="s">
        <v>1496</v>
      </c>
      <c r="B116" t="s">
        <v>1682</v>
      </c>
      <c r="C116" s="93">
        <v>46086</v>
      </c>
      <c r="D116" s="93">
        <v>46086</v>
      </c>
      <c r="E116" s="93">
        <v>46086</v>
      </c>
      <c r="F116" s="102" t="s">
        <v>126</v>
      </c>
      <c r="G116" s="102" t="s">
        <v>1692</v>
      </c>
      <c r="H116" s="102" t="s">
        <v>1480</v>
      </c>
      <c r="I116">
        <v>2193</v>
      </c>
      <c r="J116">
        <v>2193</v>
      </c>
      <c r="K116">
        <v>2193</v>
      </c>
      <c r="L116">
        <v>2193</v>
      </c>
      <c r="M116" s="102" t="s">
        <v>1099</v>
      </c>
      <c r="N116" s="102" t="s">
        <v>1481</v>
      </c>
      <c r="O116" s="93">
        <v>46082</v>
      </c>
    </row>
    <row r="117" spans="1:15" x14ac:dyDescent="0.3">
      <c r="A117" s="102" t="s">
        <v>1496</v>
      </c>
      <c r="B117" t="s">
        <v>1682</v>
      </c>
      <c r="C117" s="93">
        <v>46208</v>
      </c>
      <c r="D117" s="93">
        <v>46197</v>
      </c>
      <c r="E117" s="93">
        <v>46197</v>
      </c>
      <c r="F117" s="102" t="s">
        <v>133</v>
      </c>
      <c r="G117" s="102" t="s">
        <v>2324</v>
      </c>
      <c r="H117" s="102" t="s">
        <v>1629</v>
      </c>
      <c r="I117">
        <v>1635.99</v>
      </c>
      <c r="J117">
        <v>1635.99</v>
      </c>
      <c r="K117">
        <v>1635.99</v>
      </c>
      <c r="L117">
        <v>1635.99</v>
      </c>
      <c r="M117" s="102" t="s">
        <v>1099</v>
      </c>
      <c r="N117" s="102" t="s">
        <v>1481</v>
      </c>
      <c r="O117" s="93">
        <v>46204</v>
      </c>
    </row>
    <row r="118" spans="1:15" x14ac:dyDescent="0.3">
      <c r="A118" s="102" t="s">
        <v>1496</v>
      </c>
      <c r="B118" t="s">
        <v>1682</v>
      </c>
      <c r="C118" s="93">
        <v>46086</v>
      </c>
      <c r="D118" s="93">
        <v>46086</v>
      </c>
      <c r="E118" s="93">
        <v>46086</v>
      </c>
      <c r="F118" s="102" t="s">
        <v>133</v>
      </c>
      <c r="G118" s="102" t="s">
        <v>1692</v>
      </c>
      <c r="H118" s="102" t="s">
        <v>1480</v>
      </c>
      <c r="I118">
        <v>2927.42</v>
      </c>
      <c r="J118">
        <v>2927.42</v>
      </c>
      <c r="K118">
        <v>2927.42</v>
      </c>
      <c r="L118">
        <v>2927.42</v>
      </c>
      <c r="M118" s="102" t="s">
        <v>1099</v>
      </c>
      <c r="N118" s="102" t="s">
        <v>1481</v>
      </c>
      <c r="O118" s="93">
        <v>46082</v>
      </c>
    </row>
    <row r="119" spans="1:15" x14ac:dyDescent="0.3">
      <c r="A119" s="102" t="s">
        <v>1496</v>
      </c>
      <c r="B119" t="s">
        <v>1682</v>
      </c>
      <c r="C119" s="93">
        <v>46117</v>
      </c>
      <c r="D119" s="93">
        <v>46117</v>
      </c>
      <c r="E119" s="93">
        <v>46117</v>
      </c>
      <c r="F119" s="102" t="s">
        <v>1683</v>
      </c>
      <c r="G119" s="102" t="s">
        <v>1687</v>
      </c>
      <c r="H119" s="102" t="s">
        <v>1688</v>
      </c>
      <c r="I119">
        <v>2254.02</v>
      </c>
      <c r="J119">
        <v>2008.49</v>
      </c>
      <c r="K119">
        <v>2008.4860000000001</v>
      </c>
      <c r="L119">
        <v>2254.02</v>
      </c>
      <c r="M119" s="102" t="s">
        <v>1099</v>
      </c>
      <c r="N119" s="102" t="s">
        <v>1481</v>
      </c>
      <c r="O119" s="93">
        <v>46113</v>
      </c>
    </row>
    <row r="120" spans="1:15" x14ac:dyDescent="0.3">
      <c r="A120" s="102" t="s">
        <v>1496</v>
      </c>
      <c r="B120" t="s">
        <v>1682</v>
      </c>
      <c r="C120" s="93">
        <v>46086</v>
      </c>
      <c r="D120" s="93">
        <v>46086</v>
      </c>
      <c r="E120" s="93">
        <v>46086</v>
      </c>
      <c r="F120" s="102" t="s">
        <v>1685</v>
      </c>
      <c r="G120" s="102" t="s">
        <v>1692</v>
      </c>
      <c r="H120" s="102" t="s">
        <v>1480</v>
      </c>
      <c r="I120">
        <v>2431.5</v>
      </c>
      <c r="J120">
        <v>2431.5</v>
      </c>
      <c r="K120">
        <v>2431.5</v>
      </c>
      <c r="L120">
        <v>2431.5</v>
      </c>
      <c r="M120" s="102" t="s">
        <v>1099</v>
      </c>
      <c r="N120" s="102" t="s">
        <v>1481</v>
      </c>
      <c r="O120" s="93">
        <v>46082</v>
      </c>
    </row>
    <row r="121" spans="1:15" x14ac:dyDescent="0.3">
      <c r="A121" s="102" t="s">
        <v>1496</v>
      </c>
      <c r="B121" t="s">
        <v>1682</v>
      </c>
      <c r="C121" s="93">
        <v>46178</v>
      </c>
      <c r="D121" s="93">
        <v>46178</v>
      </c>
      <c r="E121" s="93">
        <v>46178</v>
      </c>
      <c r="F121" s="102" t="s">
        <v>1683</v>
      </c>
      <c r="G121" s="102" t="s">
        <v>1691</v>
      </c>
      <c r="H121" s="102" t="s">
        <v>1480</v>
      </c>
      <c r="I121">
        <v>2754.02</v>
      </c>
      <c r="J121">
        <v>2754.02</v>
      </c>
      <c r="K121">
        <v>2754.02</v>
      </c>
      <c r="L121">
        <v>2754.02</v>
      </c>
      <c r="M121" s="102" t="s">
        <v>1099</v>
      </c>
      <c r="N121" s="102" t="s">
        <v>1481</v>
      </c>
      <c r="O121" s="93">
        <v>46174</v>
      </c>
    </row>
    <row r="122" spans="1:15" x14ac:dyDescent="0.3">
      <c r="A122" s="102" t="s">
        <v>1496</v>
      </c>
      <c r="B122" t="s">
        <v>1682</v>
      </c>
      <c r="C122" s="93">
        <v>46147</v>
      </c>
      <c r="D122" s="93">
        <v>46144</v>
      </c>
      <c r="E122" s="93">
        <v>46144</v>
      </c>
      <c r="F122" s="102" t="s">
        <v>1683</v>
      </c>
      <c r="G122" s="102" t="s">
        <v>1689</v>
      </c>
      <c r="H122" s="102" t="s">
        <v>1688</v>
      </c>
      <c r="I122">
        <v>2454.02</v>
      </c>
      <c r="J122">
        <v>2454.02</v>
      </c>
      <c r="K122">
        <v>2454.02</v>
      </c>
      <c r="L122">
        <v>2454.02</v>
      </c>
      <c r="M122" s="102" t="s">
        <v>1099</v>
      </c>
      <c r="N122" s="102" t="s">
        <v>1481</v>
      </c>
      <c r="O122" s="93">
        <v>46143</v>
      </c>
    </row>
    <row r="123" spans="1:15" x14ac:dyDescent="0.3">
      <c r="A123" s="102" t="s">
        <v>1496</v>
      </c>
      <c r="B123" t="s">
        <v>1682</v>
      </c>
      <c r="C123" s="93">
        <v>46086</v>
      </c>
      <c r="D123" s="93">
        <v>46086</v>
      </c>
      <c r="E123" s="93">
        <v>46086</v>
      </c>
      <c r="F123" s="102" t="s">
        <v>1683</v>
      </c>
      <c r="G123" s="102" t="s">
        <v>1692</v>
      </c>
      <c r="H123" s="102" t="s">
        <v>1480</v>
      </c>
      <c r="I123">
        <v>2754.02</v>
      </c>
      <c r="J123">
        <v>2754.02</v>
      </c>
      <c r="K123">
        <v>2754.02</v>
      </c>
      <c r="L123">
        <v>2754.02</v>
      </c>
      <c r="M123" s="102" t="s">
        <v>1099</v>
      </c>
      <c r="N123" s="102" t="s">
        <v>1481</v>
      </c>
      <c r="O123" s="93">
        <v>46082</v>
      </c>
    </row>
    <row r="124" spans="1:15" x14ac:dyDescent="0.3">
      <c r="A124" s="102" t="s">
        <v>1496</v>
      </c>
      <c r="B124" t="s">
        <v>1682</v>
      </c>
      <c r="C124" s="93">
        <v>46143</v>
      </c>
      <c r="D124" s="93">
        <v>46134</v>
      </c>
      <c r="E124" s="93">
        <v>46134</v>
      </c>
      <c r="F124" s="102" t="s">
        <v>133</v>
      </c>
      <c r="G124" s="102" t="s">
        <v>1689</v>
      </c>
      <c r="H124" s="102" t="s">
        <v>1697</v>
      </c>
      <c r="I124">
        <v>100</v>
      </c>
      <c r="J124">
        <v>100</v>
      </c>
      <c r="K124">
        <v>100</v>
      </c>
      <c r="L124">
        <v>100</v>
      </c>
      <c r="M124" s="102" t="s">
        <v>1099</v>
      </c>
      <c r="N124" s="102" t="s">
        <v>1481</v>
      </c>
      <c r="O124" s="93">
        <v>46143</v>
      </c>
    </row>
    <row r="125" spans="1:15" x14ac:dyDescent="0.3">
      <c r="A125" s="102" t="s">
        <v>1496</v>
      </c>
      <c r="B125" t="s">
        <v>1682</v>
      </c>
      <c r="C125" s="93">
        <v>46016</v>
      </c>
      <c r="D125" s="93">
        <v>46018</v>
      </c>
      <c r="E125" s="93">
        <v>46018</v>
      </c>
      <c r="F125" s="102" t="s">
        <v>1685</v>
      </c>
      <c r="G125" s="102" t="s">
        <v>1684</v>
      </c>
      <c r="H125" s="102" t="s">
        <v>1480</v>
      </c>
      <c r="I125">
        <v>2277</v>
      </c>
      <c r="J125">
        <v>2277</v>
      </c>
      <c r="K125">
        <v>2277</v>
      </c>
      <c r="L125">
        <v>2277</v>
      </c>
      <c r="M125" s="102" t="s">
        <v>1099</v>
      </c>
      <c r="N125" s="102" t="s">
        <v>1481</v>
      </c>
      <c r="O125" s="93">
        <v>46016</v>
      </c>
    </row>
    <row r="126" spans="1:15" x14ac:dyDescent="0.3">
      <c r="A126" s="102" t="s">
        <v>1496</v>
      </c>
      <c r="B126" t="s">
        <v>1682</v>
      </c>
      <c r="C126" s="93">
        <v>46208</v>
      </c>
      <c r="D126" s="93">
        <v>46193</v>
      </c>
      <c r="E126" s="93">
        <v>46193</v>
      </c>
      <c r="F126" s="102" t="s">
        <v>133</v>
      </c>
      <c r="G126" s="102" t="s">
        <v>2324</v>
      </c>
      <c r="H126" s="102" t="s">
        <v>1630</v>
      </c>
      <c r="I126">
        <v>50</v>
      </c>
      <c r="J126">
        <v>50</v>
      </c>
      <c r="K126">
        <v>50</v>
      </c>
      <c r="L126">
        <v>50</v>
      </c>
      <c r="M126" s="102" t="s">
        <v>1099</v>
      </c>
      <c r="N126" s="102" t="s">
        <v>1481</v>
      </c>
      <c r="O126" s="93">
        <v>46204</v>
      </c>
    </row>
    <row r="127" spans="1:15" x14ac:dyDescent="0.3">
      <c r="A127" s="102" t="s">
        <v>1496</v>
      </c>
      <c r="B127" t="s">
        <v>1682</v>
      </c>
      <c r="C127" s="93">
        <v>46208</v>
      </c>
      <c r="D127" s="93"/>
      <c r="E127" s="93"/>
      <c r="F127" s="102" t="s">
        <v>133</v>
      </c>
      <c r="G127" s="102" t="s">
        <v>2324</v>
      </c>
      <c r="H127" s="102" t="s">
        <v>1626</v>
      </c>
      <c r="I127">
        <v>241.43</v>
      </c>
      <c r="J127">
        <v>241.43</v>
      </c>
      <c r="K127">
        <v>241.43</v>
      </c>
      <c r="L127">
        <v>0</v>
      </c>
      <c r="M127" s="102" t="s">
        <v>1099</v>
      </c>
      <c r="N127" s="102" t="s">
        <v>1481</v>
      </c>
      <c r="O127" s="93">
        <v>46204</v>
      </c>
    </row>
    <row r="128" spans="1:15" x14ac:dyDescent="0.3">
      <c r="A128" s="102" t="s">
        <v>1496</v>
      </c>
      <c r="B128" t="s">
        <v>1682</v>
      </c>
      <c r="C128" s="93">
        <v>46208</v>
      </c>
      <c r="D128" s="93">
        <v>46197</v>
      </c>
      <c r="E128" s="93">
        <v>46197</v>
      </c>
      <c r="F128" s="102" t="s">
        <v>1683</v>
      </c>
      <c r="G128" s="102" t="s">
        <v>2324</v>
      </c>
      <c r="H128" s="102" t="s">
        <v>1630</v>
      </c>
      <c r="I128">
        <v>100</v>
      </c>
      <c r="J128">
        <v>97.87</v>
      </c>
      <c r="K128">
        <v>97.867999999999995</v>
      </c>
      <c r="L128">
        <v>100</v>
      </c>
      <c r="M128" s="102" t="s">
        <v>1099</v>
      </c>
      <c r="N128" s="102" t="s">
        <v>1481</v>
      </c>
      <c r="O128" s="93">
        <v>46204</v>
      </c>
    </row>
    <row r="129" spans="1:15" x14ac:dyDescent="0.3">
      <c r="A129" s="102" t="s">
        <v>1496</v>
      </c>
      <c r="B129" t="s">
        <v>1682</v>
      </c>
      <c r="C129" s="93">
        <v>46208</v>
      </c>
      <c r="D129" s="93"/>
      <c r="E129" s="93"/>
      <c r="F129" s="102" t="s">
        <v>1683</v>
      </c>
      <c r="G129" s="102" t="s">
        <v>2324</v>
      </c>
      <c r="H129" s="102" t="s">
        <v>1626</v>
      </c>
      <c r="I129">
        <v>60</v>
      </c>
      <c r="J129">
        <v>58.72</v>
      </c>
      <c r="K129">
        <v>58.720999999999997</v>
      </c>
      <c r="L129">
        <v>0</v>
      </c>
      <c r="M129" s="102" t="s">
        <v>1099</v>
      </c>
      <c r="N129" s="102" t="s">
        <v>1481</v>
      </c>
      <c r="O129" s="93">
        <v>46204</v>
      </c>
    </row>
    <row r="130" spans="1:15" x14ac:dyDescent="0.3">
      <c r="A130" s="102" t="s">
        <v>1496</v>
      </c>
      <c r="B130" t="s">
        <v>1682</v>
      </c>
      <c r="C130" s="93">
        <v>46113</v>
      </c>
      <c r="D130" s="93">
        <v>46117</v>
      </c>
      <c r="E130" s="93">
        <v>46117</v>
      </c>
      <c r="F130" s="102" t="s">
        <v>126</v>
      </c>
      <c r="G130" s="102" t="s">
        <v>1687</v>
      </c>
      <c r="H130" s="102" t="s">
        <v>1480</v>
      </c>
      <c r="I130">
        <v>2393</v>
      </c>
      <c r="J130">
        <v>2393</v>
      </c>
      <c r="K130">
        <v>2393</v>
      </c>
      <c r="L130">
        <v>2393</v>
      </c>
      <c r="M130" s="102" t="s">
        <v>1099</v>
      </c>
      <c r="N130" s="102" t="s">
        <v>1481</v>
      </c>
      <c r="O130" s="93">
        <v>46113</v>
      </c>
    </row>
    <row r="131" spans="1:15" x14ac:dyDescent="0.3">
      <c r="A131" s="102" t="s">
        <v>1496</v>
      </c>
      <c r="B131" t="s">
        <v>1682</v>
      </c>
      <c r="C131" s="93">
        <v>46027</v>
      </c>
      <c r="D131" s="93">
        <v>46027</v>
      </c>
      <c r="E131" s="93">
        <v>46027</v>
      </c>
      <c r="F131" s="102" t="s">
        <v>1683</v>
      </c>
      <c r="G131" s="102" t="s">
        <v>1684</v>
      </c>
      <c r="H131" s="102" t="s">
        <v>1480</v>
      </c>
      <c r="I131">
        <v>2326.69</v>
      </c>
      <c r="J131">
        <v>2326.69</v>
      </c>
      <c r="K131">
        <v>2326.69</v>
      </c>
      <c r="L131">
        <v>2326.69</v>
      </c>
      <c r="M131" s="102" t="s">
        <v>1099</v>
      </c>
      <c r="N131" s="102" t="s">
        <v>1481</v>
      </c>
      <c r="O131" s="93">
        <v>46022</v>
      </c>
    </row>
    <row r="132" spans="1:15" x14ac:dyDescent="0.3">
      <c r="A132" s="102" t="s">
        <v>1496</v>
      </c>
      <c r="B132" t="s">
        <v>1682</v>
      </c>
      <c r="C132" s="93">
        <v>46117</v>
      </c>
      <c r="D132" s="93">
        <v>46109</v>
      </c>
      <c r="E132" s="93">
        <v>46109</v>
      </c>
      <c r="F132" s="102" t="s">
        <v>1683</v>
      </c>
      <c r="G132" s="102" t="s">
        <v>1687</v>
      </c>
      <c r="H132" s="102" t="s">
        <v>1693</v>
      </c>
      <c r="I132">
        <v>500</v>
      </c>
      <c r="J132">
        <v>445.53</v>
      </c>
      <c r="K132">
        <v>445.53399999999999</v>
      </c>
      <c r="L132">
        <v>500</v>
      </c>
      <c r="M132" s="102" t="s">
        <v>1099</v>
      </c>
      <c r="N132" s="102" t="s">
        <v>1481</v>
      </c>
      <c r="O132" s="93">
        <v>46113</v>
      </c>
    </row>
    <row r="133" spans="1:15" x14ac:dyDescent="0.3">
      <c r="A133" s="102" t="s">
        <v>1496</v>
      </c>
      <c r="B133" t="s">
        <v>1682</v>
      </c>
      <c r="C133" s="93">
        <v>46027</v>
      </c>
      <c r="D133" s="93">
        <v>46027</v>
      </c>
      <c r="E133" s="93">
        <v>46027</v>
      </c>
      <c r="F133" s="102" t="s">
        <v>133</v>
      </c>
      <c r="G133" s="102" t="s">
        <v>1684</v>
      </c>
      <c r="H133" s="102" t="s">
        <v>1480</v>
      </c>
      <c r="I133">
        <v>3000</v>
      </c>
      <c r="J133">
        <v>2000</v>
      </c>
      <c r="K133">
        <v>2000</v>
      </c>
      <c r="L133">
        <v>2000</v>
      </c>
      <c r="M133" s="102" t="s">
        <v>1099</v>
      </c>
      <c r="N133" s="102" t="s">
        <v>1481</v>
      </c>
      <c r="O133" s="93">
        <v>46022</v>
      </c>
    </row>
    <row r="134" spans="1:15" x14ac:dyDescent="0.3">
      <c r="A134" s="102" t="s">
        <v>1496</v>
      </c>
      <c r="B134" t="s">
        <v>1682</v>
      </c>
      <c r="C134" s="93">
        <v>46208</v>
      </c>
      <c r="D134" s="93">
        <v>46168</v>
      </c>
      <c r="E134" s="93">
        <v>46168</v>
      </c>
      <c r="F134" s="102" t="s">
        <v>1694</v>
      </c>
      <c r="G134" s="102" t="s">
        <v>2324</v>
      </c>
      <c r="H134" s="102" t="s">
        <v>1693</v>
      </c>
      <c r="I134">
        <v>125</v>
      </c>
      <c r="J134">
        <v>125</v>
      </c>
      <c r="K134">
        <v>125</v>
      </c>
      <c r="L134">
        <v>125</v>
      </c>
      <c r="M134" s="102" t="s">
        <v>1099</v>
      </c>
      <c r="N134" s="102" t="s">
        <v>1481</v>
      </c>
      <c r="O134" s="93">
        <v>46204</v>
      </c>
    </row>
    <row r="135" spans="1:15" x14ac:dyDescent="0.3">
      <c r="A135" s="102" t="s">
        <v>1496</v>
      </c>
      <c r="B135" t="s">
        <v>1682</v>
      </c>
      <c r="C135" s="93">
        <v>46174</v>
      </c>
      <c r="D135" s="93">
        <v>46178</v>
      </c>
      <c r="E135" s="93">
        <v>46178</v>
      </c>
      <c r="F135" s="102" t="s">
        <v>126</v>
      </c>
      <c r="G135" s="102" t="s">
        <v>1691</v>
      </c>
      <c r="H135" s="102" t="s">
        <v>1480</v>
      </c>
      <c r="I135">
        <v>2522.1</v>
      </c>
      <c r="J135">
        <v>2522.1</v>
      </c>
      <c r="K135">
        <v>2522.1</v>
      </c>
      <c r="L135">
        <v>2522.1</v>
      </c>
      <c r="M135" s="102" t="s">
        <v>1099</v>
      </c>
      <c r="N135" s="102" t="s">
        <v>1481</v>
      </c>
      <c r="O135" s="93">
        <v>46174</v>
      </c>
    </row>
    <row r="136" spans="1:15" x14ac:dyDescent="0.3">
      <c r="A136" s="102" t="s">
        <v>1496</v>
      </c>
      <c r="B136" t="s">
        <v>1682</v>
      </c>
      <c r="C136" s="93">
        <v>46178</v>
      </c>
      <c r="D136" s="93">
        <v>46178</v>
      </c>
      <c r="E136" s="93">
        <v>46178</v>
      </c>
      <c r="F136" s="102" t="s">
        <v>133</v>
      </c>
      <c r="G136" s="102" t="s">
        <v>1691</v>
      </c>
      <c r="H136" s="102" t="s">
        <v>1688</v>
      </c>
      <c r="I136">
        <v>267.01</v>
      </c>
      <c r="J136">
        <v>267.01</v>
      </c>
      <c r="K136">
        <v>267.01</v>
      </c>
      <c r="L136">
        <v>267.01</v>
      </c>
      <c r="M136" s="102" t="s">
        <v>1099</v>
      </c>
      <c r="N136" s="102" t="s">
        <v>1481</v>
      </c>
      <c r="O136" s="93">
        <v>46174</v>
      </c>
    </row>
    <row r="137" spans="1:15" x14ac:dyDescent="0.3">
      <c r="A137" s="102" t="s">
        <v>1496</v>
      </c>
      <c r="B137" t="s">
        <v>1682</v>
      </c>
      <c r="C137" s="93">
        <v>46178</v>
      </c>
      <c r="D137" s="93">
        <v>46178</v>
      </c>
      <c r="E137" s="93">
        <v>46178</v>
      </c>
      <c r="F137" s="102" t="s">
        <v>133</v>
      </c>
      <c r="G137" s="102" t="s">
        <v>1691</v>
      </c>
      <c r="H137" s="102" t="s">
        <v>1693</v>
      </c>
      <c r="I137">
        <v>1660.41</v>
      </c>
      <c r="J137">
        <v>1660.41</v>
      </c>
      <c r="K137">
        <v>1660.41</v>
      </c>
      <c r="L137">
        <v>1660.41</v>
      </c>
      <c r="M137" s="102" t="s">
        <v>1099</v>
      </c>
      <c r="N137" s="102" t="s">
        <v>1481</v>
      </c>
      <c r="O137" s="93">
        <v>46174</v>
      </c>
    </row>
    <row r="138" spans="1:15" x14ac:dyDescent="0.3">
      <c r="A138" s="102" t="s">
        <v>1496</v>
      </c>
      <c r="B138" t="s">
        <v>1682</v>
      </c>
      <c r="C138" s="93">
        <v>46117</v>
      </c>
      <c r="D138" s="93">
        <v>46117</v>
      </c>
      <c r="E138" s="93">
        <v>46117</v>
      </c>
      <c r="F138" s="102" t="s">
        <v>1685</v>
      </c>
      <c r="G138" s="102" t="s">
        <v>1687</v>
      </c>
      <c r="H138" s="102" t="s">
        <v>1480</v>
      </c>
      <c r="I138">
        <v>2431.5</v>
      </c>
      <c r="J138">
        <v>2431.5</v>
      </c>
      <c r="K138">
        <v>2431.5</v>
      </c>
      <c r="L138">
        <v>2431.5</v>
      </c>
      <c r="M138" s="102" t="s">
        <v>1099</v>
      </c>
      <c r="N138" s="102" t="s">
        <v>1481</v>
      </c>
      <c r="O138" s="93">
        <v>46113</v>
      </c>
    </row>
    <row r="139" spans="1:15" x14ac:dyDescent="0.3">
      <c r="A139" s="102" t="s">
        <v>1496</v>
      </c>
      <c r="B139" t="s">
        <v>1682</v>
      </c>
      <c r="C139" s="93">
        <v>46113</v>
      </c>
      <c r="D139" s="93">
        <v>46117</v>
      </c>
      <c r="E139" s="93">
        <v>46117</v>
      </c>
      <c r="F139" s="102" t="s">
        <v>133</v>
      </c>
      <c r="G139" s="102" t="s">
        <v>1687</v>
      </c>
      <c r="H139" s="102" t="s">
        <v>1480</v>
      </c>
      <c r="I139">
        <v>1927.42</v>
      </c>
      <c r="J139">
        <v>1927.42</v>
      </c>
      <c r="K139">
        <v>1927.42</v>
      </c>
      <c r="L139">
        <v>1927.42</v>
      </c>
      <c r="M139" s="102" t="s">
        <v>1099</v>
      </c>
      <c r="N139" s="102" t="s">
        <v>1481</v>
      </c>
      <c r="O139" s="93">
        <v>46113</v>
      </c>
    </row>
    <row r="140" spans="1:15" x14ac:dyDescent="0.3">
      <c r="A140" s="102" t="s">
        <v>1496</v>
      </c>
      <c r="B140" t="s">
        <v>1682</v>
      </c>
      <c r="C140" s="93">
        <v>46208</v>
      </c>
      <c r="D140" s="93"/>
      <c r="E140" s="93"/>
      <c r="F140" s="102" t="s">
        <v>126</v>
      </c>
      <c r="G140" s="102" t="s">
        <v>2324</v>
      </c>
      <c r="H140" s="102" t="s">
        <v>1480</v>
      </c>
      <c r="I140">
        <v>2174</v>
      </c>
      <c r="J140">
        <v>2174</v>
      </c>
      <c r="K140">
        <v>2174</v>
      </c>
      <c r="L140">
        <v>0</v>
      </c>
      <c r="M140" s="102" t="s">
        <v>1099</v>
      </c>
      <c r="N140" s="102" t="s">
        <v>1481</v>
      </c>
      <c r="O140" s="93">
        <v>46204</v>
      </c>
    </row>
    <row r="141" spans="1:15" x14ac:dyDescent="0.3">
      <c r="A141" s="102" t="s">
        <v>1496</v>
      </c>
      <c r="B141" t="s">
        <v>1682</v>
      </c>
      <c r="C141" s="93">
        <v>46147</v>
      </c>
      <c r="D141" s="93">
        <v>46144</v>
      </c>
      <c r="E141" s="93">
        <v>46144</v>
      </c>
      <c r="F141" s="102" t="s">
        <v>133</v>
      </c>
      <c r="G141" s="102" t="s">
        <v>1689</v>
      </c>
      <c r="H141" s="102" t="s">
        <v>1690</v>
      </c>
      <c r="I141">
        <v>1497</v>
      </c>
      <c r="J141">
        <v>1497</v>
      </c>
      <c r="K141">
        <v>1497</v>
      </c>
      <c r="L141">
        <v>1497</v>
      </c>
      <c r="M141" s="102" t="s">
        <v>1099</v>
      </c>
      <c r="N141" s="102" t="s">
        <v>1481</v>
      </c>
      <c r="O141" s="93">
        <v>46143</v>
      </c>
    </row>
    <row r="142" spans="1:15" x14ac:dyDescent="0.3">
      <c r="A142" s="102" t="s">
        <v>1496</v>
      </c>
      <c r="B142" t="s">
        <v>1682</v>
      </c>
      <c r="C142" s="93">
        <v>46147</v>
      </c>
      <c r="D142" s="93">
        <v>46125</v>
      </c>
      <c r="E142" s="93">
        <v>46125</v>
      </c>
      <c r="F142" s="102" t="s">
        <v>133</v>
      </c>
      <c r="G142" s="102" t="s">
        <v>1689</v>
      </c>
      <c r="H142" s="102" t="s">
        <v>1696</v>
      </c>
      <c r="I142">
        <v>200</v>
      </c>
      <c r="J142">
        <v>200</v>
      </c>
      <c r="K142">
        <v>200</v>
      </c>
      <c r="L142">
        <v>200</v>
      </c>
      <c r="M142" s="102" t="s">
        <v>1099</v>
      </c>
      <c r="N142" s="102" t="s">
        <v>1481</v>
      </c>
      <c r="O142" s="93">
        <v>46143</v>
      </c>
    </row>
    <row r="143" spans="1:15" x14ac:dyDescent="0.3">
      <c r="A143" s="102" t="s">
        <v>1496</v>
      </c>
      <c r="B143" t="s">
        <v>1682</v>
      </c>
      <c r="C143" s="93">
        <v>46086</v>
      </c>
      <c r="D143" s="93">
        <v>46086</v>
      </c>
      <c r="E143" s="93">
        <v>46086</v>
      </c>
      <c r="F143" s="102" t="s">
        <v>1685</v>
      </c>
      <c r="G143" s="102" t="s">
        <v>1692</v>
      </c>
      <c r="H143" s="102" t="s">
        <v>1480</v>
      </c>
      <c r="I143">
        <v>810.5</v>
      </c>
      <c r="J143">
        <v>810.5</v>
      </c>
      <c r="K143">
        <v>810.5</v>
      </c>
      <c r="L143">
        <v>810.5</v>
      </c>
      <c r="M143" s="102" t="s">
        <v>1099</v>
      </c>
      <c r="N143" s="102" t="s">
        <v>1481</v>
      </c>
      <c r="O143" s="93">
        <v>46082</v>
      </c>
    </row>
    <row r="144" spans="1:15" x14ac:dyDescent="0.3">
      <c r="A144" s="102" t="s">
        <v>1496</v>
      </c>
      <c r="B144" t="s">
        <v>1682</v>
      </c>
      <c r="C144" s="93">
        <v>46208</v>
      </c>
      <c r="D144" s="93"/>
      <c r="E144" s="93"/>
      <c r="F144" s="102" t="s">
        <v>1685</v>
      </c>
      <c r="G144" s="102" t="s">
        <v>2324</v>
      </c>
      <c r="H144" s="102" t="s">
        <v>1480</v>
      </c>
      <c r="I144">
        <v>2431.5</v>
      </c>
      <c r="J144">
        <v>2431.5</v>
      </c>
      <c r="K144">
        <v>2431.5</v>
      </c>
      <c r="L144">
        <v>0</v>
      </c>
      <c r="M144" s="102" t="s">
        <v>1099</v>
      </c>
      <c r="N144" s="102" t="s">
        <v>1481</v>
      </c>
      <c r="O144" s="93">
        <v>46204</v>
      </c>
    </row>
    <row r="145" spans="1:15" x14ac:dyDescent="0.3">
      <c r="A145" s="102" t="s">
        <v>1496</v>
      </c>
      <c r="B145" t="s">
        <v>1682</v>
      </c>
      <c r="C145" s="93">
        <v>46178</v>
      </c>
      <c r="D145" s="93">
        <v>46181</v>
      </c>
      <c r="E145" s="93">
        <v>46181</v>
      </c>
      <c r="F145" s="102" t="s">
        <v>1685</v>
      </c>
      <c r="G145" s="102" t="s">
        <v>1691</v>
      </c>
      <c r="H145" s="102" t="s">
        <v>1480</v>
      </c>
      <c r="I145">
        <v>2431.5</v>
      </c>
      <c r="J145">
        <v>2431.5</v>
      </c>
      <c r="K145">
        <v>2431.5</v>
      </c>
      <c r="L145">
        <v>2431.5</v>
      </c>
      <c r="M145" s="102" t="s">
        <v>1099</v>
      </c>
      <c r="N145" s="102" t="s">
        <v>1481</v>
      </c>
      <c r="O145" s="93">
        <v>46174</v>
      </c>
    </row>
    <row r="146" spans="1:15" x14ac:dyDescent="0.3">
      <c r="A146" s="102" t="s">
        <v>1496</v>
      </c>
      <c r="B146" t="s">
        <v>1682</v>
      </c>
      <c r="C146" s="93">
        <v>46147</v>
      </c>
      <c r="D146" s="93">
        <v>46144</v>
      </c>
      <c r="E146" s="93">
        <v>46144</v>
      </c>
      <c r="F146" s="102" t="s">
        <v>1685</v>
      </c>
      <c r="G146" s="102" t="s">
        <v>1689</v>
      </c>
      <c r="H146" s="102" t="s">
        <v>1480</v>
      </c>
      <c r="I146">
        <v>2431.5</v>
      </c>
      <c r="J146">
        <v>2431.5</v>
      </c>
      <c r="K146">
        <v>2431.5</v>
      </c>
      <c r="L146">
        <v>2431.5</v>
      </c>
      <c r="M146" s="102" t="s">
        <v>1099</v>
      </c>
      <c r="N146" s="102" t="s">
        <v>1481</v>
      </c>
      <c r="O146" s="93">
        <v>46143</v>
      </c>
    </row>
    <row r="147" spans="1:15" x14ac:dyDescent="0.3">
      <c r="A147" s="102" t="s">
        <v>1496</v>
      </c>
      <c r="B147" t="s">
        <v>1682</v>
      </c>
      <c r="C147" s="93">
        <v>46058</v>
      </c>
      <c r="D147" s="93">
        <v>46058</v>
      </c>
      <c r="E147" s="93">
        <v>46058</v>
      </c>
      <c r="F147" s="102" t="s">
        <v>1694</v>
      </c>
      <c r="G147" s="102" t="s">
        <v>1686</v>
      </c>
      <c r="H147" s="102" t="s">
        <v>1480</v>
      </c>
      <c r="I147">
        <v>1621</v>
      </c>
      <c r="J147">
        <v>1621</v>
      </c>
      <c r="K147">
        <v>1621</v>
      </c>
      <c r="L147">
        <v>1621</v>
      </c>
      <c r="M147" s="102" t="s">
        <v>1099</v>
      </c>
      <c r="N147" s="102" t="s">
        <v>1481</v>
      </c>
      <c r="O147" s="93">
        <v>46058</v>
      </c>
    </row>
    <row r="148" spans="1:15" x14ac:dyDescent="0.3">
      <c r="A148" s="102" t="s">
        <v>1496</v>
      </c>
      <c r="B148" t="s">
        <v>1682</v>
      </c>
      <c r="C148" s="93">
        <v>46208</v>
      </c>
      <c r="D148" s="93"/>
      <c r="E148" s="93"/>
      <c r="F148" s="102" t="s">
        <v>1694</v>
      </c>
      <c r="G148" s="102" t="s">
        <v>2324</v>
      </c>
      <c r="H148" s="102" t="s">
        <v>1688</v>
      </c>
      <c r="I148">
        <v>1719.32</v>
      </c>
      <c r="J148">
        <v>1719.32</v>
      </c>
      <c r="K148">
        <v>1719.32</v>
      </c>
      <c r="L148">
        <v>0</v>
      </c>
      <c r="M148" s="102" t="s">
        <v>1099</v>
      </c>
      <c r="N148" s="102" t="s">
        <v>1481</v>
      </c>
      <c r="O148" s="93">
        <v>46204</v>
      </c>
    </row>
    <row r="149" spans="1:15" x14ac:dyDescent="0.3">
      <c r="A149" s="102" t="s">
        <v>1496</v>
      </c>
      <c r="B149" t="s">
        <v>1682</v>
      </c>
      <c r="C149" s="93">
        <v>46143</v>
      </c>
      <c r="D149" s="93">
        <v>46144</v>
      </c>
      <c r="E149" s="93">
        <v>46144</v>
      </c>
      <c r="F149" s="102" t="s">
        <v>133</v>
      </c>
      <c r="G149" s="102" t="s">
        <v>1689</v>
      </c>
      <c r="H149" s="102" t="s">
        <v>1695</v>
      </c>
      <c r="I149">
        <v>130</v>
      </c>
      <c r="J149">
        <v>130</v>
      </c>
      <c r="K149">
        <v>130</v>
      </c>
      <c r="L149">
        <v>130</v>
      </c>
      <c r="M149" s="102" t="s">
        <v>1099</v>
      </c>
      <c r="N149" s="102" t="s">
        <v>1481</v>
      </c>
      <c r="O149" s="93">
        <v>46143</v>
      </c>
    </row>
    <row r="150" spans="1:15" x14ac:dyDescent="0.3">
      <c r="A150" s="102" t="s">
        <v>1496</v>
      </c>
      <c r="B150" t="s">
        <v>1682</v>
      </c>
      <c r="C150" s="93">
        <v>46058</v>
      </c>
      <c r="D150" s="93">
        <v>46059</v>
      </c>
      <c r="E150" s="93">
        <v>46059</v>
      </c>
      <c r="F150" s="102" t="s">
        <v>126</v>
      </c>
      <c r="G150" s="102" t="s">
        <v>1686</v>
      </c>
      <c r="H150" s="102" t="s">
        <v>1480</v>
      </c>
      <c r="I150">
        <v>2947.15</v>
      </c>
      <c r="J150">
        <v>2947.15</v>
      </c>
      <c r="K150">
        <v>2947.15</v>
      </c>
      <c r="L150">
        <v>2947.15</v>
      </c>
      <c r="M150" s="102" t="s">
        <v>1099</v>
      </c>
      <c r="N150" s="102" t="s">
        <v>1481</v>
      </c>
      <c r="O150" s="93">
        <v>46059</v>
      </c>
    </row>
    <row r="151" spans="1:15" x14ac:dyDescent="0.3">
      <c r="A151" s="102" t="s">
        <v>1496</v>
      </c>
      <c r="B151" t="s">
        <v>1682</v>
      </c>
      <c r="C151" s="93">
        <v>46147</v>
      </c>
      <c r="D151" s="93">
        <v>46144</v>
      </c>
      <c r="E151" s="93">
        <v>46144</v>
      </c>
      <c r="F151" s="102" t="s">
        <v>1694</v>
      </c>
      <c r="G151" s="102" t="s">
        <v>1689</v>
      </c>
      <c r="H151" s="102" t="s">
        <v>1480</v>
      </c>
      <c r="I151">
        <v>2000</v>
      </c>
      <c r="J151">
        <v>2000</v>
      </c>
      <c r="K151">
        <v>2000</v>
      </c>
      <c r="L151">
        <v>2000</v>
      </c>
      <c r="M151" s="102" t="s">
        <v>1099</v>
      </c>
      <c r="N151" s="102" t="s">
        <v>1481</v>
      </c>
      <c r="O151" s="93">
        <v>46143</v>
      </c>
    </row>
    <row r="152" spans="1:15" x14ac:dyDescent="0.3">
      <c r="A152" s="102" t="s">
        <v>1496</v>
      </c>
      <c r="B152" t="s">
        <v>1682</v>
      </c>
      <c r="C152" s="93">
        <v>46058</v>
      </c>
      <c r="D152" s="93">
        <v>46058</v>
      </c>
      <c r="E152" s="93">
        <v>46058</v>
      </c>
      <c r="F152" s="102" t="s">
        <v>1683</v>
      </c>
      <c r="G152" s="102" t="s">
        <v>1686</v>
      </c>
      <c r="H152" s="102" t="s">
        <v>1480</v>
      </c>
      <c r="I152">
        <v>2454.02</v>
      </c>
      <c r="J152">
        <v>2454.02</v>
      </c>
      <c r="K152">
        <v>2454.02</v>
      </c>
      <c r="L152">
        <v>2454.02</v>
      </c>
      <c r="M152" s="102" t="s">
        <v>1099</v>
      </c>
      <c r="N152" s="102" t="s">
        <v>1481</v>
      </c>
      <c r="O152" s="93">
        <v>46058</v>
      </c>
    </row>
    <row r="153" spans="1:15" x14ac:dyDescent="0.3">
      <c r="A153" s="102" t="s">
        <v>1496</v>
      </c>
      <c r="B153" t="s">
        <v>1682</v>
      </c>
      <c r="C153" s="93">
        <v>46178</v>
      </c>
      <c r="D153" s="93">
        <v>46178</v>
      </c>
      <c r="E153" s="93">
        <v>46178</v>
      </c>
      <c r="F153" s="102" t="s">
        <v>1694</v>
      </c>
      <c r="G153" s="102" t="s">
        <v>1691</v>
      </c>
      <c r="H153" s="102" t="s">
        <v>1480</v>
      </c>
      <c r="I153">
        <v>1844.32</v>
      </c>
      <c r="J153">
        <v>1844.32</v>
      </c>
      <c r="K153">
        <v>1844.32</v>
      </c>
      <c r="L153">
        <v>1844.32</v>
      </c>
      <c r="M153" s="102" t="s">
        <v>1099</v>
      </c>
      <c r="N153" s="102" t="s">
        <v>1481</v>
      </c>
      <c r="O153" s="93">
        <v>46174</v>
      </c>
    </row>
    <row r="154" spans="1:15" x14ac:dyDescent="0.3">
      <c r="A154" s="102" t="s">
        <v>1496</v>
      </c>
      <c r="B154" t="s">
        <v>1682</v>
      </c>
      <c r="C154" s="93">
        <v>46058</v>
      </c>
      <c r="D154" s="93">
        <v>46060</v>
      </c>
      <c r="E154" s="93">
        <v>46060</v>
      </c>
      <c r="F154" s="102" t="s">
        <v>133</v>
      </c>
      <c r="G154" s="102" t="s">
        <v>1686</v>
      </c>
      <c r="H154" s="102" t="s">
        <v>1480</v>
      </c>
      <c r="I154">
        <v>3200</v>
      </c>
      <c r="J154">
        <v>3200</v>
      </c>
      <c r="K154">
        <v>3200</v>
      </c>
      <c r="L154">
        <v>3200</v>
      </c>
      <c r="M154" s="102" t="s">
        <v>1099</v>
      </c>
      <c r="N154" s="102" t="s">
        <v>1481</v>
      </c>
      <c r="O154" s="93">
        <v>46058</v>
      </c>
    </row>
    <row r="155" spans="1:15" x14ac:dyDescent="0.3">
      <c r="A155" s="102" t="s">
        <v>1496</v>
      </c>
      <c r="B155" t="s">
        <v>1682</v>
      </c>
      <c r="C155" s="93">
        <v>46058</v>
      </c>
      <c r="D155" s="93">
        <v>46060</v>
      </c>
      <c r="E155" s="93">
        <v>46060</v>
      </c>
      <c r="F155" s="102" t="s">
        <v>1685</v>
      </c>
      <c r="G155" s="102" t="s">
        <v>1686</v>
      </c>
      <c r="H155" s="102" t="s">
        <v>1480</v>
      </c>
      <c r="I155">
        <v>2431.5</v>
      </c>
      <c r="J155">
        <v>2431.5</v>
      </c>
      <c r="K155">
        <v>2431.5</v>
      </c>
      <c r="L155">
        <v>2431.5</v>
      </c>
      <c r="M155" s="102" t="s">
        <v>1099</v>
      </c>
      <c r="N155" s="102" t="s">
        <v>1481</v>
      </c>
      <c r="O155" s="93">
        <v>46060</v>
      </c>
    </row>
    <row r="156" spans="1:15" x14ac:dyDescent="0.3">
      <c r="A156" s="102" t="s">
        <v>1496</v>
      </c>
      <c r="B156" t="s">
        <v>1682</v>
      </c>
      <c r="C156" s="93">
        <v>46143</v>
      </c>
      <c r="D156" s="93">
        <v>46144</v>
      </c>
      <c r="E156" s="93">
        <v>46144</v>
      </c>
      <c r="F156" s="102" t="s">
        <v>1683</v>
      </c>
      <c r="G156" s="102" t="s">
        <v>1689</v>
      </c>
      <c r="H156" s="102" t="s">
        <v>1693</v>
      </c>
      <c r="I156">
        <v>300</v>
      </c>
      <c r="J156">
        <v>300</v>
      </c>
      <c r="K156">
        <v>300</v>
      </c>
      <c r="L156">
        <v>300</v>
      </c>
      <c r="M156" s="102" t="s">
        <v>1099</v>
      </c>
      <c r="N156" s="102" t="s">
        <v>1481</v>
      </c>
      <c r="O156" s="93">
        <v>46143</v>
      </c>
    </row>
    <row r="157" spans="1:15" x14ac:dyDescent="0.3">
      <c r="A157" s="102" t="s">
        <v>1496</v>
      </c>
      <c r="B157" t="s">
        <v>1682</v>
      </c>
      <c r="C157" s="93">
        <v>46143</v>
      </c>
      <c r="D157" s="93">
        <v>46122</v>
      </c>
      <c r="E157" s="93">
        <v>46122</v>
      </c>
      <c r="F157" s="102" t="s">
        <v>126</v>
      </c>
      <c r="G157" s="102" t="s">
        <v>1689</v>
      </c>
      <c r="H157" s="102" t="s">
        <v>1629</v>
      </c>
      <c r="I157">
        <v>130</v>
      </c>
      <c r="J157">
        <v>130</v>
      </c>
      <c r="K157">
        <v>130</v>
      </c>
      <c r="L157">
        <v>130</v>
      </c>
      <c r="M157" s="102" t="s">
        <v>1099</v>
      </c>
      <c r="N157" s="102" t="s">
        <v>1481</v>
      </c>
      <c r="O157" s="93">
        <v>46143</v>
      </c>
    </row>
    <row r="158" spans="1:15" x14ac:dyDescent="0.3">
      <c r="A158" s="102" t="s">
        <v>1496</v>
      </c>
      <c r="B158" t="s">
        <v>1682</v>
      </c>
      <c r="C158" s="93">
        <v>46143</v>
      </c>
      <c r="D158" s="93">
        <v>46107</v>
      </c>
      <c r="E158" s="93">
        <v>46107</v>
      </c>
      <c r="F158" s="102" t="s">
        <v>126</v>
      </c>
      <c r="G158" s="102" t="s">
        <v>1689</v>
      </c>
      <c r="H158" s="102" t="s">
        <v>1630</v>
      </c>
      <c r="I158">
        <v>350</v>
      </c>
      <c r="J158">
        <v>350</v>
      </c>
      <c r="K158">
        <v>350</v>
      </c>
      <c r="L158">
        <v>350</v>
      </c>
      <c r="M158" s="102" t="s">
        <v>1099</v>
      </c>
      <c r="N158" s="102" t="s">
        <v>1481</v>
      </c>
      <c r="O158" s="93">
        <v>46143</v>
      </c>
    </row>
    <row r="159" spans="1:15" x14ac:dyDescent="0.3">
      <c r="A159" s="102" t="s">
        <v>1698</v>
      </c>
      <c r="B159" t="s">
        <v>1699</v>
      </c>
      <c r="C159" s="93">
        <v>46132</v>
      </c>
      <c r="D159" s="93">
        <v>46119</v>
      </c>
      <c r="E159" s="93">
        <v>46119</v>
      </c>
      <c r="F159" s="102" t="s">
        <v>1700</v>
      </c>
      <c r="G159" s="102" t="s">
        <v>1701</v>
      </c>
      <c r="H159" s="102" t="s">
        <v>1706</v>
      </c>
      <c r="I159">
        <v>1850.4</v>
      </c>
      <c r="J159">
        <v>1850.4</v>
      </c>
      <c r="K159">
        <v>1850.4</v>
      </c>
      <c r="L159">
        <v>1850.4</v>
      </c>
      <c r="M159" s="102" t="s">
        <v>1099</v>
      </c>
      <c r="N159" s="102" t="s">
        <v>1481</v>
      </c>
      <c r="O159" s="93">
        <v>46053</v>
      </c>
    </row>
    <row r="160" spans="1:15" x14ac:dyDescent="0.3">
      <c r="A160" s="102" t="s">
        <v>1698</v>
      </c>
      <c r="B160" t="s">
        <v>1699</v>
      </c>
      <c r="C160" s="93">
        <v>46101</v>
      </c>
      <c r="D160" s="93">
        <v>46095</v>
      </c>
      <c r="E160" s="93">
        <v>46095</v>
      </c>
      <c r="F160" s="102" t="s">
        <v>1700</v>
      </c>
      <c r="G160" s="102" t="s">
        <v>1701</v>
      </c>
      <c r="H160" s="102" t="s">
        <v>1703</v>
      </c>
      <c r="I160">
        <v>1850.4</v>
      </c>
      <c r="J160">
        <v>1850.4</v>
      </c>
      <c r="K160">
        <v>1850.4</v>
      </c>
      <c r="L160">
        <v>1850.4</v>
      </c>
      <c r="M160" s="102" t="s">
        <v>1099</v>
      </c>
      <c r="N160" s="102" t="s">
        <v>1481</v>
      </c>
      <c r="O160" s="93">
        <v>46053</v>
      </c>
    </row>
    <row r="161" spans="1:15" x14ac:dyDescent="0.3">
      <c r="A161" s="102" t="s">
        <v>1698</v>
      </c>
      <c r="B161" t="s">
        <v>1699</v>
      </c>
      <c r="C161" s="93">
        <v>46162</v>
      </c>
      <c r="D161" s="93">
        <v>46148</v>
      </c>
      <c r="E161" s="93">
        <v>46148</v>
      </c>
      <c r="F161" s="102" t="s">
        <v>1700</v>
      </c>
      <c r="G161" s="102" t="s">
        <v>1701</v>
      </c>
      <c r="H161" s="102" t="s">
        <v>1702</v>
      </c>
      <c r="I161">
        <v>1566.72</v>
      </c>
      <c r="J161">
        <v>2362.7399999999998</v>
      </c>
      <c r="K161">
        <v>2362.7399999999998</v>
      </c>
      <c r="L161">
        <v>2362.7399999999998</v>
      </c>
      <c r="M161" s="102" t="s">
        <v>1099</v>
      </c>
      <c r="N161" s="102" t="s">
        <v>1481</v>
      </c>
      <c r="O161" s="93">
        <v>46053</v>
      </c>
    </row>
    <row r="162" spans="1:15" x14ac:dyDescent="0.3">
      <c r="A162" s="102" t="s">
        <v>1698</v>
      </c>
      <c r="B162" t="s">
        <v>1699</v>
      </c>
      <c r="C162" s="93">
        <v>46193</v>
      </c>
      <c r="D162" s="93">
        <v>46175</v>
      </c>
      <c r="E162" s="93">
        <v>46175</v>
      </c>
      <c r="F162" s="102" t="s">
        <v>1700</v>
      </c>
      <c r="G162" s="102" t="s">
        <v>1701</v>
      </c>
      <c r="H162" s="102" t="s">
        <v>1704</v>
      </c>
      <c r="I162">
        <v>1566.72</v>
      </c>
      <c r="J162">
        <v>2470.08</v>
      </c>
      <c r="K162">
        <v>2470.08</v>
      </c>
      <c r="L162">
        <v>2470.08</v>
      </c>
      <c r="M162" s="102" t="s">
        <v>1099</v>
      </c>
      <c r="N162" s="102" t="s">
        <v>1481</v>
      </c>
      <c r="O162" s="93">
        <v>46053</v>
      </c>
    </row>
    <row r="163" spans="1:15" x14ac:dyDescent="0.3">
      <c r="A163" s="102" t="s">
        <v>1698</v>
      </c>
      <c r="B163" t="s">
        <v>1699</v>
      </c>
      <c r="C163" s="93">
        <v>46223</v>
      </c>
      <c r="F163" s="102" t="s">
        <v>1700</v>
      </c>
      <c r="G163" s="102" t="s">
        <v>1701</v>
      </c>
      <c r="H163" s="102" t="s">
        <v>1705</v>
      </c>
      <c r="I163">
        <v>1566.72</v>
      </c>
      <c r="J163">
        <v>1566.72</v>
      </c>
      <c r="K163">
        <v>1566.72</v>
      </c>
      <c r="L163">
        <v>0</v>
      </c>
      <c r="M163" s="102" t="s">
        <v>1099</v>
      </c>
      <c r="N163" s="102" t="s">
        <v>1481</v>
      </c>
      <c r="O163" s="93">
        <v>46053</v>
      </c>
    </row>
    <row r="164" spans="1:15" x14ac:dyDescent="0.3">
      <c r="A164" s="102" t="s">
        <v>1698</v>
      </c>
      <c r="B164" t="s">
        <v>1699</v>
      </c>
      <c r="C164" s="93">
        <v>46254</v>
      </c>
      <c r="F164" s="102" t="s">
        <v>1700</v>
      </c>
      <c r="G164" s="102" t="s">
        <v>1701</v>
      </c>
      <c r="H164" s="102" t="s">
        <v>1708</v>
      </c>
      <c r="I164">
        <v>1566.72</v>
      </c>
      <c r="J164">
        <v>1566.72</v>
      </c>
      <c r="K164">
        <v>1566.72</v>
      </c>
      <c r="L164">
        <v>0</v>
      </c>
      <c r="M164" s="102" t="s">
        <v>1099</v>
      </c>
      <c r="N164" s="102" t="s">
        <v>1481</v>
      </c>
      <c r="O164" s="93">
        <v>46053</v>
      </c>
    </row>
    <row r="165" spans="1:15" x14ac:dyDescent="0.3">
      <c r="A165" s="102" t="s">
        <v>1698</v>
      </c>
      <c r="B165" t="s">
        <v>1699</v>
      </c>
      <c r="C165" s="93">
        <v>46073</v>
      </c>
      <c r="D165" s="93">
        <v>46074</v>
      </c>
      <c r="E165" s="93">
        <v>46074</v>
      </c>
      <c r="F165" s="102" t="s">
        <v>1700</v>
      </c>
      <c r="G165" s="102" t="s">
        <v>1701</v>
      </c>
      <c r="H165" s="102" t="s">
        <v>1707</v>
      </c>
      <c r="I165">
        <v>1566.72</v>
      </c>
      <c r="J165">
        <v>1571.87</v>
      </c>
      <c r="K165">
        <v>1571.87</v>
      </c>
      <c r="L165">
        <v>1571.87</v>
      </c>
      <c r="M165" s="102" t="s">
        <v>1099</v>
      </c>
      <c r="N165" s="102" t="s">
        <v>1481</v>
      </c>
      <c r="O165" s="93">
        <v>46053</v>
      </c>
    </row>
    <row r="166" spans="1:15" x14ac:dyDescent="0.3">
      <c r="A166" s="102" t="s">
        <v>1698</v>
      </c>
      <c r="B166" t="s">
        <v>1699</v>
      </c>
      <c r="C166" s="93">
        <v>46285</v>
      </c>
      <c r="D166" s="93"/>
      <c r="E166" s="93"/>
      <c r="F166" s="102" t="s">
        <v>1700</v>
      </c>
      <c r="G166" s="102" t="s">
        <v>1701</v>
      </c>
      <c r="H166" s="102" t="s">
        <v>1709</v>
      </c>
      <c r="I166">
        <v>1566.72</v>
      </c>
      <c r="J166">
        <v>1566.72</v>
      </c>
      <c r="K166">
        <v>1566.72</v>
      </c>
      <c r="L166">
        <v>0</v>
      </c>
      <c r="M166" s="102" t="s">
        <v>1099</v>
      </c>
      <c r="N166" s="102" t="s">
        <v>1481</v>
      </c>
      <c r="O166" s="93">
        <v>46053</v>
      </c>
    </row>
    <row r="167" spans="1:15" x14ac:dyDescent="0.3">
      <c r="A167" s="102" t="s">
        <v>1698</v>
      </c>
      <c r="B167" t="s">
        <v>1699</v>
      </c>
      <c r="C167" s="93">
        <v>46315</v>
      </c>
      <c r="F167" s="102" t="s">
        <v>1700</v>
      </c>
      <c r="G167" s="102" t="s">
        <v>1701</v>
      </c>
      <c r="H167" s="102" t="s">
        <v>1710</v>
      </c>
      <c r="I167">
        <v>1566.72</v>
      </c>
      <c r="J167">
        <v>1566.72</v>
      </c>
      <c r="K167">
        <v>1566.72</v>
      </c>
      <c r="L167">
        <v>0</v>
      </c>
      <c r="M167" s="102" t="s">
        <v>1099</v>
      </c>
      <c r="N167" s="102" t="s">
        <v>1481</v>
      </c>
      <c r="O167" s="93">
        <v>46053</v>
      </c>
    </row>
    <row r="168" spans="1:15" x14ac:dyDescent="0.3">
      <c r="A168" s="102" t="s">
        <v>1698</v>
      </c>
      <c r="B168" t="s">
        <v>1699</v>
      </c>
      <c r="C168" s="93">
        <v>46346</v>
      </c>
      <c r="D168" s="93"/>
      <c r="E168" s="93"/>
      <c r="F168" s="102" t="s">
        <v>1700</v>
      </c>
      <c r="G168" s="102" t="s">
        <v>1701</v>
      </c>
      <c r="H168" s="102" t="s">
        <v>1711</v>
      </c>
      <c r="I168">
        <v>1566.72</v>
      </c>
      <c r="J168">
        <v>1566.72</v>
      </c>
      <c r="K168">
        <v>1566.72</v>
      </c>
      <c r="L168">
        <v>0</v>
      </c>
      <c r="M168" s="102" t="s">
        <v>1099</v>
      </c>
      <c r="N168" s="102" t="s">
        <v>1481</v>
      </c>
      <c r="O168" s="93">
        <v>46053</v>
      </c>
    </row>
    <row r="169" spans="1:15" x14ac:dyDescent="0.3">
      <c r="A169" s="102" t="s">
        <v>1698</v>
      </c>
      <c r="B169" t="s">
        <v>1699</v>
      </c>
      <c r="C169" s="93">
        <v>46376</v>
      </c>
      <c r="D169" s="93"/>
      <c r="E169" s="93"/>
      <c r="F169" s="102" t="s">
        <v>1700</v>
      </c>
      <c r="G169" s="102" t="s">
        <v>1701</v>
      </c>
      <c r="H169" s="102" t="s">
        <v>1712</v>
      </c>
      <c r="I169">
        <v>1566.72</v>
      </c>
      <c r="J169">
        <v>1566.72</v>
      </c>
      <c r="K169">
        <v>1566.72</v>
      </c>
      <c r="L169">
        <v>0</v>
      </c>
      <c r="M169" s="102" t="s">
        <v>1099</v>
      </c>
      <c r="N169" s="102" t="s">
        <v>1481</v>
      </c>
      <c r="O169" s="93">
        <v>46053</v>
      </c>
    </row>
    <row r="170" spans="1:15" x14ac:dyDescent="0.3">
      <c r="A170" s="102" t="s">
        <v>1698</v>
      </c>
      <c r="B170" t="s">
        <v>1699</v>
      </c>
      <c r="C170" s="93">
        <v>46407</v>
      </c>
      <c r="D170" s="93"/>
      <c r="E170" s="93"/>
      <c r="F170" s="102" t="s">
        <v>1700</v>
      </c>
      <c r="G170" s="102" t="s">
        <v>1701</v>
      </c>
      <c r="H170" s="102" t="s">
        <v>1713</v>
      </c>
      <c r="I170">
        <v>1566.72</v>
      </c>
      <c r="J170">
        <v>1566.72</v>
      </c>
      <c r="K170">
        <v>1566.72</v>
      </c>
      <c r="L170">
        <v>0</v>
      </c>
      <c r="M170" s="102" t="s">
        <v>1099</v>
      </c>
      <c r="N170" s="102" t="s">
        <v>1481</v>
      </c>
      <c r="O170" s="93">
        <v>46053</v>
      </c>
    </row>
    <row r="171" spans="1:15" x14ac:dyDescent="0.3">
      <c r="A171" s="102" t="s">
        <v>1698</v>
      </c>
      <c r="B171" t="s">
        <v>1699</v>
      </c>
      <c r="C171" s="93">
        <v>46042</v>
      </c>
      <c r="D171" s="93">
        <v>46041</v>
      </c>
      <c r="E171" s="93">
        <v>46041</v>
      </c>
      <c r="F171" s="102" t="s">
        <v>1700</v>
      </c>
      <c r="G171" s="102" t="s">
        <v>1714</v>
      </c>
      <c r="H171" s="102" t="s">
        <v>1480</v>
      </c>
      <c r="I171">
        <v>3482.52</v>
      </c>
      <c r="J171">
        <v>3482.52</v>
      </c>
      <c r="K171">
        <v>3482.52</v>
      </c>
      <c r="L171">
        <v>3482.52</v>
      </c>
      <c r="M171" s="102" t="s">
        <v>1099</v>
      </c>
      <c r="N171" s="102" t="s">
        <v>1481</v>
      </c>
      <c r="O171" s="93">
        <v>46022</v>
      </c>
    </row>
    <row r="172" spans="1:15" x14ac:dyDescent="0.3">
      <c r="A172" s="102" t="s">
        <v>1715</v>
      </c>
      <c r="B172" t="s">
        <v>1133</v>
      </c>
      <c r="C172" s="93">
        <v>46022</v>
      </c>
      <c r="D172" s="93">
        <v>46041</v>
      </c>
      <c r="E172" s="93">
        <v>46041</v>
      </c>
      <c r="F172" s="102" t="s">
        <v>1133</v>
      </c>
      <c r="G172" s="102" t="s">
        <v>1717</v>
      </c>
      <c r="H172" s="102" t="s">
        <v>1480</v>
      </c>
      <c r="I172">
        <v>184.96</v>
      </c>
      <c r="J172">
        <v>184.96</v>
      </c>
      <c r="K172">
        <v>184.96</v>
      </c>
      <c r="L172">
        <v>184.96</v>
      </c>
      <c r="M172" s="102" t="s">
        <v>1099</v>
      </c>
      <c r="N172" s="102" t="s">
        <v>1481</v>
      </c>
      <c r="O172" s="93">
        <v>46022</v>
      </c>
    </row>
    <row r="173" spans="1:15" x14ac:dyDescent="0.3">
      <c r="A173" s="102" t="s">
        <v>1715</v>
      </c>
      <c r="B173" t="s">
        <v>1133</v>
      </c>
      <c r="C173" s="93">
        <v>46223</v>
      </c>
      <c r="D173" s="93"/>
      <c r="E173" s="93"/>
      <c r="F173" s="102" t="s">
        <v>1133</v>
      </c>
      <c r="G173" s="102" t="s">
        <v>1716</v>
      </c>
      <c r="H173" s="102" t="s">
        <v>1705</v>
      </c>
      <c r="I173">
        <v>401.33</v>
      </c>
      <c r="J173">
        <v>401.33</v>
      </c>
      <c r="K173">
        <v>401.33</v>
      </c>
      <c r="L173">
        <v>0</v>
      </c>
      <c r="M173" s="102" t="s">
        <v>1099</v>
      </c>
      <c r="N173" s="102" t="s">
        <v>1481</v>
      </c>
      <c r="O173" s="93">
        <v>46053</v>
      </c>
    </row>
    <row r="174" spans="1:15" x14ac:dyDescent="0.3">
      <c r="A174" s="102" t="s">
        <v>1715</v>
      </c>
      <c r="B174" t="s">
        <v>1133</v>
      </c>
      <c r="C174" s="93">
        <v>46193</v>
      </c>
      <c r="D174" s="93">
        <v>46175</v>
      </c>
      <c r="E174" s="93">
        <v>46175</v>
      </c>
      <c r="F174" s="102" t="s">
        <v>1133</v>
      </c>
      <c r="G174" s="102" t="s">
        <v>1716</v>
      </c>
      <c r="H174" s="102" t="s">
        <v>1704</v>
      </c>
      <c r="I174">
        <v>629.6</v>
      </c>
      <c r="J174">
        <v>629.6</v>
      </c>
      <c r="K174">
        <v>629.6</v>
      </c>
      <c r="L174">
        <v>629.6</v>
      </c>
      <c r="M174" s="102" t="s">
        <v>1099</v>
      </c>
      <c r="N174" s="102" t="s">
        <v>1481</v>
      </c>
      <c r="O174" s="93">
        <v>46053</v>
      </c>
    </row>
    <row r="175" spans="1:15" x14ac:dyDescent="0.3">
      <c r="A175" s="102" t="s">
        <v>1715</v>
      </c>
      <c r="B175" t="s">
        <v>1133</v>
      </c>
      <c r="C175" s="93">
        <v>46073</v>
      </c>
      <c r="D175" s="93">
        <v>46074</v>
      </c>
      <c r="E175" s="93">
        <v>46074</v>
      </c>
      <c r="F175" s="102" t="s">
        <v>1133</v>
      </c>
      <c r="G175" s="102" t="s">
        <v>1716</v>
      </c>
      <c r="H175" s="102" t="s">
        <v>1707</v>
      </c>
      <c r="I175">
        <v>401.33</v>
      </c>
      <c r="J175">
        <v>423.4</v>
      </c>
      <c r="K175">
        <v>423.4</v>
      </c>
      <c r="L175">
        <v>423.4</v>
      </c>
      <c r="M175" s="102" t="s">
        <v>1099</v>
      </c>
      <c r="N175" s="102" t="s">
        <v>1481</v>
      </c>
      <c r="O175" s="93">
        <v>46053</v>
      </c>
    </row>
    <row r="176" spans="1:15" x14ac:dyDescent="0.3">
      <c r="A176" s="102" t="s">
        <v>1715</v>
      </c>
      <c r="B176" t="s">
        <v>1133</v>
      </c>
      <c r="C176" s="93">
        <v>46101</v>
      </c>
      <c r="D176" s="93">
        <v>46095</v>
      </c>
      <c r="E176" s="93">
        <v>46095</v>
      </c>
      <c r="F176" s="102" t="s">
        <v>1133</v>
      </c>
      <c r="G176" s="102" t="s">
        <v>1716</v>
      </c>
      <c r="H176" s="102" t="s">
        <v>1703</v>
      </c>
      <c r="I176">
        <v>469.6</v>
      </c>
      <c r="J176">
        <v>469.6</v>
      </c>
      <c r="K176">
        <v>469.6</v>
      </c>
      <c r="L176">
        <v>469.6</v>
      </c>
      <c r="M176" s="102" t="s">
        <v>1099</v>
      </c>
      <c r="N176" s="102" t="s">
        <v>1481</v>
      </c>
      <c r="O176" s="93">
        <v>46053</v>
      </c>
    </row>
    <row r="177" spans="1:15" x14ac:dyDescent="0.3">
      <c r="A177" s="102" t="s">
        <v>1715</v>
      </c>
      <c r="B177" t="s">
        <v>1133</v>
      </c>
      <c r="C177" s="93">
        <v>46132</v>
      </c>
      <c r="D177" s="93">
        <v>46119</v>
      </c>
      <c r="E177" s="93">
        <v>46119</v>
      </c>
      <c r="F177" s="102" t="s">
        <v>1133</v>
      </c>
      <c r="G177" s="102" t="s">
        <v>1716</v>
      </c>
      <c r="H177" s="102" t="s">
        <v>1706</v>
      </c>
      <c r="I177">
        <v>469.6</v>
      </c>
      <c r="J177">
        <v>469.6</v>
      </c>
      <c r="K177">
        <v>469.6</v>
      </c>
      <c r="L177">
        <v>469.6</v>
      </c>
      <c r="M177" s="102" t="s">
        <v>1099</v>
      </c>
      <c r="N177" s="102" t="s">
        <v>1481</v>
      </c>
      <c r="O177" s="93">
        <v>46053</v>
      </c>
    </row>
    <row r="178" spans="1:15" x14ac:dyDescent="0.3">
      <c r="A178" s="102" t="s">
        <v>1715</v>
      </c>
      <c r="B178" t="s">
        <v>1133</v>
      </c>
      <c r="C178" s="93">
        <v>46162</v>
      </c>
      <c r="D178" s="93">
        <v>46148</v>
      </c>
      <c r="E178" s="93">
        <v>46148</v>
      </c>
      <c r="F178" s="102" t="s">
        <v>1133</v>
      </c>
      <c r="G178" s="102" t="s">
        <v>1716</v>
      </c>
      <c r="H178" s="102" t="s">
        <v>1702</v>
      </c>
      <c r="I178">
        <v>401.33</v>
      </c>
      <c r="J178">
        <v>602.92999999999995</v>
      </c>
      <c r="K178">
        <v>602.92999999999995</v>
      </c>
      <c r="L178">
        <v>602.92999999999995</v>
      </c>
      <c r="M178" s="102" t="s">
        <v>1099</v>
      </c>
      <c r="N178" s="102" t="s">
        <v>1481</v>
      </c>
      <c r="O178" s="93">
        <v>46053</v>
      </c>
    </row>
    <row r="179" spans="1:15" x14ac:dyDescent="0.3">
      <c r="A179" s="102" t="s">
        <v>1715</v>
      </c>
      <c r="B179" t="s">
        <v>1133</v>
      </c>
      <c r="C179" s="93">
        <v>46407</v>
      </c>
      <c r="D179" s="93"/>
      <c r="E179" s="93"/>
      <c r="F179" s="102" t="s">
        <v>1133</v>
      </c>
      <c r="G179" s="102" t="s">
        <v>1716</v>
      </c>
      <c r="H179" s="102" t="s">
        <v>1713</v>
      </c>
      <c r="I179">
        <v>401.33</v>
      </c>
      <c r="J179">
        <v>401.33</v>
      </c>
      <c r="K179">
        <v>401.33</v>
      </c>
      <c r="L179">
        <v>0</v>
      </c>
      <c r="M179" s="102" t="s">
        <v>1099</v>
      </c>
      <c r="N179" s="102" t="s">
        <v>1481</v>
      </c>
      <c r="O179" s="93">
        <v>46053</v>
      </c>
    </row>
    <row r="180" spans="1:15" x14ac:dyDescent="0.3">
      <c r="A180" s="102" t="s">
        <v>1715</v>
      </c>
      <c r="B180" t="s">
        <v>1133</v>
      </c>
      <c r="C180" s="93">
        <v>46254</v>
      </c>
      <c r="D180" s="93"/>
      <c r="E180" s="93"/>
      <c r="F180" s="102" t="s">
        <v>1133</v>
      </c>
      <c r="G180" s="102" t="s">
        <v>1716</v>
      </c>
      <c r="H180" s="102" t="s">
        <v>1708</v>
      </c>
      <c r="I180">
        <v>401.33</v>
      </c>
      <c r="J180">
        <v>401.33</v>
      </c>
      <c r="K180">
        <v>401.33</v>
      </c>
      <c r="L180">
        <v>0</v>
      </c>
      <c r="M180" s="102" t="s">
        <v>1099</v>
      </c>
      <c r="N180" s="102" t="s">
        <v>1481</v>
      </c>
      <c r="O180" s="93">
        <v>46053</v>
      </c>
    </row>
    <row r="181" spans="1:15" x14ac:dyDescent="0.3">
      <c r="A181" s="102" t="s">
        <v>1715</v>
      </c>
      <c r="B181" t="s">
        <v>1133</v>
      </c>
      <c r="C181" s="93">
        <v>46285</v>
      </c>
      <c r="D181" s="93"/>
      <c r="E181" s="93"/>
      <c r="F181" s="102" t="s">
        <v>1133</v>
      </c>
      <c r="G181" s="102" t="s">
        <v>1716</v>
      </c>
      <c r="H181" s="102" t="s">
        <v>1709</v>
      </c>
      <c r="I181">
        <v>401.33</v>
      </c>
      <c r="J181">
        <v>401.33</v>
      </c>
      <c r="K181">
        <v>401.33</v>
      </c>
      <c r="L181">
        <v>0</v>
      </c>
      <c r="M181" s="102" t="s">
        <v>1099</v>
      </c>
      <c r="N181" s="102" t="s">
        <v>1481</v>
      </c>
      <c r="O181" s="93">
        <v>46053</v>
      </c>
    </row>
    <row r="182" spans="1:15" x14ac:dyDescent="0.3">
      <c r="A182" s="102" t="s">
        <v>1715</v>
      </c>
      <c r="B182" t="s">
        <v>1133</v>
      </c>
      <c r="C182" s="93">
        <v>46315</v>
      </c>
      <c r="D182" s="93"/>
      <c r="E182" s="93"/>
      <c r="F182" s="102" t="s">
        <v>1133</v>
      </c>
      <c r="G182" s="102" t="s">
        <v>1716</v>
      </c>
      <c r="H182" s="102" t="s">
        <v>1710</v>
      </c>
      <c r="I182">
        <v>401.33</v>
      </c>
      <c r="J182">
        <v>401.33</v>
      </c>
      <c r="K182">
        <v>401.33</v>
      </c>
      <c r="L182">
        <v>0</v>
      </c>
      <c r="M182" s="102" t="s">
        <v>1099</v>
      </c>
      <c r="N182" s="102" t="s">
        <v>1481</v>
      </c>
      <c r="O182" s="93">
        <v>46053</v>
      </c>
    </row>
    <row r="183" spans="1:15" x14ac:dyDescent="0.3">
      <c r="A183" s="102" t="s">
        <v>1715</v>
      </c>
      <c r="B183" t="s">
        <v>1133</v>
      </c>
      <c r="C183" s="93">
        <v>46346</v>
      </c>
      <c r="D183" s="93"/>
      <c r="E183" s="93"/>
      <c r="F183" s="102" t="s">
        <v>1133</v>
      </c>
      <c r="G183" s="102" t="s">
        <v>1716</v>
      </c>
      <c r="H183" s="102" t="s">
        <v>1711</v>
      </c>
      <c r="I183">
        <v>401.33</v>
      </c>
      <c r="J183">
        <v>401.33</v>
      </c>
      <c r="K183">
        <v>401.33</v>
      </c>
      <c r="L183">
        <v>0</v>
      </c>
      <c r="M183" s="102" t="s">
        <v>1099</v>
      </c>
      <c r="N183" s="102" t="s">
        <v>1481</v>
      </c>
      <c r="O183" s="93">
        <v>46053</v>
      </c>
    </row>
    <row r="184" spans="1:15" x14ac:dyDescent="0.3">
      <c r="A184" s="102" t="s">
        <v>1715</v>
      </c>
      <c r="B184" t="s">
        <v>1133</v>
      </c>
      <c r="C184" s="93">
        <v>46376</v>
      </c>
      <c r="D184" s="93"/>
      <c r="E184" s="93"/>
      <c r="F184" s="102" t="s">
        <v>1133</v>
      </c>
      <c r="G184" s="102" t="s">
        <v>1716</v>
      </c>
      <c r="H184" s="102" t="s">
        <v>1712</v>
      </c>
      <c r="I184">
        <v>401.33</v>
      </c>
      <c r="J184">
        <v>401.33</v>
      </c>
      <c r="K184">
        <v>401.33</v>
      </c>
      <c r="L184">
        <v>0</v>
      </c>
      <c r="M184" s="102" t="s">
        <v>1099</v>
      </c>
      <c r="N184" s="102" t="s">
        <v>1481</v>
      </c>
      <c r="O184" s="93">
        <v>46053</v>
      </c>
    </row>
    <row r="185" spans="1:15" x14ac:dyDescent="0.3">
      <c r="A185" s="102" t="s">
        <v>1718</v>
      </c>
      <c r="B185" t="s">
        <v>1719</v>
      </c>
      <c r="C185" s="93">
        <v>46023</v>
      </c>
      <c r="D185" s="93">
        <v>46023</v>
      </c>
      <c r="E185" s="93">
        <v>46023</v>
      </c>
      <c r="F185" s="102" t="s">
        <v>126</v>
      </c>
      <c r="G185" s="102" t="s">
        <v>1722</v>
      </c>
      <c r="H185" s="102" t="s">
        <v>1626</v>
      </c>
      <c r="I185">
        <v>100</v>
      </c>
      <c r="J185">
        <v>100</v>
      </c>
      <c r="K185">
        <v>100</v>
      </c>
      <c r="L185">
        <v>100</v>
      </c>
      <c r="M185" s="102" t="s">
        <v>1099</v>
      </c>
      <c r="N185" s="102" t="s">
        <v>1481</v>
      </c>
      <c r="O185" s="93">
        <v>46022</v>
      </c>
    </row>
    <row r="186" spans="1:15" x14ac:dyDescent="0.3">
      <c r="A186" s="102" t="s">
        <v>1718</v>
      </c>
      <c r="B186" t="s">
        <v>1719</v>
      </c>
      <c r="C186" s="93">
        <v>46028</v>
      </c>
      <c r="D186" s="93">
        <v>46028</v>
      </c>
      <c r="E186" s="93">
        <v>46028</v>
      </c>
      <c r="F186" s="102" t="s">
        <v>1720</v>
      </c>
      <c r="G186" s="102" t="s">
        <v>1723</v>
      </c>
      <c r="H186" s="102" t="s">
        <v>1480</v>
      </c>
      <c r="I186">
        <v>50</v>
      </c>
      <c r="J186">
        <v>50</v>
      </c>
      <c r="K186">
        <v>50</v>
      </c>
      <c r="L186">
        <v>50</v>
      </c>
      <c r="M186" s="102" t="s">
        <v>1099</v>
      </c>
      <c r="N186" s="102" t="s">
        <v>1481</v>
      </c>
      <c r="O186" s="93">
        <v>46028</v>
      </c>
    </row>
    <row r="187" spans="1:15" x14ac:dyDescent="0.3">
      <c r="A187" s="102" t="s">
        <v>1718</v>
      </c>
      <c r="B187" t="s">
        <v>1719</v>
      </c>
      <c r="C187" s="93">
        <v>46031</v>
      </c>
      <c r="D187" s="93">
        <v>46028</v>
      </c>
      <c r="E187" s="93">
        <v>46028</v>
      </c>
      <c r="F187" s="102" t="s">
        <v>126</v>
      </c>
      <c r="G187" s="102" t="s">
        <v>1722</v>
      </c>
      <c r="H187" s="102" t="s">
        <v>1630</v>
      </c>
      <c r="I187">
        <v>1923.03</v>
      </c>
      <c r="J187">
        <v>1923.03</v>
      </c>
      <c r="K187">
        <v>1923.03</v>
      </c>
      <c r="L187">
        <v>1923.03</v>
      </c>
      <c r="M187" s="102" t="s">
        <v>1099</v>
      </c>
      <c r="N187" s="102" t="s">
        <v>1481</v>
      </c>
      <c r="O187" s="93">
        <v>46022</v>
      </c>
    </row>
    <row r="188" spans="1:15" x14ac:dyDescent="0.3">
      <c r="A188" s="102" t="s">
        <v>1718</v>
      </c>
      <c r="B188" t="s">
        <v>1719</v>
      </c>
      <c r="C188" s="93">
        <v>46030</v>
      </c>
      <c r="D188" s="93">
        <v>46030</v>
      </c>
      <c r="E188" s="93">
        <v>46030</v>
      </c>
      <c r="F188" s="102" t="s">
        <v>133</v>
      </c>
      <c r="G188" s="102" t="s">
        <v>1724</v>
      </c>
      <c r="H188" s="102" t="s">
        <v>1480</v>
      </c>
      <c r="I188">
        <v>3690.67</v>
      </c>
      <c r="J188">
        <v>3690.67</v>
      </c>
      <c r="K188">
        <v>3690.67</v>
      </c>
      <c r="L188">
        <v>3690.67</v>
      </c>
      <c r="M188" s="102" t="s">
        <v>1099</v>
      </c>
      <c r="N188" s="102" t="s">
        <v>1481</v>
      </c>
      <c r="O188" s="93">
        <v>46030</v>
      </c>
    </row>
    <row r="189" spans="1:15" x14ac:dyDescent="0.3">
      <c r="A189" s="102" t="s">
        <v>1718</v>
      </c>
      <c r="B189" t="s">
        <v>1719</v>
      </c>
      <c r="C189" s="93">
        <v>46022</v>
      </c>
      <c r="D189" s="93">
        <v>46022</v>
      </c>
      <c r="E189" s="93">
        <v>46022</v>
      </c>
      <c r="F189" s="102" t="s">
        <v>126</v>
      </c>
      <c r="G189" s="102" t="s">
        <v>1722</v>
      </c>
      <c r="H189" s="102" t="s">
        <v>1629</v>
      </c>
      <c r="I189">
        <v>2000</v>
      </c>
      <c r="J189">
        <v>2000</v>
      </c>
      <c r="K189">
        <v>2000</v>
      </c>
      <c r="L189">
        <v>2000</v>
      </c>
      <c r="M189" s="102" t="s">
        <v>1099</v>
      </c>
      <c r="N189" s="102" t="s">
        <v>1481</v>
      </c>
      <c r="O189" s="93">
        <v>46022</v>
      </c>
    </row>
    <row r="190" spans="1:15" x14ac:dyDescent="0.3">
      <c r="A190" s="102" t="s">
        <v>1718</v>
      </c>
      <c r="B190" t="s">
        <v>1719</v>
      </c>
      <c r="C190" s="93">
        <v>46113</v>
      </c>
      <c r="D190" s="93">
        <v>46113</v>
      </c>
      <c r="E190" s="93">
        <v>46113</v>
      </c>
      <c r="F190" s="102" t="s">
        <v>1720</v>
      </c>
      <c r="G190" s="102" t="s">
        <v>1721</v>
      </c>
      <c r="H190" s="102" t="s">
        <v>1480</v>
      </c>
      <c r="I190">
        <v>50</v>
      </c>
      <c r="J190">
        <v>50</v>
      </c>
      <c r="K190">
        <v>50</v>
      </c>
      <c r="L190">
        <v>50</v>
      </c>
      <c r="M190" s="102" t="s">
        <v>1099</v>
      </c>
      <c r="N190" s="102" t="s">
        <v>1481</v>
      </c>
      <c r="O190" s="93">
        <v>46113</v>
      </c>
    </row>
    <row r="191" spans="1:15" x14ac:dyDescent="0.3">
      <c r="A191" s="102" t="s">
        <v>1725</v>
      </c>
      <c r="B191" t="s">
        <v>1726</v>
      </c>
      <c r="C191" s="93">
        <v>46180</v>
      </c>
      <c r="D191" s="93">
        <v>46180</v>
      </c>
      <c r="E191" s="93">
        <v>46180</v>
      </c>
      <c r="F191" s="102" t="s">
        <v>1490</v>
      </c>
      <c r="G191" s="102" t="s">
        <v>1582</v>
      </c>
      <c r="H191" s="102" t="s">
        <v>1480</v>
      </c>
      <c r="I191">
        <v>2822.89</v>
      </c>
      <c r="J191">
        <v>96</v>
      </c>
      <c r="K191">
        <v>96</v>
      </c>
      <c r="L191">
        <v>2822.89</v>
      </c>
      <c r="M191" s="102" t="s">
        <v>1099</v>
      </c>
      <c r="N191" s="102" t="s">
        <v>1481</v>
      </c>
      <c r="O191" s="93">
        <v>46146</v>
      </c>
    </row>
    <row r="192" spans="1:15" x14ac:dyDescent="0.3">
      <c r="A192" s="102" t="s">
        <v>1725</v>
      </c>
      <c r="B192" t="s">
        <v>1726</v>
      </c>
      <c r="C192" s="93">
        <v>46066</v>
      </c>
      <c r="D192" s="93">
        <v>46066</v>
      </c>
      <c r="E192" s="93">
        <v>46066</v>
      </c>
      <c r="F192" s="102" t="s">
        <v>1600</v>
      </c>
      <c r="G192" s="102" t="s">
        <v>1601</v>
      </c>
      <c r="H192" s="102" t="s">
        <v>1480</v>
      </c>
      <c r="I192">
        <v>2915.75</v>
      </c>
      <c r="J192">
        <v>74</v>
      </c>
      <c r="K192">
        <v>74</v>
      </c>
      <c r="L192">
        <v>2915.75</v>
      </c>
      <c r="M192" s="102" t="s">
        <v>1099</v>
      </c>
      <c r="N192" s="102" t="s">
        <v>1481</v>
      </c>
      <c r="O192" s="93">
        <v>46066</v>
      </c>
    </row>
    <row r="193" spans="1:15" x14ac:dyDescent="0.3">
      <c r="A193" s="102" t="s">
        <v>1725</v>
      </c>
      <c r="B193" t="s">
        <v>1726</v>
      </c>
      <c r="C193" s="93">
        <v>46119</v>
      </c>
      <c r="D193" s="93">
        <v>46119</v>
      </c>
      <c r="E193" s="93">
        <v>46119</v>
      </c>
      <c r="F193" s="102" t="s">
        <v>1490</v>
      </c>
      <c r="G193" s="102" t="s">
        <v>1589</v>
      </c>
      <c r="H193" s="102" t="s">
        <v>1480</v>
      </c>
      <c r="I193">
        <v>121</v>
      </c>
      <c r="J193">
        <v>96</v>
      </c>
      <c r="K193">
        <v>96</v>
      </c>
      <c r="L193">
        <v>121</v>
      </c>
      <c r="M193" s="102" t="s">
        <v>1099</v>
      </c>
      <c r="N193" s="102" t="s">
        <v>1481</v>
      </c>
      <c r="O193" s="93">
        <v>46094</v>
      </c>
    </row>
    <row r="194" spans="1:15" x14ac:dyDescent="0.3">
      <c r="A194" s="102" t="s">
        <v>1725</v>
      </c>
      <c r="B194" t="s">
        <v>1726</v>
      </c>
      <c r="C194" s="93">
        <v>46060</v>
      </c>
      <c r="D194" s="93">
        <v>46060</v>
      </c>
      <c r="E194" s="93">
        <v>46060</v>
      </c>
      <c r="F194" s="102" t="s">
        <v>1490</v>
      </c>
      <c r="G194" s="102" t="s">
        <v>1495</v>
      </c>
      <c r="H194" s="102" t="s">
        <v>1480</v>
      </c>
      <c r="I194">
        <v>3867.18</v>
      </c>
      <c r="J194">
        <v>632.84</v>
      </c>
      <c r="K194">
        <v>632.84</v>
      </c>
      <c r="L194">
        <v>3867.18</v>
      </c>
      <c r="M194" s="102" t="s">
        <v>1099</v>
      </c>
      <c r="N194" s="102" t="s">
        <v>1481</v>
      </c>
      <c r="O194" s="93">
        <v>46030</v>
      </c>
    </row>
    <row r="195" spans="1:15" x14ac:dyDescent="0.3">
      <c r="A195" s="102" t="s">
        <v>1725</v>
      </c>
      <c r="B195" t="s">
        <v>1726</v>
      </c>
      <c r="C195" s="93">
        <v>46149</v>
      </c>
      <c r="D195" s="93">
        <v>46148</v>
      </c>
      <c r="E195" s="93">
        <v>46148</v>
      </c>
      <c r="F195" s="102" t="s">
        <v>1490</v>
      </c>
      <c r="G195" s="102" t="s">
        <v>1729</v>
      </c>
      <c r="H195" s="102" t="s">
        <v>1480</v>
      </c>
      <c r="I195">
        <v>411</v>
      </c>
      <c r="J195">
        <v>263</v>
      </c>
      <c r="K195">
        <v>263</v>
      </c>
      <c r="L195">
        <v>411</v>
      </c>
      <c r="M195" s="102" t="s">
        <v>1099</v>
      </c>
      <c r="N195" s="102" t="s">
        <v>1481</v>
      </c>
      <c r="O195" s="93">
        <v>46121</v>
      </c>
    </row>
    <row r="196" spans="1:15" x14ac:dyDescent="0.3">
      <c r="A196" s="102" t="s">
        <v>1725</v>
      </c>
      <c r="B196" t="s">
        <v>1726</v>
      </c>
      <c r="C196" s="93">
        <v>46158</v>
      </c>
      <c r="D196" s="93">
        <v>46158</v>
      </c>
      <c r="E196" s="93">
        <v>46158</v>
      </c>
      <c r="F196" s="102" t="s">
        <v>1727</v>
      </c>
      <c r="G196" s="102" t="s">
        <v>1728</v>
      </c>
      <c r="H196" s="102" t="s">
        <v>1480</v>
      </c>
      <c r="I196">
        <v>51</v>
      </c>
      <c r="J196">
        <v>28.33</v>
      </c>
      <c r="K196">
        <v>28.332999999999998</v>
      </c>
      <c r="L196">
        <v>51</v>
      </c>
      <c r="M196" s="102" t="s">
        <v>1099</v>
      </c>
      <c r="N196" s="102" t="s">
        <v>1481</v>
      </c>
      <c r="O196" s="93">
        <v>46157</v>
      </c>
    </row>
    <row r="197" spans="1:15" x14ac:dyDescent="0.3">
      <c r="A197" s="102" t="s">
        <v>1730</v>
      </c>
      <c r="B197" t="s">
        <v>1731</v>
      </c>
      <c r="C197" s="93">
        <v>46224</v>
      </c>
      <c r="D197" s="93">
        <v>46200</v>
      </c>
      <c r="E197" s="93">
        <v>46200</v>
      </c>
      <c r="F197" s="102" t="s">
        <v>1598</v>
      </c>
      <c r="G197" s="102" t="s">
        <v>1632</v>
      </c>
      <c r="H197" s="102" t="s">
        <v>1480</v>
      </c>
      <c r="I197">
        <v>1054.4000000000001</v>
      </c>
      <c r="J197">
        <v>394.4</v>
      </c>
      <c r="K197">
        <v>394.4</v>
      </c>
      <c r="L197">
        <v>1054.4000000000001</v>
      </c>
      <c r="M197" s="102" t="s">
        <v>1099</v>
      </c>
      <c r="N197" s="102" t="s">
        <v>1481</v>
      </c>
      <c r="O197" s="93">
        <v>46196</v>
      </c>
    </row>
    <row r="198" spans="1:15" x14ac:dyDescent="0.3">
      <c r="A198" s="102" t="s">
        <v>1732</v>
      </c>
      <c r="B198" t="s">
        <v>1733</v>
      </c>
      <c r="C198" s="93">
        <v>46031</v>
      </c>
      <c r="D198" s="93">
        <v>46031</v>
      </c>
      <c r="E198" s="93">
        <v>46031</v>
      </c>
      <c r="F198" s="102" t="s">
        <v>1734</v>
      </c>
      <c r="G198" s="102" t="s">
        <v>1735</v>
      </c>
      <c r="H198" s="102" t="s">
        <v>1480</v>
      </c>
      <c r="I198">
        <v>1793</v>
      </c>
      <c r="J198">
        <v>1793</v>
      </c>
      <c r="K198">
        <v>1793</v>
      </c>
      <c r="L198">
        <v>1793</v>
      </c>
      <c r="M198" s="102" t="s">
        <v>1099</v>
      </c>
      <c r="N198" s="102" t="s">
        <v>1481</v>
      </c>
      <c r="O198" s="93">
        <v>46031</v>
      </c>
    </row>
    <row r="199" spans="1:15" x14ac:dyDescent="0.3">
      <c r="A199" s="102" t="s">
        <v>1736</v>
      </c>
      <c r="B199" t="s">
        <v>1737</v>
      </c>
      <c r="C199" s="93">
        <v>46129</v>
      </c>
      <c r="D199" s="93">
        <v>46129</v>
      </c>
      <c r="E199" s="93">
        <v>46129</v>
      </c>
      <c r="F199" s="102" t="s">
        <v>1531</v>
      </c>
      <c r="G199" s="102" t="s">
        <v>1738</v>
      </c>
      <c r="H199" s="102" t="s">
        <v>1480</v>
      </c>
      <c r="I199">
        <v>400</v>
      </c>
      <c r="J199">
        <v>400</v>
      </c>
      <c r="K199">
        <v>400</v>
      </c>
      <c r="L199">
        <v>400</v>
      </c>
      <c r="M199" s="102" t="s">
        <v>1099</v>
      </c>
      <c r="N199" s="102" t="s">
        <v>1481</v>
      </c>
      <c r="O199" s="93">
        <v>46129</v>
      </c>
    </row>
    <row r="200" spans="1:15" x14ac:dyDescent="0.3">
      <c r="A200" s="102" t="s">
        <v>1736</v>
      </c>
      <c r="B200" t="s">
        <v>1737</v>
      </c>
      <c r="C200" s="93">
        <v>46087</v>
      </c>
      <c r="D200" s="93">
        <v>46087</v>
      </c>
      <c r="E200" s="93">
        <v>46087</v>
      </c>
      <c r="F200" s="102" t="s">
        <v>1741</v>
      </c>
      <c r="G200" s="102" t="s">
        <v>1742</v>
      </c>
      <c r="H200" s="102" t="s">
        <v>1480</v>
      </c>
      <c r="I200">
        <v>5500</v>
      </c>
      <c r="J200">
        <v>5500</v>
      </c>
      <c r="K200">
        <v>5500</v>
      </c>
      <c r="L200">
        <v>5500</v>
      </c>
      <c r="M200" s="102" t="s">
        <v>1099</v>
      </c>
      <c r="N200" s="102" t="s">
        <v>1481</v>
      </c>
      <c r="O200" s="93">
        <v>46087</v>
      </c>
    </row>
    <row r="201" spans="1:15" x14ac:dyDescent="0.3">
      <c r="A201" s="102" t="s">
        <v>1736</v>
      </c>
      <c r="B201" t="s">
        <v>1737</v>
      </c>
      <c r="C201" s="93">
        <v>46150</v>
      </c>
      <c r="D201" s="93">
        <v>46150</v>
      </c>
      <c r="E201" s="93">
        <v>46150</v>
      </c>
      <c r="F201" s="102" t="s">
        <v>1531</v>
      </c>
      <c r="G201" s="102" t="s">
        <v>1744</v>
      </c>
      <c r="H201" s="102" t="s">
        <v>1480</v>
      </c>
      <c r="I201">
        <v>400</v>
      </c>
      <c r="J201">
        <v>400</v>
      </c>
      <c r="K201">
        <v>400</v>
      </c>
      <c r="L201">
        <v>400</v>
      </c>
      <c r="M201" s="102" t="s">
        <v>1099</v>
      </c>
      <c r="N201" s="102" t="s">
        <v>1481</v>
      </c>
      <c r="O201" s="93">
        <v>46141</v>
      </c>
    </row>
    <row r="202" spans="1:15" x14ac:dyDescent="0.3">
      <c r="A202" s="102" t="s">
        <v>1736</v>
      </c>
      <c r="B202" t="s">
        <v>1737</v>
      </c>
      <c r="C202" s="93">
        <v>46168</v>
      </c>
      <c r="D202" s="93">
        <v>46168</v>
      </c>
      <c r="E202" s="93">
        <v>46168</v>
      </c>
      <c r="F202" s="102" t="s">
        <v>1531</v>
      </c>
      <c r="G202" s="102" t="s">
        <v>1743</v>
      </c>
      <c r="H202" s="102" t="s">
        <v>1480</v>
      </c>
      <c r="I202">
        <v>400</v>
      </c>
      <c r="J202">
        <v>400</v>
      </c>
      <c r="K202">
        <v>400</v>
      </c>
      <c r="L202">
        <v>400</v>
      </c>
      <c r="M202" s="102" t="s">
        <v>1099</v>
      </c>
      <c r="N202" s="102" t="s">
        <v>1481</v>
      </c>
      <c r="O202" s="93">
        <v>46168</v>
      </c>
    </row>
    <row r="203" spans="1:15" x14ac:dyDescent="0.3">
      <c r="A203" s="102" t="s">
        <v>1736</v>
      </c>
      <c r="B203" t="s">
        <v>1737</v>
      </c>
      <c r="C203" s="93">
        <v>46157</v>
      </c>
      <c r="D203" s="93">
        <v>46157</v>
      </c>
      <c r="E203" s="93">
        <v>46157</v>
      </c>
      <c r="F203" s="102" t="s">
        <v>1739</v>
      </c>
      <c r="G203" s="102" t="s">
        <v>1740</v>
      </c>
      <c r="H203" s="102" t="s">
        <v>1480</v>
      </c>
      <c r="I203">
        <v>5500</v>
      </c>
      <c r="J203">
        <v>5500</v>
      </c>
      <c r="K203">
        <v>5500</v>
      </c>
      <c r="L203">
        <v>5500</v>
      </c>
      <c r="M203" s="102" t="s">
        <v>1099</v>
      </c>
      <c r="N203" s="102" t="s">
        <v>1488</v>
      </c>
      <c r="O203" s="93">
        <v>46157</v>
      </c>
    </row>
    <row r="204" spans="1:15" x14ac:dyDescent="0.3">
      <c r="A204" s="102" t="s">
        <v>1745</v>
      </c>
      <c r="B204" t="s">
        <v>1746</v>
      </c>
      <c r="C204" s="93">
        <v>46300</v>
      </c>
      <c r="D204" s="93"/>
      <c r="E204" s="93"/>
      <c r="F204" s="102" t="s">
        <v>1747</v>
      </c>
      <c r="G204" s="102" t="s">
        <v>1748</v>
      </c>
      <c r="H204" s="102" t="s">
        <v>1710</v>
      </c>
      <c r="I204">
        <v>1621</v>
      </c>
      <c r="J204">
        <v>1621</v>
      </c>
      <c r="K204">
        <v>1621</v>
      </c>
      <c r="L204">
        <v>0</v>
      </c>
      <c r="M204" s="102" t="s">
        <v>1099</v>
      </c>
      <c r="N204" s="102" t="s">
        <v>1481</v>
      </c>
      <c r="O204" s="93">
        <v>46027</v>
      </c>
    </row>
    <row r="205" spans="1:15" x14ac:dyDescent="0.3">
      <c r="A205" s="102" t="s">
        <v>1745</v>
      </c>
      <c r="B205" t="s">
        <v>1746</v>
      </c>
      <c r="C205" s="93">
        <v>46058</v>
      </c>
      <c r="D205" s="93">
        <v>46059</v>
      </c>
      <c r="E205" s="93">
        <v>46059</v>
      </c>
      <c r="F205" s="102" t="s">
        <v>1747</v>
      </c>
      <c r="G205" s="102" t="s">
        <v>1748</v>
      </c>
      <c r="H205" s="102" t="s">
        <v>1707</v>
      </c>
      <c r="I205">
        <v>1621</v>
      </c>
      <c r="J205">
        <v>1621</v>
      </c>
      <c r="K205">
        <v>1621</v>
      </c>
      <c r="L205">
        <v>1621</v>
      </c>
      <c r="M205" s="102" t="s">
        <v>1099</v>
      </c>
      <c r="N205" s="102" t="s">
        <v>1481</v>
      </c>
      <c r="O205" s="93">
        <v>46027</v>
      </c>
    </row>
    <row r="206" spans="1:15" x14ac:dyDescent="0.3">
      <c r="A206" s="102" t="s">
        <v>1745</v>
      </c>
      <c r="B206" t="s">
        <v>1746</v>
      </c>
      <c r="C206" s="93">
        <v>46147</v>
      </c>
      <c r="D206" s="93">
        <v>46146</v>
      </c>
      <c r="E206" s="93">
        <v>46146</v>
      </c>
      <c r="F206" s="102" t="s">
        <v>1747</v>
      </c>
      <c r="G206" s="102" t="s">
        <v>1748</v>
      </c>
      <c r="H206" s="102" t="s">
        <v>1702</v>
      </c>
      <c r="I206">
        <v>1621</v>
      </c>
      <c r="J206">
        <v>1621</v>
      </c>
      <c r="K206">
        <v>1621</v>
      </c>
      <c r="L206">
        <v>1621</v>
      </c>
      <c r="M206" s="102" t="s">
        <v>1099</v>
      </c>
      <c r="N206" s="102" t="s">
        <v>1481</v>
      </c>
      <c r="O206" s="93">
        <v>46027</v>
      </c>
    </row>
    <row r="207" spans="1:15" x14ac:dyDescent="0.3">
      <c r="A207" s="102" t="s">
        <v>1745</v>
      </c>
      <c r="B207" t="s">
        <v>1746</v>
      </c>
      <c r="C207" s="93">
        <v>46022</v>
      </c>
      <c r="D207" s="93">
        <v>46027</v>
      </c>
      <c r="E207" s="93">
        <v>46027</v>
      </c>
      <c r="F207" s="102" t="s">
        <v>1747</v>
      </c>
      <c r="G207" s="102" t="s">
        <v>1749</v>
      </c>
      <c r="H207" s="102" t="s">
        <v>1480</v>
      </c>
      <c r="I207">
        <v>1518</v>
      </c>
      <c r="J207">
        <v>1518</v>
      </c>
      <c r="K207">
        <v>1518</v>
      </c>
      <c r="L207">
        <v>1518</v>
      </c>
      <c r="M207" s="102" t="s">
        <v>1099</v>
      </c>
      <c r="N207" s="102" t="s">
        <v>1481</v>
      </c>
      <c r="O207" s="93">
        <v>46022</v>
      </c>
    </row>
    <row r="208" spans="1:15" x14ac:dyDescent="0.3">
      <c r="A208" s="102" t="s">
        <v>1745</v>
      </c>
      <c r="B208" t="s">
        <v>1746</v>
      </c>
      <c r="C208" s="93">
        <v>46086</v>
      </c>
      <c r="D208" s="93">
        <v>46083</v>
      </c>
      <c r="E208" s="93">
        <v>46083</v>
      </c>
      <c r="F208" s="102" t="s">
        <v>1747</v>
      </c>
      <c r="G208" s="102" t="s">
        <v>1748</v>
      </c>
      <c r="H208" s="102" t="s">
        <v>1703</v>
      </c>
      <c r="I208">
        <v>1621</v>
      </c>
      <c r="J208">
        <v>1621</v>
      </c>
      <c r="K208">
        <v>1621</v>
      </c>
      <c r="L208">
        <v>1621</v>
      </c>
      <c r="M208" s="102" t="s">
        <v>1099</v>
      </c>
      <c r="N208" s="102" t="s">
        <v>1481</v>
      </c>
      <c r="O208" s="93">
        <v>46027</v>
      </c>
    </row>
    <row r="209" spans="1:15" x14ac:dyDescent="0.3">
      <c r="A209" s="102" t="s">
        <v>1745</v>
      </c>
      <c r="B209" t="s">
        <v>1746</v>
      </c>
      <c r="C209" s="93">
        <v>46239</v>
      </c>
      <c r="D209" s="93"/>
      <c r="E209" s="93"/>
      <c r="F209" s="102" t="s">
        <v>1747</v>
      </c>
      <c r="G209" s="102" t="s">
        <v>1748</v>
      </c>
      <c r="H209" s="102" t="s">
        <v>1708</v>
      </c>
      <c r="I209">
        <v>1621</v>
      </c>
      <c r="J209">
        <v>1621</v>
      </c>
      <c r="K209">
        <v>1621</v>
      </c>
      <c r="L209">
        <v>0</v>
      </c>
      <c r="M209" s="102" t="s">
        <v>1099</v>
      </c>
      <c r="N209" s="102" t="s">
        <v>1481</v>
      </c>
      <c r="O209" s="93">
        <v>46027</v>
      </c>
    </row>
    <row r="210" spans="1:15" x14ac:dyDescent="0.3">
      <c r="A210" s="102" t="s">
        <v>1745</v>
      </c>
      <c r="B210" t="s">
        <v>1746</v>
      </c>
      <c r="C210" s="93">
        <v>46392</v>
      </c>
      <c r="D210" s="93"/>
      <c r="E210" s="93"/>
      <c r="F210" s="102" t="s">
        <v>1747</v>
      </c>
      <c r="G210" s="102" t="s">
        <v>1748</v>
      </c>
      <c r="H210" s="102" t="s">
        <v>1713</v>
      </c>
      <c r="I210">
        <v>1621</v>
      </c>
      <c r="J210">
        <v>1621</v>
      </c>
      <c r="K210">
        <v>1621</v>
      </c>
      <c r="L210">
        <v>0</v>
      </c>
      <c r="M210" s="102" t="s">
        <v>1099</v>
      </c>
      <c r="N210" s="102" t="s">
        <v>1481</v>
      </c>
      <c r="O210" s="93">
        <v>46027</v>
      </c>
    </row>
    <row r="211" spans="1:15" x14ac:dyDescent="0.3">
      <c r="A211" s="102" t="s">
        <v>1745</v>
      </c>
      <c r="B211" t="s">
        <v>1746</v>
      </c>
      <c r="C211" s="93">
        <v>46361</v>
      </c>
      <c r="D211" s="93"/>
      <c r="E211" s="93"/>
      <c r="F211" s="102" t="s">
        <v>1747</v>
      </c>
      <c r="G211" s="102" t="s">
        <v>1748</v>
      </c>
      <c r="H211" s="102" t="s">
        <v>1712</v>
      </c>
      <c r="I211">
        <v>1621</v>
      </c>
      <c r="J211">
        <v>1621</v>
      </c>
      <c r="K211">
        <v>1621</v>
      </c>
      <c r="L211">
        <v>0</v>
      </c>
      <c r="M211" s="102" t="s">
        <v>1099</v>
      </c>
      <c r="N211" s="102" t="s">
        <v>1481</v>
      </c>
      <c r="O211" s="93">
        <v>46027</v>
      </c>
    </row>
    <row r="212" spans="1:15" x14ac:dyDescent="0.3">
      <c r="A212" s="102" t="s">
        <v>1745</v>
      </c>
      <c r="B212" t="s">
        <v>1746</v>
      </c>
      <c r="C212" s="93">
        <v>46117</v>
      </c>
      <c r="D212" s="93">
        <v>46114</v>
      </c>
      <c r="E212" s="93">
        <v>46114</v>
      </c>
      <c r="F212" s="102" t="s">
        <v>1747</v>
      </c>
      <c r="G212" s="102" t="s">
        <v>1748</v>
      </c>
      <c r="H212" s="102" t="s">
        <v>1706</v>
      </c>
      <c r="I212">
        <v>1621</v>
      </c>
      <c r="J212">
        <v>1621</v>
      </c>
      <c r="K212">
        <v>1621</v>
      </c>
      <c r="L212">
        <v>1621</v>
      </c>
      <c r="M212" s="102" t="s">
        <v>1099</v>
      </c>
      <c r="N212" s="102" t="s">
        <v>1481</v>
      </c>
      <c r="O212" s="93">
        <v>46027</v>
      </c>
    </row>
    <row r="213" spans="1:15" x14ac:dyDescent="0.3">
      <c r="A213" s="102" t="s">
        <v>1745</v>
      </c>
      <c r="B213" t="s">
        <v>1746</v>
      </c>
      <c r="C213" s="93">
        <v>46331</v>
      </c>
      <c r="D213" s="93"/>
      <c r="E213" s="93"/>
      <c r="F213" s="102" t="s">
        <v>1747</v>
      </c>
      <c r="G213" s="102" t="s">
        <v>1748</v>
      </c>
      <c r="H213" s="102" t="s">
        <v>1711</v>
      </c>
      <c r="I213">
        <v>1621</v>
      </c>
      <c r="J213">
        <v>1621</v>
      </c>
      <c r="K213">
        <v>1621</v>
      </c>
      <c r="L213">
        <v>0</v>
      </c>
      <c r="M213" s="102" t="s">
        <v>1099</v>
      </c>
      <c r="N213" s="102" t="s">
        <v>1481</v>
      </c>
      <c r="O213" s="93">
        <v>46027</v>
      </c>
    </row>
    <row r="214" spans="1:15" x14ac:dyDescent="0.3">
      <c r="A214" s="102" t="s">
        <v>1745</v>
      </c>
      <c r="B214" t="s">
        <v>1746</v>
      </c>
      <c r="C214" s="93">
        <v>46208</v>
      </c>
      <c r="D214" s="93">
        <v>46205</v>
      </c>
      <c r="E214" s="93">
        <v>46205</v>
      </c>
      <c r="F214" s="102" t="s">
        <v>1747</v>
      </c>
      <c r="G214" s="102" t="s">
        <v>1748</v>
      </c>
      <c r="H214" s="102" t="s">
        <v>1705</v>
      </c>
      <c r="I214">
        <v>1621</v>
      </c>
      <c r="J214">
        <v>1621</v>
      </c>
      <c r="K214">
        <v>1621</v>
      </c>
      <c r="L214">
        <v>1621</v>
      </c>
      <c r="M214" s="102" t="s">
        <v>1099</v>
      </c>
      <c r="N214" s="102" t="s">
        <v>1481</v>
      </c>
      <c r="O214" s="93">
        <v>46027</v>
      </c>
    </row>
    <row r="215" spans="1:15" x14ac:dyDescent="0.3">
      <c r="A215" s="102" t="s">
        <v>1745</v>
      </c>
      <c r="B215" t="s">
        <v>1746</v>
      </c>
      <c r="C215" s="93">
        <v>46178</v>
      </c>
      <c r="D215" s="93">
        <v>46175</v>
      </c>
      <c r="E215" s="93">
        <v>46175</v>
      </c>
      <c r="F215" s="102" t="s">
        <v>1747</v>
      </c>
      <c r="G215" s="102" t="s">
        <v>1748</v>
      </c>
      <c r="H215" s="102" t="s">
        <v>1704</v>
      </c>
      <c r="I215">
        <v>1621</v>
      </c>
      <c r="J215">
        <v>1621</v>
      </c>
      <c r="K215">
        <v>1621</v>
      </c>
      <c r="L215">
        <v>1621</v>
      </c>
      <c r="M215" s="102" t="s">
        <v>1099</v>
      </c>
      <c r="N215" s="102" t="s">
        <v>1481</v>
      </c>
      <c r="O215" s="93">
        <v>46027</v>
      </c>
    </row>
    <row r="216" spans="1:15" x14ac:dyDescent="0.3">
      <c r="A216" s="102" t="s">
        <v>1745</v>
      </c>
      <c r="B216" t="s">
        <v>1746</v>
      </c>
      <c r="C216" s="93">
        <v>46270</v>
      </c>
      <c r="D216" s="93"/>
      <c r="E216" s="93"/>
      <c r="F216" s="102" t="s">
        <v>1747</v>
      </c>
      <c r="G216" s="102" t="s">
        <v>1748</v>
      </c>
      <c r="H216" s="102" t="s">
        <v>1709</v>
      </c>
      <c r="I216">
        <v>1621</v>
      </c>
      <c r="J216">
        <v>1621</v>
      </c>
      <c r="K216">
        <v>1621</v>
      </c>
      <c r="L216">
        <v>0</v>
      </c>
      <c r="M216" s="102" t="s">
        <v>1099</v>
      </c>
      <c r="N216" s="102" t="s">
        <v>1481</v>
      </c>
      <c r="O216" s="93">
        <v>46027</v>
      </c>
    </row>
    <row r="217" spans="1:15" x14ac:dyDescent="0.3">
      <c r="A217" s="102" t="s">
        <v>1750</v>
      </c>
      <c r="B217" t="s">
        <v>1751</v>
      </c>
      <c r="C217" s="93">
        <v>46175</v>
      </c>
      <c r="D217" s="93">
        <v>46175</v>
      </c>
      <c r="E217" s="93">
        <v>46175</v>
      </c>
      <c r="F217" s="102" t="s">
        <v>1756</v>
      </c>
      <c r="G217" s="102" t="s">
        <v>1757</v>
      </c>
      <c r="H217" s="102" t="s">
        <v>1630</v>
      </c>
      <c r="I217">
        <v>400</v>
      </c>
      <c r="J217">
        <v>400</v>
      </c>
      <c r="K217">
        <v>400</v>
      </c>
      <c r="L217">
        <v>400</v>
      </c>
      <c r="M217" s="102" t="s">
        <v>1099</v>
      </c>
      <c r="N217" s="102" t="s">
        <v>1481</v>
      </c>
      <c r="O217" s="93">
        <v>46156</v>
      </c>
    </row>
    <row r="218" spans="1:15" x14ac:dyDescent="0.3">
      <c r="A218" s="102" t="s">
        <v>1750</v>
      </c>
      <c r="B218" t="s">
        <v>1751</v>
      </c>
      <c r="C218" s="93">
        <v>46152</v>
      </c>
      <c r="D218" s="93">
        <v>46155</v>
      </c>
      <c r="E218" s="93">
        <v>46155</v>
      </c>
      <c r="F218" s="102" t="s">
        <v>1758</v>
      </c>
      <c r="G218" s="102" t="s">
        <v>1759</v>
      </c>
      <c r="H218" s="102" t="s">
        <v>1693</v>
      </c>
      <c r="I218">
        <v>29400</v>
      </c>
      <c r="J218">
        <v>29400</v>
      </c>
      <c r="K218">
        <v>29400</v>
      </c>
      <c r="L218">
        <v>29400</v>
      </c>
      <c r="M218" s="102" t="s">
        <v>1099</v>
      </c>
      <c r="N218" s="102" t="s">
        <v>1488</v>
      </c>
      <c r="O218" s="93">
        <v>46143</v>
      </c>
    </row>
    <row r="219" spans="1:15" x14ac:dyDescent="0.3">
      <c r="A219" s="102" t="s">
        <v>1750</v>
      </c>
      <c r="B219" t="s">
        <v>1751</v>
      </c>
      <c r="C219" s="93">
        <v>46140</v>
      </c>
      <c r="D219" s="93">
        <v>46136</v>
      </c>
      <c r="E219" s="93">
        <v>46136</v>
      </c>
      <c r="F219" s="102" t="s">
        <v>1752</v>
      </c>
      <c r="G219" s="102" t="s">
        <v>1753</v>
      </c>
      <c r="H219" s="102" t="s">
        <v>1767</v>
      </c>
      <c r="I219">
        <v>4000</v>
      </c>
      <c r="J219">
        <v>4000</v>
      </c>
      <c r="K219">
        <v>4000</v>
      </c>
      <c r="L219">
        <v>4000</v>
      </c>
      <c r="M219" s="102" t="s">
        <v>1099</v>
      </c>
      <c r="N219" s="102" t="s">
        <v>1500</v>
      </c>
      <c r="O219" s="93">
        <v>46125</v>
      </c>
    </row>
    <row r="220" spans="1:15" x14ac:dyDescent="0.3">
      <c r="A220" s="102" t="s">
        <v>1750</v>
      </c>
      <c r="B220" t="s">
        <v>1751</v>
      </c>
      <c r="C220" s="93">
        <v>46255</v>
      </c>
      <c r="D220" s="93"/>
      <c r="E220" s="93"/>
      <c r="F220" s="102" t="s">
        <v>1752</v>
      </c>
      <c r="G220" s="102" t="s">
        <v>1762</v>
      </c>
      <c r="H220" s="102" t="s">
        <v>1754</v>
      </c>
      <c r="I220">
        <v>14000</v>
      </c>
      <c r="J220">
        <v>14000</v>
      </c>
      <c r="K220">
        <v>14000</v>
      </c>
      <c r="L220">
        <v>0</v>
      </c>
      <c r="M220" s="102" t="s">
        <v>1099</v>
      </c>
      <c r="N220" s="102" t="s">
        <v>1488</v>
      </c>
      <c r="O220" s="93">
        <v>46124</v>
      </c>
    </row>
    <row r="221" spans="1:15" x14ac:dyDescent="0.3">
      <c r="A221" s="102" t="s">
        <v>1750</v>
      </c>
      <c r="B221" t="s">
        <v>1751</v>
      </c>
      <c r="C221" s="93">
        <v>46199</v>
      </c>
      <c r="D221" s="93">
        <v>46199</v>
      </c>
      <c r="E221" s="93">
        <v>46199</v>
      </c>
      <c r="F221" s="102" t="s">
        <v>1752</v>
      </c>
      <c r="G221" s="102" t="s">
        <v>1762</v>
      </c>
      <c r="H221" s="102" t="s">
        <v>1765</v>
      </c>
      <c r="I221">
        <v>8550</v>
      </c>
      <c r="J221">
        <v>8550</v>
      </c>
      <c r="K221">
        <v>8550</v>
      </c>
      <c r="L221">
        <v>8550</v>
      </c>
      <c r="M221" s="102" t="s">
        <v>1099</v>
      </c>
      <c r="N221" s="102" t="s">
        <v>1488</v>
      </c>
      <c r="O221" s="93">
        <v>46124</v>
      </c>
    </row>
    <row r="222" spans="1:15" x14ac:dyDescent="0.3">
      <c r="A222" s="102" t="s">
        <v>1750</v>
      </c>
      <c r="B222" t="s">
        <v>1751</v>
      </c>
      <c r="C222" s="93">
        <v>46125</v>
      </c>
      <c r="D222" s="93">
        <v>46125</v>
      </c>
      <c r="E222" s="93">
        <v>46125</v>
      </c>
      <c r="F222" s="102" t="s">
        <v>1763</v>
      </c>
      <c r="G222" s="102" t="s">
        <v>1764</v>
      </c>
      <c r="H222" s="102" t="s">
        <v>1480</v>
      </c>
      <c r="I222">
        <v>200</v>
      </c>
      <c r="J222">
        <v>200</v>
      </c>
      <c r="K222">
        <v>200</v>
      </c>
      <c r="L222">
        <v>200</v>
      </c>
      <c r="M222" s="102" t="s">
        <v>1099</v>
      </c>
      <c r="N222" s="102" t="s">
        <v>1500</v>
      </c>
      <c r="O222" s="93">
        <v>46125</v>
      </c>
    </row>
    <row r="223" spans="1:15" x14ac:dyDescent="0.3">
      <c r="A223" s="102" t="s">
        <v>1750</v>
      </c>
      <c r="B223" t="s">
        <v>1751</v>
      </c>
      <c r="C223" s="93">
        <v>46156</v>
      </c>
      <c r="D223" s="93">
        <v>46156</v>
      </c>
      <c r="E223" s="93">
        <v>46156</v>
      </c>
      <c r="F223" s="102" t="s">
        <v>1756</v>
      </c>
      <c r="G223" s="102" t="s">
        <v>1757</v>
      </c>
      <c r="H223" s="102" t="s">
        <v>1629</v>
      </c>
      <c r="I223">
        <v>500</v>
      </c>
      <c r="J223">
        <v>500</v>
      </c>
      <c r="K223">
        <v>500</v>
      </c>
      <c r="L223">
        <v>500</v>
      </c>
      <c r="M223" s="102" t="s">
        <v>1099</v>
      </c>
      <c r="N223" s="102" t="s">
        <v>1481</v>
      </c>
      <c r="O223" s="93">
        <v>46156</v>
      </c>
    </row>
    <row r="224" spans="1:15" x14ac:dyDescent="0.3">
      <c r="A224" s="102" t="s">
        <v>1750</v>
      </c>
      <c r="B224" t="s">
        <v>1751</v>
      </c>
      <c r="C224" s="93">
        <v>46127</v>
      </c>
      <c r="D224" s="93">
        <v>46127</v>
      </c>
      <c r="E224" s="93">
        <v>46127</v>
      </c>
      <c r="F224" s="102" t="s">
        <v>1771</v>
      </c>
      <c r="G224" s="102" t="s">
        <v>1772</v>
      </c>
      <c r="H224" s="102" t="s">
        <v>1480</v>
      </c>
      <c r="I224">
        <v>4500</v>
      </c>
      <c r="J224">
        <v>1201.69</v>
      </c>
      <c r="K224">
        <v>1201.69</v>
      </c>
      <c r="L224">
        <v>4500</v>
      </c>
      <c r="M224" s="102" t="s">
        <v>1099</v>
      </c>
      <c r="N224" s="102" t="s">
        <v>1481</v>
      </c>
      <c r="O224" s="93">
        <v>46127</v>
      </c>
    </row>
    <row r="225" spans="1:15" x14ac:dyDescent="0.3">
      <c r="A225" s="102" t="s">
        <v>1750</v>
      </c>
      <c r="B225" t="s">
        <v>1751</v>
      </c>
      <c r="C225" s="93">
        <v>46155</v>
      </c>
      <c r="D225" s="93">
        <v>46150</v>
      </c>
      <c r="E225" s="93">
        <v>46150</v>
      </c>
      <c r="F225" s="102" t="s">
        <v>1752</v>
      </c>
      <c r="G225" s="102" t="s">
        <v>1753</v>
      </c>
      <c r="H225" s="102" t="s">
        <v>1765</v>
      </c>
      <c r="I225">
        <v>4500</v>
      </c>
      <c r="J225">
        <v>4500</v>
      </c>
      <c r="K225">
        <v>4500</v>
      </c>
      <c r="L225">
        <v>4500</v>
      </c>
      <c r="M225" s="102" t="s">
        <v>1099</v>
      </c>
      <c r="N225" s="102" t="s">
        <v>1500</v>
      </c>
      <c r="O225" s="93">
        <v>46125</v>
      </c>
    </row>
    <row r="226" spans="1:15" x14ac:dyDescent="0.3">
      <c r="A226" s="102" t="s">
        <v>1750</v>
      </c>
      <c r="B226" t="s">
        <v>1751</v>
      </c>
      <c r="C226" s="93">
        <v>46213</v>
      </c>
      <c r="D226" s="93"/>
      <c r="E226" s="93"/>
      <c r="F226" s="102" t="s">
        <v>1752</v>
      </c>
      <c r="G226" s="102" t="s">
        <v>1762</v>
      </c>
      <c r="H226" s="102" t="s">
        <v>1769</v>
      </c>
      <c r="I226">
        <v>14000</v>
      </c>
      <c r="J226">
        <v>14000</v>
      </c>
      <c r="K226">
        <v>14000</v>
      </c>
      <c r="L226">
        <v>0</v>
      </c>
      <c r="M226" s="102" t="s">
        <v>1099</v>
      </c>
      <c r="N226" s="102" t="s">
        <v>1488</v>
      </c>
      <c r="O226" s="93">
        <v>46124</v>
      </c>
    </row>
    <row r="227" spans="1:15" x14ac:dyDescent="0.3">
      <c r="A227" s="102" t="s">
        <v>1750</v>
      </c>
      <c r="B227" t="s">
        <v>1751</v>
      </c>
      <c r="C227" s="93">
        <v>46170</v>
      </c>
      <c r="D227" s="93">
        <v>46171</v>
      </c>
      <c r="E227" s="93">
        <v>46171</v>
      </c>
      <c r="F227" s="102" t="s">
        <v>1752</v>
      </c>
      <c r="G227" s="102" t="s">
        <v>1753</v>
      </c>
      <c r="H227" s="102" t="s">
        <v>1769</v>
      </c>
      <c r="I227">
        <v>3000</v>
      </c>
      <c r="J227">
        <v>3000</v>
      </c>
      <c r="K227">
        <v>3000</v>
      </c>
      <c r="L227">
        <v>3000</v>
      </c>
      <c r="M227" s="102" t="s">
        <v>1099</v>
      </c>
      <c r="N227" s="102" t="s">
        <v>1500</v>
      </c>
      <c r="O227" s="93">
        <v>46125</v>
      </c>
    </row>
    <row r="228" spans="1:15" x14ac:dyDescent="0.3">
      <c r="A228" s="102" t="s">
        <v>1750</v>
      </c>
      <c r="B228" t="s">
        <v>1751</v>
      </c>
      <c r="C228" s="93">
        <v>46185</v>
      </c>
      <c r="D228" s="93">
        <v>46185</v>
      </c>
      <c r="E228" s="93">
        <v>46185</v>
      </c>
      <c r="F228" s="102" t="s">
        <v>1752</v>
      </c>
      <c r="G228" s="102" t="s">
        <v>1753</v>
      </c>
      <c r="H228" s="102" t="s">
        <v>1770</v>
      </c>
      <c r="I228">
        <v>5000</v>
      </c>
      <c r="J228">
        <v>5000</v>
      </c>
      <c r="K228">
        <v>5000</v>
      </c>
      <c r="L228">
        <v>5000</v>
      </c>
      <c r="M228" s="102" t="s">
        <v>1099</v>
      </c>
      <c r="N228" s="102" t="s">
        <v>1500</v>
      </c>
      <c r="O228" s="93">
        <v>46125</v>
      </c>
    </row>
    <row r="229" spans="1:15" x14ac:dyDescent="0.3">
      <c r="A229" s="102" t="s">
        <v>1750</v>
      </c>
      <c r="B229" t="s">
        <v>1751</v>
      </c>
      <c r="C229" s="93">
        <v>46227</v>
      </c>
      <c r="D229" s="93"/>
      <c r="E229" s="93"/>
      <c r="F229" s="102" t="s">
        <v>1752</v>
      </c>
      <c r="G229" s="102" t="s">
        <v>1762</v>
      </c>
      <c r="H229" s="102" t="s">
        <v>1770</v>
      </c>
      <c r="I229">
        <v>14000</v>
      </c>
      <c r="J229">
        <v>14000</v>
      </c>
      <c r="K229">
        <v>14000</v>
      </c>
      <c r="L229">
        <v>0</v>
      </c>
      <c r="M229" s="102" t="s">
        <v>1099</v>
      </c>
      <c r="N229" s="102" t="s">
        <v>1488</v>
      </c>
      <c r="O229" s="93">
        <v>46124</v>
      </c>
    </row>
    <row r="230" spans="1:15" x14ac:dyDescent="0.3">
      <c r="A230" s="102" t="s">
        <v>1750</v>
      </c>
      <c r="B230" t="s">
        <v>1751</v>
      </c>
      <c r="C230" s="93">
        <v>46063</v>
      </c>
      <c r="D230" s="93">
        <v>46068</v>
      </c>
      <c r="E230" s="93">
        <v>46068</v>
      </c>
      <c r="F230" s="102" t="s">
        <v>1775</v>
      </c>
      <c r="G230" s="102" t="s">
        <v>1776</v>
      </c>
      <c r="H230" s="102" t="s">
        <v>1480</v>
      </c>
      <c r="I230">
        <v>3000</v>
      </c>
      <c r="J230">
        <v>3000</v>
      </c>
      <c r="K230">
        <v>3000</v>
      </c>
      <c r="L230">
        <v>3000</v>
      </c>
      <c r="M230" s="102" t="s">
        <v>1099</v>
      </c>
      <c r="N230" s="102" t="s">
        <v>1481</v>
      </c>
      <c r="O230" s="93">
        <v>46037</v>
      </c>
    </row>
    <row r="231" spans="1:15" x14ac:dyDescent="0.3">
      <c r="A231" s="102" t="s">
        <v>1750</v>
      </c>
      <c r="B231" t="s">
        <v>1751</v>
      </c>
      <c r="C231" s="93">
        <v>46171</v>
      </c>
      <c r="D231" s="93">
        <v>46171</v>
      </c>
      <c r="E231" s="93">
        <v>46171</v>
      </c>
      <c r="F231" s="102" t="s">
        <v>1752</v>
      </c>
      <c r="G231" s="102" t="s">
        <v>1762</v>
      </c>
      <c r="H231" s="102" t="s">
        <v>1755</v>
      </c>
      <c r="I231">
        <v>3500</v>
      </c>
      <c r="J231">
        <v>3500</v>
      </c>
      <c r="K231">
        <v>3500</v>
      </c>
      <c r="L231">
        <v>3500</v>
      </c>
      <c r="M231" s="102" t="s">
        <v>1099</v>
      </c>
      <c r="N231" s="102" t="s">
        <v>1488</v>
      </c>
      <c r="O231" s="93">
        <v>46124</v>
      </c>
    </row>
    <row r="232" spans="1:15" x14ac:dyDescent="0.3">
      <c r="A232" s="102" t="s">
        <v>1750</v>
      </c>
      <c r="B232" t="s">
        <v>1751</v>
      </c>
      <c r="C232" s="93">
        <v>46241</v>
      </c>
      <c r="D232" s="93"/>
      <c r="E232" s="93"/>
      <c r="F232" s="102" t="s">
        <v>1752</v>
      </c>
      <c r="G232" s="102" t="s">
        <v>1762</v>
      </c>
      <c r="H232" s="102" t="s">
        <v>1760</v>
      </c>
      <c r="I232">
        <v>14000</v>
      </c>
      <c r="J232">
        <v>14000</v>
      </c>
      <c r="K232">
        <v>14000</v>
      </c>
      <c r="L232">
        <v>0</v>
      </c>
      <c r="M232" s="102" t="s">
        <v>1099</v>
      </c>
      <c r="N232" s="102" t="s">
        <v>1488</v>
      </c>
      <c r="O232" s="93">
        <v>46124</v>
      </c>
    </row>
    <row r="233" spans="1:15" x14ac:dyDescent="0.3">
      <c r="A233" s="102" t="s">
        <v>1750</v>
      </c>
      <c r="B233" t="s">
        <v>1751</v>
      </c>
      <c r="C233" s="93">
        <v>46143</v>
      </c>
      <c r="D233" s="93">
        <v>46143</v>
      </c>
      <c r="E233" s="93">
        <v>46143</v>
      </c>
      <c r="F233" s="102" t="s">
        <v>1758</v>
      </c>
      <c r="G233" s="102" t="s">
        <v>1759</v>
      </c>
      <c r="H233" s="102" t="s">
        <v>1688</v>
      </c>
      <c r="I233">
        <v>12600</v>
      </c>
      <c r="J233">
        <v>12600</v>
      </c>
      <c r="K233">
        <v>12600</v>
      </c>
      <c r="L233">
        <v>12600</v>
      </c>
      <c r="M233" s="102" t="s">
        <v>1099</v>
      </c>
      <c r="N233" s="102" t="s">
        <v>1488</v>
      </c>
      <c r="O233" s="93">
        <v>46143</v>
      </c>
    </row>
    <row r="234" spans="1:15" x14ac:dyDescent="0.3">
      <c r="A234" s="102" t="s">
        <v>1750</v>
      </c>
      <c r="B234" t="s">
        <v>1751</v>
      </c>
      <c r="C234" s="93">
        <v>46125</v>
      </c>
      <c r="D234" s="93">
        <v>46125</v>
      </c>
      <c r="E234" s="93">
        <v>46125</v>
      </c>
      <c r="F234" s="102" t="s">
        <v>1752</v>
      </c>
      <c r="G234" s="102" t="s">
        <v>1753</v>
      </c>
      <c r="H234" s="102" t="s">
        <v>1766</v>
      </c>
      <c r="I234">
        <v>4000</v>
      </c>
      <c r="J234">
        <v>4000</v>
      </c>
      <c r="K234">
        <v>4000</v>
      </c>
      <c r="L234">
        <v>4000</v>
      </c>
      <c r="M234" s="102" t="s">
        <v>1099</v>
      </c>
      <c r="N234" s="102" t="s">
        <v>1500</v>
      </c>
      <c r="O234" s="93">
        <v>46125</v>
      </c>
    </row>
    <row r="235" spans="1:15" x14ac:dyDescent="0.3">
      <c r="A235" s="102" t="s">
        <v>1750</v>
      </c>
      <c r="B235" t="s">
        <v>1751</v>
      </c>
      <c r="C235" s="93">
        <v>46269</v>
      </c>
      <c r="D235" s="93"/>
      <c r="E235" s="93"/>
      <c r="F235" s="102" t="s">
        <v>1752</v>
      </c>
      <c r="G235" s="102" t="s">
        <v>1762</v>
      </c>
      <c r="H235" s="102" t="s">
        <v>1768</v>
      </c>
      <c r="I235">
        <v>11100</v>
      </c>
      <c r="J235">
        <v>11100</v>
      </c>
      <c r="K235">
        <v>11100</v>
      </c>
      <c r="L235">
        <v>0</v>
      </c>
      <c r="M235" s="102" t="s">
        <v>1099</v>
      </c>
      <c r="N235" s="102" t="s">
        <v>1488</v>
      </c>
      <c r="O235" s="93">
        <v>46124</v>
      </c>
    </row>
    <row r="236" spans="1:15" x14ac:dyDescent="0.3">
      <c r="A236" s="102" t="s">
        <v>1750</v>
      </c>
      <c r="B236" t="s">
        <v>1751</v>
      </c>
      <c r="C236" s="93">
        <v>46140</v>
      </c>
      <c r="D236" s="93">
        <v>46136</v>
      </c>
      <c r="E236" s="93">
        <v>46136</v>
      </c>
      <c r="F236" s="102" t="s">
        <v>1752</v>
      </c>
      <c r="G236" s="102" t="s">
        <v>1753</v>
      </c>
      <c r="H236" s="102" t="s">
        <v>1760</v>
      </c>
      <c r="I236">
        <v>4000</v>
      </c>
      <c r="J236">
        <v>4000</v>
      </c>
      <c r="K236">
        <v>4000</v>
      </c>
      <c r="L236">
        <v>4000</v>
      </c>
      <c r="M236" s="102" t="s">
        <v>1099</v>
      </c>
      <c r="N236" s="102" t="s">
        <v>1500</v>
      </c>
      <c r="O236" s="93">
        <v>46125</v>
      </c>
    </row>
    <row r="237" spans="1:15" x14ac:dyDescent="0.3">
      <c r="A237" s="102" t="s">
        <v>1750</v>
      </c>
      <c r="B237" t="s">
        <v>1751</v>
      </c>
      <c r="C237" s="93">
        <v>46140</v>
      </c>
      <c r="D237" s="93">
        <v>46136</v>
      </c>
      <c r="E237" s="93">
        <v>46136</v>
      </c>
      <c r="F237" s="102" t="s">
        <v>1752</v>
      </c>
      <c r="G237" s="102" t="s">
        <v>1753</v>
      </c>
      <c r="H237" s="102" t="s">
        <v>1754</v>
      </c>
      <c r="I237">
        <v>3600</v>
      </c>
      <c r="J237">
        <v>3600</v>
      </c>
      <c r="K237">
        <v>3600</v>
      </c>
      <c r="L237">
        <v>3600</v>
      </c>
      <c r="M237" s="102" t="s">
        <v>1099</v>
      </c>
      <c r="N237" s="102" t="s">
        <v>1500</v>
      </c>
      <c r="O237" s="93">
        <v>46125</v>
      </c>
    </row>
    <row r="238" spans="1:15" x14ac:dyDescent="0.3">
      <c r="A238" s="102" t="s">
        <v>1750</v>
      </c>
      <c r="B238" t="s">
        <v>1751</v>
      </c>
      <c r="C238" s="93">
        <v>46157</v>
      </c>
      <c r="D238" s="93">
        <v>46157</v>
      </c>
      <c r="E238" s="93">
        <v>46157</v>
      </c>
      <c r="F238" s="102" t="s">
        <v>1752</v>
      </c>
      <c r="G238" s="102" t="s">
        <v>1753</v>
      </c>
      <c r="H238" s="102" t="s">
        <v>1755</v>
      </c>
      <c r="I238">
        <v>1400</v>
      </c>
      <c r="J238">
        <v>1400</v>
      </c>
      <c r="K238">
        <v>1400</v>
      </c>
      <c r="L238">
        <v>1400</v>
      </c>
      <c r="M238" s="102" t="s">
        <v>1099</v>
      </c>
      <c r="N238" s="102" t="s">
        <v>1500</v>
      </c>
      <c r="O238" s="93">
        <v>46125</v>
      </c>
    </row>
    <row r="239" spans="1:15" x14ac:dyDescent="0.3">
      <c r="A239" s="102" t="s">
        <v>1750</v>
      </c>
      <c r="B239" t="s">
        <v>1751</v>
      </c>
      <c r="C239" s="93">
        <v>46150</v>
      </c>
      <c r="D239" s="93">
        <v>46150</v>
      </c>
      <c r="E239" s="93">
        <v>46150</v>
      </c>
      <c r="F239" s="102" t="s">
        <v>1752</v>
      </c>
      <c r="G239" s="102" t="s">
        <v>1761</v>
      </c>
      <c r="H239" s="102" t="s">
        <v>1480</v>
      </c>
      <c r="I239">
        <v>1400</v>
      </c>
      <c r="J239">
        <v>1400</v>
      </c>
      <c r="K239">
        <v>1400</v>
      </c>
      <c r="L239">
        <v>1400</v>
      </c>
      <c r="M239" s="102" t="s">
        <v>1099</v>
      </c>
      <c r="N239" s="102" t="s">
        <v>1481</v>
      </c>
      <c r="O239" s="93">
        <v>46150</v>
      </c>
    </row>
    <row r="240" spans="1:15" x14ac:dyDescent="0.3">
      <c r="A240" s="102" t="s">
        <v>1750</v>
      </c>
      <c r="B240" t="s">
        <v>1751</v>
      </c>
      <c r="C240" s="93">
        <v>46181</v>
      </c>
      <c r="D240" s="93">
        <v>46181</v>
      </c>
      <c r="E240" s="93">
        <v>46181</v>
      </c>
      <c r="F240" s="102" t="s">
        <v>1756</v>
      </c>
      <c r="G240" s="102" t="s">
        <v>1757</v>
      </c>
      <c r="H240" s="102" t="s">
        <v>1626</v>
      </c>
      <c r="I240">
        <v>6200</v>
      </c>
      <c r="J240">
        <v>6200</v>
      </c>
      <c r="K240">
        <v>6200</v>
      </c>
      <c r="L240">
        <v>6200</v>
      </c>
      <c r="M240" s="102" t="s">
        <v>1099</v>
      </c>
      <c r="N240" s="102" t="s">
        <v>1481</v>
      </c>
      <c r="O240" s="93">
        <v>46156</v>
      </c>
    </row>
    <row r="241" spans="1:15" x14ac:dyDescent="0.3">
      <c r="A241" s="102" t="s">
        <v>1750</v>
      </c>
      <c r="B241" t="s">
        <v>1751</v>
      </c>
      <c r="C241" s="93">
        <v>46082</v>
      </c>
      <c r="D241" s="93">
        <v>46082</v>
      </c>
      <c r="E241" s="93">
        <v>46082</v>
      </c>
      <c r="F241" s="102" t="s">
        <v>1773</v>
      </c>
      <c r="G241" s="102" t="s">
        <v>1774</v>
      </c>
      <c r="H241" s="102" t="s">
        <v>1629</v>
      </c>
      <c r="I241">
        <v>2000</v>
      </c>
      <c r="J241">
        <v>2000</v>
      </c>
      <c r="K241">
        <v>2000</v>
      </c>
      <c r="L241">
        <v>2000</v>
      </c>
      <c r="M241" s="102" t="s">
        <v>1099</v>
      </c>
      <c r="N241" s="102" t="s">
        <v>1481</v>
      </c>
      <c r="O241" s="93">
        <v>46082</v>
      </c>
    </row>
    <row r="242" spans="1:15" x14ac:dyDescent="0.3">
      <c r="A242" s="102" t="s">
        <v>1750</v>
      </c>
      <c r="B242" t="s">
        <v>1751</v>
      </c>
      <c r="C242" s="93">
        <v>46089</v>
      </c>
      <c r="D242" s="93">
        <v>46089</v>
      </c>
      <c r="E242" s="93">
        <v>46089</v>
      </c>
      <c r="F242" s="102" t="s">
        <v>1773</v>
      </c>
      <c r="G242" s="102" t="s">
        <v>1774</v>
      </c>
      <c r="H242" s="102" t="s">
        <v>1630</v>
      </c>
      <c r="I242">
        <v>2000</v>
      </c>
      <c r="J242">
        <v>2000</v>
      </c>
      <c r="K242">
        <v>2000</v>
      </c>
      <c r="L242">
        <v>2000</v>
      </c>
      <c r="M242" s="102" t="s">
        <v>1099</v>
      </c>
      <c r="N242" s="102" t="s">
        <v>1481</v>
      </c>
      <c r="O242" s="93">
        <v>46082</v>
      </c>
    </row>
    <row r="243" spans="1:15" x14ac:dyDescent="0.3">
      <c r="A243" s="102" t="s">
        <v>1750</v>
      </c>
      <c r="B243" t="s">
        <v>1751</v>
      </c>
      <c r="C243" s="93">
        <v>46096</v>
      </c>
      <c r="D243" s="93">
        <v>46095</v>
      </c>
      <c r="E243" s="93">
        <v>46095</v>
      </c>
      <c r="F243" s="102" t="s">
        <v>1773</v>
      </c>
      <c r="G243" s="102" t="s">
        <v>1774</v>
      </c>
      <c r="H243" s="102" t="s">
        <v>1626</v>
      </c>
      <c r="I243">
        <v>2000</v>
      </c>
      <c r="J243">
        <v>2000</v>
      </c>
      <c r="K243">
        <v>2000</v>
      </c>
      <c r="L243">
        <v>2000</v>
      </c>
      <c r="M243" s="102" t="s">
        <v>1099</v>
      </c>
      <c r="N243" s="102" t="s">
        <v>1481</v>
      </c>
      <c r="O243" s="93">
        <v>46082</v>
      </c>
    </row>
    <row r="244" spans="1:15" x14ac:dyDescent="0.3">
      <c r="A244" s="102" t="s">
        <v>1750</v>
      </c>
      <c r="B244" t="s">
        <v>1751</v>
      </c>
      <c r="C244" s="93">
        <v>46197</v>
      </c>
      <c r="D244" s="93"/>
      <c r="E244" s="93"/>
      <c r="F244" s="102" t="s">
        <v>1752</v>
      </c>
      <c r="G244" s="102" t="s">
        <v>1753</v>
      </c>
      <c r="H244" s="102" t="s">
        <v>1768</v>
      </c>
      <c r="I244">
        <v>5500</v>
      </c>
      <c r="J244">
        <v>5500</v>
      </c>
      <c r="K244">
        <v>5500</v>
      </c>
      <c r="L244">
        <v>0</v>
      </c>
      <c r="M244" s="102" t="s">
        <v>1099</v>
      </c>
      <c r="N244" s="102" t="s">
        <v>1500</v>
      </c>
      <c r="O244" s="93">
        <v>46125</v>
      </c>
    </row>
    <row r="245" spans="1:15" x14ac:dyDescent="0.3">
      <c r="A245" s="102" t="s">
        <v>1750</v>
      </c>
      <c r="B245" t="s">
        <v>1751</v>
      </c>
      <c r="C245" s="93">
        <v>46160</v>
      </c>
      <c r="D245" s="93">
        <v>46160</v>
      </c>
      <c r="E245" s="93">
        <v>46160</v>
      </c>
      <c r="F245" s="102" t="s">
        <v>1752</v>
      </c>
      <c r="G245" s="102" t="s">
        <v>1762</v>
      </c>
      <c r="H245" s="102" t="s">
        <v>1766</v>
      </c>
      <c r="I245">
        <v>6000</v>
      </c>
      <c r="J245">
        <v>6000</v>
      </c>
      <c r="K245">
        <v>6000</v>
      </c>
      <c r="L245">
        <v>6000</v>
      </c>
      <c r="M245" s="102" t="s">
        <v>1099</v>
      </c>
      <c r="N245" s="102" t="s">
        <v>1488</v>
      </c>
      <c r="O245" s="93">
        <v>46124</v>
      </c>
    </row>
    <row r="246" spans="1:15" x14ac:dyDescent="0.3">
      <c r="A246" s="102" t="s">
        <v>1750</v>
      </c>
      <c r="B246" t="s">
        <v>1751</v>
      </c>
      <c r="C246" s="93">
        <v>46185</v>
      </c>
      <c r="D246" s="93">
        <v>46185</v>
      </c>
      <c r="E246" s="93">
        <v>46185</v>
      </c>
      <c r="F246" s="102" t="s">
        <v>1752</v>
      </c>
      <c r="G246" s="102" t="s">
        <v>1762</v>
      </c>
      <c r="H246" s="102" t="s">
        <v>1767</v>
      </c>
      <c r="I246">
        <v>4850</v>
      </c>
      <c r="J246">
        <v>4850</v>
      </c>
      <c r="K246">
        <v>4850</v>
      </c>
      <c r="L246">
        <v>4850</v>
      </c>
      <c r="M246" s="102" t="s">
        <v>1099</v>
      </c>
      <c r="N246" s="102" t="s">
        <v>1488</v>
      </c>
      <c r="O246" s="93">
        <v>46124</v>
      </c>
    </row>
    <row r="247" spans="1:15" x14ac:dyDescent="0.3">
      <c r="A247" s="102" t="s">
        <v>1777</v>
      </c>
      <c r="B247" t="s">
        <v>1778</v>
      </c>
      <c r="C247" s="93">
        <v>46049</v>
      </c>
      <c r="D247" s="93">
        <v>46072</v>
      </c>
      <c r="E247" s="93">
        <v>46072</v>
      </c>
      <c r="F247" s="102" t="s">
        <v>1756</v>
      </c>
      <c r="G247" s="102" t="s">
        <v>1781</v>
      </c>
      <c r="H247" s="102" t="s">
        <v>1696</v>
      </c>
      <c r="I247">
        <v>1050</v>
      </c>
      <c r="J247">
        <v>3850</v>
      </c>
      <c r="K247">
        <v>3850</v>
      </c>
      <c r="L247">
        <v>3850</v>
      </c>
      <c r="M247" s="102" t="s">
        <v>1099</v>
      </c>
      <c r="N247" s="102" t="s">
        <v>1481</v>
      </c>
      <c r="O247" s="93">
        <v>46032</v>
      </c>
    </row>
    <row r="248" spans="1:15" x14ac:dyDescent="0.3">
      <c r="A248" s="102" t="s">
        <v>1777</v>
      </c>
      <c r="B248" t="s">
        <v>1778</v>
      </c>
      <c r="C248" s="93">
        <v>46112</v>
      </c>
      <c r="D248" s="93">
        <v>46112</v>
      </c>
      <c r="E248" s="93">
        <v>46112</v>
      </c>
      <c r="F248" s="102" t="s">
        <v>1791</v>
      </c>
      <c r="G248" s="102" t="s">
        <v>1692</v>
      </c>
      <c r="H248" s="102" t="s">
        <v>1688</v>
      </c>
      <c r="I248">
        <v>510</v>
      </c>
      <c r="J248">
        <v>510</v>
      </c>
      <c r="K248">
        <v>510</v>
      </c>
      <c r="L248">
        <v>510</v>
      </c>
      <c r="M248" s="102" t="s">
        <v>1099</v>
      </c>
      <c r="N248" s="102" t="s">
        <v>1481</v>
      </c>
      <c r="O248" s="93">
        <v>46112</v>
      </c>
    </row>
    <row r="249" spans="1:15" x14ac:dyDescent="0.3">
      <c r="A249" s="102" t="s">
        <v>1777</v>
      </c>
      <c r="B249" t="s">
        <v>1778</v>
      </c>
      <c r="C249" s="93">
        <v>46114</v>
      </c>
      <c r="D249" s="93">
        <v>46114</v>
      </c>
      <c r="E249" s="93">
        <v>46114</v>
      </c>
      <c r="F249" s="102" t="s">
        <v>1791</v>
      </c>
      <c r="G249" s="102" t="s">
        <v>1692</v>
      </c>
      <c r="H249" s="102" t="s">
        <v>1693</v>
      </c>
      <c r="I249">
        <v>140</v>
      </c>
      <c r="J249">
        <v>140</v>
      </c>
      <c r="K249">
        <v>140</v>
      </c>
      <c r="L249">
        <v>140</v>
      </c>
      <c r="M249" s="102" t="s">
        <v>1099</v>
      </c>
      <c r="N249" s="102" t="s">
        <v>1481</v>
      </c>
      <c r="O249" s="93">
        <v>46112</v>
      </c>
    </row>
    <row r="250" spans="1:15" x14ac:dyDescent="0.3">
      <c r="A250" s="102" t="s">
        <v>1777</v>
      </c>
      <c r="B250" t="s">
        <v>1778</v>
      </c>
      <c r="C250" s="93">
        <v>46186</v>
      </c>
      <c r="D250" s="93">
        <v>46170</v>
      </c>
      <c r="E250" s="93">
        <v>46170</v>
      </c>
      <c r="F250" s="102" t="s">
        <v>1779</v>
      </c>
      <c r="G250" s="102" t="s">
        <v>1780</v>
      </c>
      <c r="H250" s="102" t="s">
        <v>1630</v>
      </c>
      <c r="I250">
        <v>379</v>
      </c>
      <c r="J250">
        <v>379</v>
      </c>
      <c r="K250">
        <v>379</v>
      </c>
      <c r="L250">
        <v>379</v>
      </c>
      <c r="M250" s="102" t="s">
        <v>1099</v>
      </c>
      <c r="N250" s="102" t="s">
        <v>1481</v>
      </c>
      <c r="O250" s="93">
        <v>46159</v>
      </c>
    </row>
    <row r="251" spans="1:15" x14ac:dyDescent="0.3">
      <c r="A251" s="102" t="s">
        <v>1777</v>
      </c>
      <c r="B251" t="s">
        <v>1778</v>
      </c>
      <c r="C251" s="93">
        <v>46178</v>
      </c>
      <c r="D251" s="93">
        <v>46178</v>
      </c>
      <c r="E251" s="93">
        <v>46178</v>
      </c>
      <c r="F251" s="102" t="s">
        <v>1694</v>
      </c>
      <c r="G251" s="102" t="s">
        <v>1800</v>
      </c>
      <c r="H251" s="102" t="s">
        <v>1480</v>
      </c>
      <c r="I251">
        <v>4148</v>
      </c>
      <c r="J251">
        <v>4148</v>
      </c>
      <c r="K251">
        <v>4148</v>
      </c>
      <c r="L251">
        <v>4148</v>
      </c>
      <c r="M251" s="102" t="s">
        <v>1099</v>
      </c>
      <c r="N251" s="102" t="s">
        <v>1481</v>
      </c>
      <c r="O251" s="93">
        <v>46178</v>
      </c>
    </row>
    <row r="252" spans="1:15" x14ac:dyDescent="0.3">
      <c r="A252" s="102" t="s">
        <v>1777</v>
      </c>
      <c r="B252" t="s">
        <v>1778</v>
      </c>
      <c r="C252" s="93">
        <v>46155</v>
      </c>
      <c r="D252" s="93">
        <v>46155</v>
      </c>
      <c r="E252" s="93">
        <v>46155</v>
      </c>
      <c r="F252" s="102" t="s">
        <v>1779</v>
      </c>
      <c r="G252" s="102" t="s">
        <v>1797</v>
      </c>
      <c r="H252" s="102" t="s">
        <v>1802</v>
      </c>
      <c r="I252">
        <v>900</v>
      </c>
      <c r="J252">
        <v>900</v>
      </c>
      <c r="K252">
        <v>900</v>
      </c>
      <c r="L252">
        <v>900</v>
      </c>
      <c r="M252" s="102" t="s">
        <v>1099</v>
      </c>
      <c r="N252" s="102" t="s">
        <v>1481</v>
      </c>
      <c r="O252" s="93">
        <v>46142</v>
      </c>
    </row>
    <row r="253" spans="1:15" x14ac:dyDescent="0.3">
      <c r="A253" s="102" t="s">
        <v>1777</v>
      </c>
      <c r="B253" t="s">
        <v>1778</v>
      </c>
      <c r="C253" s="93">
        <v>46155</v>
      </c>
      <c r="D253" s="93">
        <v>46155</v>
      </c>
      <c r="E253" s="93">
        <v>46155</v>
      </c>
      <c r="F253" s="102" t="s">
        <v>1779</v>
      </c>
      <c r="G253" s="102" t="s">
        <v>1797</v>
      </c>
      <c r="H253" s="102" t="s">
        <v>1798</v>
      </c>
      <c r="I253">
        <v>800</v>
      </c>
      <c r="J253">
        <v>800</v>
      </c>
      <c r="K253">
        <v>800</v>
      </c>
      <c r="L253">
        <v>800</v>
      </c>
      <c r="M253" s="102" t="s">
        <v>1099</v>
      </c>
      <c r="N253" s="102" t="s">
        <v>1481</v>
      </c>
      <c r="O253" s="93">
        <v>46142</v>
      </c>
    </row>
    <row r="254" spans="1:15" x14ac:dyDescent="0.3">
      <c r="A254" s="102" t="s">
        <v>1777</v>
      </c>
      <c r="B254" t="s">
        <v>1778</v>
      </c>
      <c r="C254" s="93">
        <v>46179</v>
      </c>
      <c r="D254" s="93">
        <v>46179</v>
      </c>
      <c r="E254" s="93">
        <v>46179</v>
      </c>
      <c r="F254" s="102" t="s">
        <v>1782</v>
      </c>
      <c r="G254" s="102" t="s">
        <v>1786</v>
      </c>
      <c r="H254" s="102" t="s">
        <v>1480</v>
      </c>
      <c r="I254">
        <v>560</v>
      </c>
      <c r="J254">
        <v>560</v>
      </c>
      <c r="K254">
        <v>560</v>
      </c>
      <c r="L254">
        <v>560</v>
      </c>
      <c r="M254" s="102" t="s">
        <v>1099</v>
      </c>
      <c r="N254" s="102" t="s">
        <v>1481</v>
      </c>
      <c r="O254" s="93">
        <v>46179</v>
      </c>
    </row>
    <row r="255" spans="1:15" x14ac:dyDescent="0.3">
      <c r="A255" s="102" t="s">
        <v>1777</v>
      </c>
      <c r="B255" t="s">
        <v>1778</v>
      </c>
      <c r="C255" s="93">
        <v>46181</v>
      </c>
      <c r="D255" s="93">
        <v>46181</v>
      </c>
      <c r="E255" s="93">
        <v>46181</v>
      </c>
      <c r="F255" s="102" t="s">
        <v>1756</v>
      </c>
      <c r="G255" s="102" t="s">
        <v>1808</v>
      </c>
      <c r="H255" s="102" t="s">
        <v>1480</v>
      </c>
      <c r="I255">
        <v>1650</v>
      </c>
      <c r="J255">
        <v>1650</v>
      </c>
      <c r="K255">
        <v>1650</v>
      </c>
      <c r="L255">
        <v>1650</v>
      </c>
      <c r="M255" s="102" t="s">
        <v>1099</v>
      </c>
      <c r="N255" s="102" t="s">
        <v>1481</v>
      </c>
      <c r="O255" s="93">
        <v>46181</v>
      </c>
    </row>
    <row r="256" spans="1:15" x14ac:dyDescent="0.3">
      <c r="A256" s="102" t="s">
        <v>1777</v>
      </c>
      <c r="B256" t="s">
        <v>1778</v>
      </c>
      <c r="C256" s="93">
        <v>46120</v>
      </c>
      <c r="D256" s="93">
        <v>46120</v>
      </c>
      <c r="E256" s="93">
        <v>46120</v>
      </c>
      <c r="F256" s="102" t="s">
        <v>1794</v>
      </c>
      <c r="G256" s="102" t="s">
        <v>1795</v>
      </c>
      <c r="H256" s="102" t="s">
        <v>1480</v>
      </c>
      <c r="I256">
        <v>2800</v>
      </c>
      <c r="J256">
        <v>2800</v>
      </c>
      <c r="K256">
        <v>2800</v>
      </c>
      <c r="L256">
        <v>2800</v>
      </c>
      <c r="M256" s="102" t="s">
        <v>1099</v>
      </c>
      <c r="N256" s="102" t="s">
        <v>1481</v>
      </c>
      <c r="O256" s="93">
        <v>46120</v>
      </c>
    </row>
    <row r="257" spans="1:15" x14ac:dyDescent="0.3">
      <c r="A257" s="102" t="s">
        <v>1777</v>
      </c>
      <c r="B257" t="s">
        <v>1778</v>
      </c>
      <c r="C257" s="93">
        <v>46118</v>
      </c>
      <c r="D257" s="93">
        <v>46118</v>
      </c>
      <c r="E257" s="93">
        <v>46118</v>
      </c>
      <c r="F257" s="102" t="s">
        <v>1694</v>
      </c>
      <c r="G257" s="102" t="s">
        <v>1790</v>
      </c>
      <c r="H257" s="102" t="s">
        <v>1688</v>
      </c>
      <c r="I257">
        <v>1000</v>
      </c>
      <c r="J257">
        <v>1000</v>
      </c>
      <c r="K257">
        <v>1000</v>
      </c>
      <c r="L257">
        <v>1000</v>
      </c>
      <c r="M257" s="102" t="s">
        <v>1099</v>
      </c>
      <c r="N257" s="102" t="s">
        <v>1481</v>
      </c>
      <c r="O257" s="93">
        <v>46118</v>
      </c>
    </row>
    <row r="258" spans="1:15" x14ac:dyDescent="0.3">
      <c r="A258" s="102" t="s">
        <v>1777</v>
      </c>
      <c r="B258" t="s">
        <v>1778</v>
      </c>
      <c r="C258" s="93">
        <v>46118</v>
      </c>
      <c r="D258" s="93">
        <v>46118</v>
      </c>
      <c r="E258" s="93">
        <v>46118</v>
      </c>
      <c r="F258" s="102" t="s">
        <v>1694</v>
      </c>
      <c r="G258" s="102" t="s">
        <v>1790</v>
      </c>
      <c r="H258" s="102" t="s">
        <v>1693</v>
      </c>
      <c r="I258">
        <v>342</v>
      </c>
      <c r="J258">
        <v>342</v>
      </c>
      <c r="K258">
        <v>342</v>
      </c>
      <c r="L258">
        <v>342</v>
      </c>
      <c r="M258" s="102" t="s">
        <v>1099</v>
      </c>
      <c r="N258" s="102" t="s">
        <v>1481</v>
      </c>
      <c r="O258" s="93">
        <v>46118</v>
      </c>
    </row>
    <row r="259" spans="1:15" x14ac:dyDescent="0.3">
      <c r="A259" s="102" t="s">
        <v>1777</v>
      </c>
      <c r="B259" t="s">
        <v>1778</v>
      </c>
      <c r="C259" s="93">
        <v>46144</v>
      </c>
      <c r="D259" s="93">
        <v>46144</v>
      </c>
      <c r="E259" s="93">
        <v>46144</v>
      </c>
      <c r="F259" s="102" t="s">
        <v>1694</v>
      </c>
      <c r="G259" s="102" t="s">
        <v>1801</v>
      </c>
      <c r="H259" s="102" t="s">
        <v>1480</v>
      </c>
      <c r="I259">
        <v>2209</v>
      </c>
      <c r="J259">
        <v>2209</v>
      </c>
      <c r="K259">
        <v>2209</v>
      </c>
      <c r="L259">
        <v>2209</v>
      </c>
      <c r="M259" s="102" t="s">
        <v>1099</v>
      </c>
      <c r="N259" s="102" t="s">
        <v>1488</v>
      </c>
      <c r="O259" s="93">
        <v>46143</v>
      </c>
    </row>
    <row r="260" spans="1:15" x14ac:dyDescent="0.3">
      <c r="A260" s="102" t="s">
        <v>1777</v>
      </c>
      <c r="B260" t="s">
        <v>1778</v>
      </c>
      <c r="C260" s="93">
        <v>46151</v>
      </c>
      <c r="D260" s="93">
        <v>46151</v>
      </c>
      <c r="E260" s="93">
        <v>46151</v>
      </c>
      <c r="F260" s="102" t="s">
        <v>1779</v>
      </c>
      <c r="G260" s="102" t="s">
        <v>1797</v>
      </c>
      <c r="H260" s="102" t="s">
        <v>1799</v>
      </c>
      <c r="I260">
        <v>200</v>
      </c>
      <c r="J260">
        <v>200</v>
      </c>
      <c r="K260">
        <v>200</v>
      </c>
      <c r="L260">
        <v>200</v>
      </c>
      <c r="M260" s="102" t="s">
        <v>1099</v>
      </c>
      <c r="N260" s="102" t="s">
        <v>1481</v>
      </c>
      <c r="O260" s="93">
        <v>46142</v>
      </c>
    </row>
    <row r="261" spans="1:15" x14ac:dyDescent="0.3">
      <c r="A261" s="102" t="s">
        <v>1777</v>
      </c>
      <c r="B261" t="s">
        <v>1778</v>
      </c>
      <c r="C261" s="93">
        <v>46049</v>
      </c>
      <c r="D261" s="93">
        <v>46032</v>
      </c>
      <c r="E261" s="93">
        <v>46032</v>
      </c>
      <c r="F261" s="102" t="s">
        <v>1756</v>
      </c>
      <c r="G261" s="102" t="s">
        <v>1781</v>
      </c>
      <c r="H261" s="102" t="s">
        <v>1690</v>
      </c>
      <c r="I261">
        <v>500</v>
      </c>
      <c r="J261">
        <v>500</v>
      </c>
      <c r="K261">
        <v>500</v>
      </c>
      <c r="L261">
        <v>500</v>
      </c>
      <c r="M261" s="102" t="s">
        <v>1099</v>
      </c>
      <c r="N261" s="102" t="s">
        <v>1481</v>
      </c>
      <c r="O261" s="93">
        <v>46032</v>
      </c>
    </row>
    <row r="262" spans="1:15" x14ac:dyDescent="0.3">
      <c r="A262" s="102" t="s">
        <v>1777</v>
      </c>
      <c r="B262" t="s">
        <v>1778</v>
      </c>
      <c r="C262" s="93">
        <v>46179</v>
      </c>
      <c r="D262" s="93">
        <v>46179</v>
      </c>
      <c r="E262" s="93">
        <v>46179</v>
      </c>
      <c r="F262" s="102" t="s">
        <v>1787</v>
      </c>
      <c r="G262" s="102" t="s">
        <v>1788</v>
      </c>
      <c r="H262" s="102" t="s">
        <v>1480</v>
      </c>
      <c r="I262">
        <v>560</v>
      </c>
      <c r="J262">
        <v>560</v>
      </c>
      <c r="K262">
        <v>560</v>
      </c>
      <c r="L262">
        <v>560</v>
      </c>
      <c r="M262" s="102" t="s">
        <v>1099</v>
      </c>
      <c r="N262" s="102" t="s">
        <v>1481</v>
      </c>
      <c r="O262" s="93">
        <v>46179</v>
      </c>
    </row>
    <row r="263" spans="1:15" x14ac:dyDescent="0.3">
      <c r="A263" s="102" t="s">
        <v>1777</v>
      </c>
      <c r="B263" t="s">
        <v>1778</v>
      </c>
      <c r="C263" s="93">
        <v>46208</v>
      </c>
      <c r="D263" s="93"/>
      <c r="E263" s="93"/>
      <c r="F263" s="102" t="s">
        <v>1683</v>
      </c>
      <c r="G263" s="102" t="s">
        <v>2324</v>
      </c>
      <c r="H263" s="102" t="s">
        <v>1626</v>
      </c>
      <c r="I263">
        <v>60</v>
      </c>
      <c r="J263">
        <v>1.28</v>
      </c>
      <c r="K263">
        <v>1.2789999999999999</v>
      </c>
      <c r="L263">
        <v>0</v>
      </c>
      <c r="M263" s="102" t="s">
        <v>1099</v>
      </c>
      <c r="N263" s="102" t="s">
        <v>1481</v>
      </c>
      <c r="O263" s="93">
        <v>46204</v>
      </c>
    </row>
    <row r="264" spans="1:15" x14ac:dyDescent="0.3">
      <c r="A264" s="102" t="s">
        <v>1777</v>
      </c>
      <c r="B264" t="s">
        <v>1778</v>
      </c>
      <c r="C264" s="93">
        <v>46208</v>
      </c>
      <c r="D264" s="93"/>
      <c r="E264" s="93"/>
      <c r="F264" s="102" t="s">
        <v>1683</v>
      </c>
      <c r="G264" s="102" t="s">
        <v>2324</v>
      </c>
      <c r="H264" s="102" t="s">
        <v>1629</v>
      </c>
      <c r="I264">
        <v>2654.02</v>
      </c>
      <c r="J264">
        <v>56.59</v>
      </c>
      <c r="K264">
        <v>56.588999999999999</v>
      </c>
      <c r="L264">
        <v>0</v>
      </c>
      <c r="M264" s="102" t="s">
        <v>1099</v>
      </c>
      <c r="N264" s="102" t="s">
        <v>1481</v>
      </c>
      <c r="O264" s="93">
        <v>46204</v>
      </c>
    </row>
    <row r="265" spans="1:15" x14ac:dyDescent="0.3">
      <c r="A265" s="102" t="s">
        <v>1777</v>
      </c>
      <c r="B265" t="s">
        <v>1778</v>
      </c>
      <c r="C265" s="93">
        <v>46142</v>
      </c>
      <c r="D265" s="93">
        <v>46142</v>
      </c>
      <c r="E265" s="93">
        <v>46142</v>
      </c>
      <c r="F265" s="102" t="s">
        <v>1779</v>
      </c>
      <c r="G265" s="102" t="s">
        <v>1797</v>
      </c>
      <c r="H265" s="102" t="s">
        <v>1804</v>
      </c>
      <c r="I265">
        <v>100</v>
      </c>
      <c r="J265">
        <v>100</v>
      </c>
      <c r="K265">
        <v>100</v>
      </c>
      <c r="L265">
        <v>100</v>
      </c>
      <c r="M265" s="102" t="s">
        <v>1099</v>
      </c>
      <c r="N265" s="102" t="s">
        <v>1481</v>
      </c>
      <c r="O265" s="93">
        <v>46142</v>
      </c>
    </row>
    <row r="266" spans="1:15" x14ac:dyDescent="0.3">
      <c r="A266" s="102" t="s">
        <v>1777</v>
      </c>
      <c r="B266" t="s">
        <v>1778</v>
      </c>
      <c r="C266" s="93">
        <v>46142</v>
      </c>
      <c r="D266" s="93">
        <v>46142</v>
      </c>
      <c r="E266" s="93">
        <v>46142</v>
      </c>
      <c r="F266" s="102" t="s">
        <v>1779</v>
      </c>
      <c r="G266" s="102" t="s">
        <v>1797</v>
      </c>
      <c r="H266" s="102" t="s">
        <v>1803</v>
      </c>
      <c r="I266">
        <v>50</v>
      </c>
      <c r="J266">
        <v>50</v>
      </c>
      <c r="K266">
        <v>50</v>
      </c>
      <c r="L266">
        <v>50</v>
      </c>
      <c r="M266" s="102" t="s">
        <v>1099</v>
      </c>
      <c r="N266" s="102" t="s">
        <v>1481</v>
      </c>
      <c r="O266" s="93">
        <v>46142</v>
      </c>
    </row>
    <row r="267" spans="1:15" x14ac:dyDescent="0.3">
      <c r="A267" s="102" t="s">
        <v>1777</v>
      </c>
      <c r="B267" t="s">
        <v>1778</v>
      </c>
      <c r="C267" s="93">
        <v>46159</v>
      </c>
      <c r="D267" s="93">
        <v>46159</v>
      </c>
      <c r="E267" s="93">
        <v>46159</v>
      </c>
      <c r="F267" s="102" t="s">
        <v>1779</v>
      </c>
      <c r="G267" s="102" t="s">
        <v>1780</v>
      </c>
      <c r="H267" s="102" t="s">
        <v>1629</v>
      </c>
      <c r="I267">
        <v>200</v>
      </c>
      <c r="J267">
        <v>200</v>
      </c>
      <c r="K267">
        <v>200</v>
      </c>
      <c r="L267">
        <v>200</v>
      </c>
      <c r="M267" s="102" t="s">
        <v>1099</v>
      </c>
      <c r="N267" s="102" t="s">
        <v>1481</v>
      </c>
      <c r="O267" s="93">
        <v>46159</v>
      </c>
    </row>
    <row r="268" spans="1:15" x14ac:dyDescent="0.3">
      <c r="A268" s="102" t="s">
        <v>1777</v>
      </c>
      <c r="B268" t="s">
        <v>1778</v>
      </c>
      <c r="C268" s="93">
        <v>46032</v>
      </c>
      <c r="D268" s="93">
        <v>46064</v>
      </c>
      <c r="E268" s="93">
        <v>46064</v>
      </c>
      <c r="F268" s="102" t="s">
        <v>1756</v>
      </c>
      <c r="G268" s="102" t="s">
        <v>1781</v>
      </c>
      <c r="H268" s="102" t="s">
        <v>1695</v>
      </c>
      <c r="I268">
        <v>300</v>
      </c>
      <c r="J268">
        <v>300</v>
      </c>
      <c r="K268">
        <v>300</v>
      </c>
      <c r="L268">
        <v>300</v>
      </c>
      <c r="M268" s="102" t="s">
        <v>1099</v>
      </c>
      <c r="N268" s="102" t="s">
        <v>1481</v>
      </c>
      <c r="O268" s="93">
        <v>46032</v>
      </c>
    </row>
    <row r="269" spans="1:15" x14ac:dyDescent="0.3">
      <c r="A269" s="102" t="s">
        <v>1777</v>
      </c>
      <c r="B269" t="s">
        <v>1778</v>
      </c>
      <c r="C269" s="93">
        <v>46163</v>
      </c>
      <c r="D269" s="93">
        <v>46148</v>
      </c>
      <c r="E269" s="93">
        <v>46148</v>
      </c>
      <c r="F269" s="102" t="s">
        <v>1598</v>
      </c>
      <c r="G269" s="102" t="s">
        <v>1789</v>
      </c>
      <c r="H269" s="102" t="s">
        <v>1630</v>
      </c>
      <c r="I269">
        <v>5000</v>
      </c>
      <c r="J269">
        <v>1828.39</v>
      </c>
      <c r="K269">
        <v>1828.3869999999999</v>
      </c>
      <c r="L269">
        <v>5000</v>
      </c>
      <c r="M269" s="102" t="s">
        <v>1099</v>
      </c>
      <c r="N269" s="102" t="s">
        <v>1488</v>
      </c>
      <c r="O269" s="93">
        <v>46126</v>
      </c>
    </row>
    <row r="270" spans="1:15" x14ac:dyDescent="0.3">
      <c r="A270" s="102" t="s">
        <v>1777</v>
      </c>
      <c r="B270" t="s">
        <v>1778</v>
      </c>
      <c r="C270" s="93">
        <v>46144</v>
      </c>
      <c r="D270" s="93">
        <v>46144</v>
      </c>
      <c r="E270" s="93">
        <v>46144</v>
      </c>
      <c r="F270" s="102" t="s">
        <v>1779</v>
      </c>
      <c r="G270" s="102" t="s">
        <v>1797</v>
      </c>
      <c r="H270" s="102" t="s">
        <v>1807</v>
      </c>
      <c r="I270">
        <v>150</v>
      </c>
      <c r="J270">
        <v>150</v>
      </c>
      <c r="K270">
        <v>150</v>
      </c>
      <c r="L270">
        <v>150</v>
      </c>
      <c r="M270" s="102" t="s">
        <v>1099</v>
      </c>
      <c r="N270" s="102" t="s">
        <v>1481</v>
      </c>
      <c r="O270" s="93">
        <v>46142</v>
      </c>
    </row>
    <row r="271" spans="1:15" x14ac:dyDescent="0.3">
      <c r="A271" s="102" t="s">
        <v>1777</v>
      </c>
      <c r="B271" t="s">
        <v>1778</v>
      </c>
      <c r="C271" s="93">
        <v>46204</v>
      </c>
      <c r="D271" s="93">
        <v>46204</v>
      </c>
      <c r="E271" s="93">
        <v>46204</v>
      </c>
      <c r="F271" s="102" t="s">
        <v>2325</v>
      </c>
      <c r="G271" s="102" t="s">
        <v>2326</v>
      </c>
      <c r="H271" s="102" t="s">
        <v>1480</v>
      </c>
      <c r="I271">
        <v>880</v>
      </c>
      <c r="J271">
        <v>880</v>
      </c>
      <c r="K271">
        <v>880</v>
      </c>
      <c r="L271">
        <v>880</v>
      </c>
      <c r="M271" s="102" t="s">
        <v>1099</v>
      </c>
      <c r="N271" s="102" t="s">
        <v>1481</v>
      </c>
      <c r="O271" s="93">
        <v>46204</v>
      </c>
    </row>
    <row r="272" spans="1:15" x14ac:dyDescent="0.3">
      <c r="A272" s="102" t="s">
        <v>1777</v>
      </c>
      <c r="B272" t="s">
        <v>1778</v>
      </c>
      <c r="C272" s="93">
        <v>46208</v>
      </c>
      <c r="D272" s="93">
        <v>46197</v>
      </c>
      <c r="E272" s="93">
        <v>46197</v>
      </c>
      <c r="F272" s="102" t="s">
        <v>1683</v>
      </c>
      <c r="G272" s="102" t="s">
        <v>2324</v>
      </c>
      <c r="H272" s="102" t="s">
        <v>1630</v>
      </c>
      <c r="I272">
        <v>100</v>
      </c>
      <c r="J272">
        <v>2.13</v>
      </c>
      <c r="K272">
        <v>2.1320000000000001</v>
      </c>
      <c r="L272">
        <v>100</v>
      </c>
      <c r="M272" s="102" t="s">
        <v>1099</v>
      </c>
      <c r="N272" s="102" t="s">
        <v>1481</v>
      </c>
      <c r="O272" s="93">
        <v>46204</v>
      </c>
    </row>
    <row r="273" spans="1:15" x14ac:dyDescent="0.3">
      <c r="A273" s="102" t="s">
        <v>1777</v>
      </c>
      <c r="B273" t="s">
        <v>1778</v>
      </c>
      <c r="C273" s="93">
        <v>46197</v>
      </c>
      <c r="D273" s="93">
        <v>46197</v>
      </c>
      <c r="E273" s="93">
        <v>46197</v>
      </c>
      <c r="F273" s="102" t="s">
        <v>1805</v>
      </c>
      <c r="G273" s="102" t="s">
        <v>1806</v>
      </c>
      <c r="H273" s="102" t="s">
        <v>1480</v>
      </c>
      <c r="I273">
        <v>50</v>
      </c>
      <c r="J273">
        <v>50</v>
      </c>
      <c r="K273">
        <v>50</v>
      </c>
      <c r="L273">
        <v>50</v>
      </c>
      <c r="M273" s="102" t="s">
        <v>1099</v>
      </c>
      <c r="N273" s="102" t="s">
        <v>1481</v>
      </c>
      <c r="O273" s="93">
        <v>46197</v>
      </c>
    </row>
    <row r="274" spans="1:15" x14ac:dyDescent="0.3">
      <c r="A274" s="102" t="s">
        <v>1777</v>
      </c>
      <c r="B274" t="s">
        <v>1778</v>
      </c>
      <c r="C274" s="93">
        <v>46159</v>
      </c>
      <c r="D274" s="93">
        <v>46170</v>
      </c>
      <c r="E274" s="93">
        <v>46170</v>
      </c>
      <c r="F274" s="102" t="s">
        <v>1779</v>
      </c>
      <c r="G274" s="102" t="s">
        <v>1780</v>
      </c>
      <c r="H274" s="102" t="s">
        <v>1626</v>
      </c>
      <c r="I274">
        <v>1034.33</v>
      </c>
      <c r="J274">
        <v>1034.33</v>
      </c>
      <c r="K274">
        <v>1034.33</v>
      </c>
      <c r="L274">
        <v>1034.33</v>
      </c>
      <c r="M274" s="102" t="s">
        <v>1099</v>
      </c>
      <c r="N274" s="102" t="s">
        <v>1481</v>
      </c>
      <c r="O274" s="93">
        <v>46159</v>
      </c>
    </row>
    <row r="275" spans="1:15" x14ac:dyDescent="0.3">
      <c r="A275" s="102" t="s">
        <v>1777</v>
      </c>
      <c r="B275" t="s">
        <v>1778</v>
      </c>
      <c r="C275" s="93">
        <v>46194</v>
      </c>
      <c r="D275" s="93">
        <v>46175</v>
      </c>
      <c r="E275" s="93">
        <v>46175</v>
      </c>
      <c r="F275" s="102" t="s">
        <v>1598</v>
      </c>
      <c r="G275" s="102" t="s">
        <v>1789</v>
      </c>
      <c r="H275" s="102" t="s">
        <v>1626</v>
      </c>
      <c r="I275">
        <v>5000</v>
      </c>
      <c r="J275">
        <v>1828.39</v>
      </c>
      <c r="K275">
        <v>1828.3869999999999</v>
      </c>
      <c r="L275">
        <v>5000</v>
      </c>
      <c r="M275" s="102" t="s">
        <v>1099</v>
      </c>
      <c r="N275" s="102" t="s">
        <v>1488</v>
      </c>
      <c r="O275" s="93">
        <v>46126</v>
      </c>
    </row>
    <row r="276" spans="1:15" x14ac:dyDescent="0.3">
      <c r="A276" s="102" t="s">
        <v>1777</v>
      </c>
      <c r="B276" t="s">
        <v>1778</v>
      </c>
      <c r="C276" s="93">
        <v>46019</v>
      </c>
      <c r="D276" s="93">
        <v>46019</v>
      </c>
      <c r="E276" s="93">
        <v>46019</v>
      </c>
      <c r="F276" s="102" t="s">
        <v>1792</v>
      </c>
      <c r="G276" s="102" t="s">
        <v>1785</v>
      </c>
      <c r="H276" s="102" t="s">
        <v>1480</v>
      </c>
      <c r="I276">
        <v>500</v>
      </c>
      <c r="J276">
        <v>500</v>
      </c>
      <c r="K276">
        <v>500</v>
      </c>
      <c r="L276">
        <v>500</v>
      </c>
      <c r="M276" s="102" t="s">
        <v>1099</v>
      </c>
      <c r="N276" s="102" t="s">
        <v>1481</v>
      </c>
      <c r="O276" s="93">
        <v>46019</v>
      </c>
    </row>
    <row r="277" spans="1:15" x14ac:dyDescent="0.3">
      <c r="A277" s="102" t="s">
        <v>1777</v>
      </c>
      <c r="B277" t="s">
        <v>1778</v>
      </c>
      <c r="C277" s="93">
        <v>46019</v>
      </c>
      <c r="D277" s="93">
        <v>46019</v>
      </c>
      <c r="E277" s="93">
        <v>46019</v>
      </c>
      <c r="F277" s="102" t="s">
        <v>1784</v>
      </c>
      <c r="G277" s="102" t="s">
        <v>1785</v>
      </c>
      <c r="H277" s="102" t="s">
        <v>1480</v>
      </c>
      <c r="I277">
        <v>500</v>
      </c>
      <c r="J277">
        <v>500</v>
      </c>
      <c r="K277">
        <v>500</v>
      </c>
      <c r="L277">
        <v>500</v>
      </c>
      <c r="M277" s="102" t="s">
        <v>1099</v>
      </c>
      <c r="N277" s="102" t="s">
        <v>1481</v>
      </c>
      <c r="O277" s="93">
        <v>46019</v>
      </c>
    </row>
    <row r="278" spans="1:15" x14ac:dyDescent="0.3">
      <c r="A278" s="102" t="s">
        <v>1777</v>
      </c>
      <c r="B278" t="s">
        <v>1778</v>
      </c>
      <c r="C278" s="93">
        <v>46185</v>
      </c>
      <c r="D278" s="93">
        <v>46185</v>
      </c>
      <c r="E278" s="93">
        <v>46185</v>
      </c>
      <c r="F278" s="102" t="s">
        <v>1812</v>
      </c>
      <c r="G278" s="102" t="s">
        <v>1813</v>
      </c>
      <c r="H278" s="102" t="s">
        <v>1480</v>
      </c>
      <c r="I278">
        <v>140</v>
      </c>
      <c r="J278">
        <v>140</v>
      </c>
      <c r="K278">
        <v>140</v>
      </c>
      <c r="L278">
        <v>140</v>
      </c>
      <c r="M278" s="102" t="s">
        <v>1099</v>
      </c>
      <c r="N278" s="102" t="s">
        <v>1481</v>
      </c>
      <c r="O278" s="93">
        <v>46185</v>
      </c>
    </row>
    <row r="279" spans="1:15" x14ac:dyDescent="0.3">
      <c r="A279" s="102" t="s">
        <v>1777</v>
      </c>
      <c r="B279" t="s">
        <v>1778</v>
      </c>
      <c r="C279" s="93">
        <v>46027</v>
      </c>
      <c r="D279" s="93">
        <v>46027</v>
      </c>
      <c r="E279" s="93">
        <v>46027</v>
      </c>
      <c r="F279" s="102" t="s">
        <v>1694</v>
      </c>
      <c r="G279" s="102" t="s">
        <v>1684</v>
      </c>
      <c r="H279" s="102" t="s">
        <v>1480</v>
      </c>
      <c r="I279">
        <v>490</v>
      </c>
      <c r="J279">
        <v>490</v>
      </c>
      <c r="K279">
        <v>490</v>
      </c>
      <c r="L279">
        <v>490</v>
      </c>
      <c r="M279" s="102" t="s">
        <v>1099</v>
      </c>
      <c r="N279" s="102" t="s">
        <v>1481</v>
      </c>
      <c r="O279" s="93">
        <v>46022</v>
      </c>
    </row>
    <row r="280" spans="1:15" x14ac:dyDescent="0.3">
      <c r="A280" s="102" t="s">
        <v>1777</v>
      </c>
      <c r="B280" t="s">
        <v>1778</v>
      </c>
      <c r="C280" s="93">
        <v>46032</v>
      </c>
      <c r="D280" s="93">
        <v>46043</v>
      </c>
      <c r="E280" s="93">
        <v>46043</v>
      </c>
      <c r="F280" s="102" t="s">
        <v>1756</v>
      </c>
      <c r="G280" s="102" t="s">
        <v>1781</v>
      </c>
      <c r="H280" s="102" t="s">
        <v>1697</v>
      </c>
      <c r="I280">
        <v>400</v>
      </c>
      <c r="J280">
        <v>400</v>
      </c>
      <c r="K280">
        <v>400</v>
      </c>
      <c r="L280">
        <v>400</v>
      </c>
      <c r="M280" s="102" t="s">
        <v>1099</v>
      </c>
      <c r="N280" s="102" t="s">
        <v>1481</v>
      </c>
      <c r="O280" s="93">
        <v>46032</v>
      </c>
    </row>
    <row r="281" spans="1:15" x14ac:dyDescent="0.3">
      <c r="A281" s="102" t="s">
        <v>1777</v>
      </c>
      <c r="B281" t="s">
        <v>1778</v>
      </c>
      <c r="C281" s="93">
        <v>46134</v>
      </c>
      <c r="D281" s="93">
        <v>46104</v>
      </c>
      <c r="E281" s="93">
        <v>46104</v>
      </c>
      <c r="F281" s="102" t="s">
        <v>1598</v>
      </c>
      <c r="G281" s="102" t="s">
        <v>1789</v>
      </c>
      <c r="H281" s="102" t="s">
        <v>1629</v>
      </c>
      <c r="I281">
        <v>5000</v>
      </c>
      <c r="J281">
        <v>1828.39</v>
      </c>
      <c r="K281">
        <v>1828.3869999999999</v>
      </c>
      <c r="L281">
        <v>5000</v>
      </c>
      <c r="M281" s="102" t="s">
        <v>1099</v>
      </c>
      <c r="N281" s="102" t="s">
        <v>1488</v>
      </c>
      <c r="O281" s="93">
        <v>46126</v>
      </c>
    </row>
    <row r="282" spans="1:15" x14ac:dyDescent="0.3">
      <c r="A282" s="102" t="s">
        <v>1777</v>
      </c>
      <c r="B282" t="s">
        <v>1778</v>
      </c>
      <c r="C282" s="93">
        <v>46060</v>
      </c>
      <c r="D282" s="93">
        <v>46060</v>
      </c>
      <c r="E282" s="93">
        <v>46060</v>
      </c>
      <c r="F282" s="102" t="s">
        <v>1694</v>
      </c>
      <c r="G282" s="102" t="s">
        <v>1796</v>
      </c>
      <c r="H282" s="102" t="s">
        <v>1480</v>
      </c>
      <c r="I282">
        <v>144</v>
      </c>
      <c r="J282">
        <v>144</v>
      </c>
      <c r="K282">
        <v>144</v>
      </c>
      <c r="L282">
        <v>144</v>
      </c>
      <c r="M282" s="102" t="s">
        <v>1099</v>
      </c>
      <c r="N282" s="102" t="s">
        <v>1481</v>
      </c>
      <c r="O282" s="93">
        <v>46060</v>
      </c>
    </row>
    <row r="283" spans="1:15" x14ac:dyDescent="0.3">
      <c r="A283" s="102" t="s">
        <v>1777</v>
      </c>
      <c r="B283" t="s">
        <v>1778</v>
      </c>
      <c r="C283" s="93">
        <v>46185</v>
      </c>
      <c r="D283" s="93">
        <v>46185</v>
      </c>
      <c r="E283" s="93">
        <v>46185</v>
      </c>
      <c r="F283" s="102" t="s">
        <v>1810</v>
      </c>
      <c r="G283" s="102" t="s">
        <v>1811</v>
      </c>
      <c r="H283" s="102" t="s">
        <v>1480</v>
      </c>
      <c r="I283">
        <v>140</v>
      </c>
      <c r="J283">
        <v>140</v>
      </c>
      <c r="K283">
        <v>140</v>
      </c>
      <c r="L283">
        <v>140</v>
      </c>
      <c r="M283" s="102" t="s">
        <v>1099</v>
      </c>
      <c r="N283" s="102" t="s">
        <v>1481</v>
      </c>
      <c r="O283" s="93">
        <v>46185</v>
      </c>
    </row>
    <row r="284" spans="1:15" x14ac:dyDescent="0.3">
      <c r="A284" s="102" t="s">
        <v>1777</v>
      </c>
      <c r="B284" t="s">
        <v>1778</v>
      </c>
      <c r="C284" s="93">
        <v>46185</v>
      </c>
      <c r="D284" s="93">
        <v>46185</v>
      </c>
      <c r="E284" s="93">
        <v>46185</v>
      </c>
      <c r="F284" s="102" t="s">
        <v>1694</v>
      </c>
      <c r="G284" s="102" t="s">
        <v>1793</v>
      </c>
      <c r="H284" s="102" t="s">
        <v>1480</v>
      </c>
      <c r="I284">
        <v>553.73</v>
      </c>
      <c r="J284">
        <v>553.73</v>
      </c>
      <c r="K284">
        <v>553.73</v>
      </c>
      <c r="L284">
        <v>553.73</v>
      </c>
      <c r="M284" s="102" t="s">
        <v>1099</v>
      </c>
      <c r="N284" s="102" t="s">
        <v>1481</v>
      </c>
      <c r="O284" s="93">
        <v>46185</v>
      </c>
    </row>
    <row r="285" spans="1:15" x14ac:dyDescent="0.3">
      <c r="A285" s="102" t="s">
        <v>1777</v>
      </c>
      <c r="B285" t="s">
        <v>1778</v>
      </c>
      <c r="C285" s="93">
        <v>46185</v>
      </c>
      <c r="D285" s="93">
        <v>46185</v>
      </c>
      <c r="E285" s="93">
        <v>46185</v>
      </c>
      <c r="F285" s="102" t="s">
        <v>1782</v>
      </c>
      <c r="G285" s="102" t="s">
        <v>1783</v>
      </c>
      <c r="H285" s="102" t="s">
        <v>1480</v>
      </c>
      <c r="I285">
        <v>630</v>
      </c>
      <c r="J285">
        <v>630</v>
      </c>
      <c r="K285">
        <v>630</v>
      </c>
      <c r="L285">
        <v>630</v>
      </c>
      <c r="M285" s="102" t="s">
        <v>1099</v>
      </c>
      <c r="N285" s="102" t="s">
        <v>1481</v>
      </c>
      <c r="O285" s="93">
        <v>46185</v>
      </c>
    </row>
    <row r="286" spans="1:15" x14ac:dyDescent="0.3">
      <c r="A286" s="102" t="s">
        <v>1777</v>
      </c>
      <c r="B286" t="s">
        <v>1778</v>
      </c>
      <c r="C286" s="93">
        <v>46086</v>
      </c>
      <c r="D286" s="93">
        <v>46086</v>
      </c>
      <c r="E286" s="93">
        <v>46086</v>
      </c>
      <c r="F286" s="102" t="s">
        <v>1694</v>
      </c>
      <c r="G286" s="102" t="s">
        <v>1809</v>
      </c>
      <c r="H286" s="102" t="s">
        <v>1480</v>
      </c>
      <c r="I286">
        <v>514</v>
      </c>
      <c r="J286">
        <v>514</v>
      </c>
      <c r="K286">
        <v>514</v>
      </c>
      <c r="L286">
        <v>514</v>
      </c>
      <c r="M286" s="102" t="s">
        <v>1099</v>
      </c>
      <c r="N286" s="102" t="s">
        <v>1481</v>
      </c>
      <c r="O286" s="93">
        <v>46082</v>
      </c>
    </row>
    <row r="287" spans="1:15" x14ac:dyDescent="0.3">
      <c r="A287" s="102" t="s">
        <v>1814</v>
      </c>
      <c r="B287" t="s">
        <v>1815</v>
      </c>
      <c r="C287" s="93">
        <v>46080</v>
      </c>
      <c r="D287" s="93">
        <v>46080</v>
      </c>
      <c r="E287" s="93">
        <v>46080</v>
      </c>
      <c r="F287" s="102" t="s">
        <v>1826</v>
      </c>
      <c r="G287" s="102" t="s">
        <v>1819</v>
      </c>
      <c r="H287" s="102" t="s">
        <v>1480</v>
      </c>
      <c r="I287">
        <v>1000</v>
      </c>
      <c r="J287">
        <v>1000</v>
      </c>
      <c r="K287">
        <v>1000</v>
      </c>
      <c r="L287">
        <v>1000</v>
      </c>
      <c r="M287" s="102" t="s">
        <v>1099</v>
      </c>
      <c r="N287" s="102" t="s">
        <v>1481</v>
      </c>
      <c r="O287" s="93">
        <v>46080</v>
      </c>
    </row>
    <row r="288" spans="1:15" x14ac:dyDescent="0.3">
      <c r="A288" s="102" t="s">
        <v>1814</v>
      </c>
      <c r="B288" t="s">
        <v>1815</v>
      </c>
      <c r="C288" s="93">
        <v>46175</v>
      </c>
      <c r="D288" s="93">
        <v>46175</v>
      </c>
      <c r="E288" s="93">
        <v>46175</v>
      </c>
      <c r="F288" s="102" t="s">
        <v>1822</v>
      </c>
      <c r="G288" s="102" t="s">
        <v>1823</v>
      </c>
      <c r="H288" s="102" t="s">
        <v>1480</v>
      </c>
      <c r="I288">
        <v>2000</v>
      </c>
      <c r="J288">
        <v>2000</v>
      </c>
      <c r="K288">
        <v>2000</v>
      </c>
      <c r="L288">
        <v>2000</v>
      </c>
      <c r="M288" s="102" t="s">
        <v>1099</v>
      </c>
      <c r="N288" s="102" t="s">
        <v>1481</v>
      </c>
      <c r="O288" s="93">
        <v>46175</v>
      </c>
    </row>
    <row r="289" spans="1:15" x14ac:dyDescent="0.3">
      <c r="A289" s="102" t="s">
        <v>1814</v>
      </c>
      <c r="B289" t="s">
        <v>1815</v>
      </c>
      <c r="C289" s="93">
        <v>46073</v>
      </c>
      <c r="D289" s="93">
        <v>46073</v>
      </c>
      <c r="E289" s="93">
        <v>46073</v>
      </c>
      <c r="F289" s="102" t="s">
        <v>1818</v>
      </c>
      <c r="G289" s="102" t="s">
        <v>1819</v>
      </c>
      <c r="H289" s="102" t="s">
        <v>1480</v>
      </c>
      <c r="I289">
        <v>2850</v>
      </c>
      <c r="J289">
        <v>2850</v>
      </c>
      <c r="K289">
        <v>2850</v>
      </c>
      <c r="L289">
        <v>2850</v>
      </c>
      <c r="M289" s="102" t="s">
        <v>1099</v>
      </c>
      <c r="N289" s="102" t="s">
        <v>1481</v>
      </c>
      <c r="O289" s="93">
        <v>46073</v>
      </c>
    </row>
    <row r="290" spans="1:15" x14ac:dyDescent="0.3">
      <c r="A290" s="102" t="s">
        <v>1814</v>
      </c>
      <c r="B290" t="s">
        <v>1815</v>
      </c>
      <c r="C290" s="93">
        <v>46073</v>
      </c>
      <c r="D290" s="93">
        <v>46073</v>
      </c>
      <c r="E290" s="93">
        <v>46073</v>
      </c>
      <c r="F290" s="102" t="s">
        <v>1818</v>
      </c>
      <c r="G290" s="102" t="s">
        <v>1819</v>
      </c>
      <c r="H290" s="102" t="s">
        <v>1480</v>
      </c>
      <c r="I290">
        <v>2936</v>
      </c>
      <c r="J290">
        <v>2936</v>
      </c>
      <c r="K290">
        <v>2936</v>
      </c>
      <c r="L290">
        <v>2936</v>
      </c>
      <c r="M290" s="102" t="s">
        <v>1099</v>
      </c>
      <c r="N290" s="102" t="s">
        <v>1481</v>
      </c>
      <c r="O290" s="93">
        <v>46073</v>
      </c>
    </row>
    <row r="291" spans="1:15" x14ac:dyDescent="0.3">
      <c r="A291" s="102" t="s">
        <v>1814</v>
      </c>
      <c r="B291" t="s">
        <v>1815</v>
      </c>
      <c r="C291" s="93">
        <v>46047</v>
      </c>
      <c r="D291" s="93">
        <v>46047</v>
      </c>
      <c r="E291" s="93">
        <v>46047</v>
      </c>
      <c r="F291" s="102" t="s">
        <v>1827</v>
      </c>
      <c r="G291" s="102" t="s">
        <v>1817</v>
      </c>
      <c r="H291" s="102" t="s">
        <v>1480</v>
      </c>
      <c r="I291">
        <v>695.32</v>
      </c>
      <c r="J291">
        <v>695.32</v>
      </c>
      <c r="K291">
        <v>695.32</v>
      </c>
      <c r="L291">
        <v>695.32</v>
      </c>
      <c r="M291" s="102" t="s">
        <v>1099</v>
      </c>
      <c r="N291" s="102" t="s">
        <v>1481</v>
      </c>
      <c r="O291" s="93">
        <v>46047</v>
      </c>
    </row>
    <row r="292" spans="1:15" x14ac:dyDescent="0.3">
      <c r="A292" s="102" t="s">
        <v>1814</v>
      </c>
      <c r="B292" t="s">
        <v>1815</v>
      </c>
      <c r="C292" s="93">
        <v>46179</v>
      </c>
      <c r="D292" s="93">
        <v>46179</v>
      </c>
      <c r="E292" s="93">
        <v>46179</v>
      </c>
      <c r="F292" s="102" t="s">
        <v>1822</v>
      </c>
      <c r="G292" s="102" t="s">
        <v>1824</v>
      </c>
      <c r="H292" s="102" t="s">
        <v>1480</v>
      </c>
      <c r="I292">
        <v>1300</v>
      </c>
      <c r="J292">
        <v>1300</v>
      </c>
      <c r="K292">
        <v>1300</v>
      </c>
      <c r="L292">
        <v>1300</v>
      </c>
      <c r="M292" s="102" t="s">
        <v>1099</v>
      </c>
      <c r="N292" s="102" t="s">
        <v>1481</v>
      </c>
      <c r="O292" s="93">
        <v>46179</v>
      </c>
    </row>
    <row r="293" spans="1:15" x14ac:dyDescent="0.3">
      <c r="A293" s="102" t="s">
        <v>1814</v>
      </c>
      <c r="B293" t="s">
        <v>1815</v>
      </c>
      <c r="C293" s="93">
        <v>46069</v>
      </c>
      <c r="D293" s="93">
        <v>46069</v>
      </c>
      <c r="E293" s="93">
        <v>46069</v>
      </c>
      <c r="F293" s="102" t="s">
        <v>1820</v>
      </c>
      <c r="G293" s="102" t="s">
        <v>1819</v>
      </c>
      <c r="H293" s="102" t="s">
        <v>1480</v>
      </c>
      <c r="I293">
        <v>300</v>
      </c>
      <c r="J293">
        <v>300</v>
      </c>
      <c r="K293">
        <v>300</v>
      </c>
      <c r="L293">
        <v>300</v>
      </c>
      <c r="M293" s="102" t="s">
        <v>1099</v>
      </c>
      <c r="N293" s="102" t="s">
        <v>1481</v>
      </c>
      <c r="O293" s="93">
        <v>46069</v>
      </c>
    </row>
    <row r="294" spans="1:15" x14ac:dyDescent="0.3">
      <c r="A294" s="102" t="s">
        <v>1814</v>
      </c>
      <c r="B294" t="s">
        <v>1815</v>
      </c>
      <c r="C294" s="93">
        <v>46043</v>
      </c>
      <c r="D294" s="93">
        <v>46043</v>
      </c>
      <c r="E294" s="93">
        <v>46043</v>
      </c>
      <c r="F294" s="102" t="s">
        <v>1816</v>
      </c>
      <c r="G294" s="102" t="s">
        <v>1817</v>
      </c>
      <c r="H294" s="102" t="s">
        <v>1480</v>
      </c>
      <c r="I294">
        <v>617</v>
      </c>
      <c r="J294">
        <v>617</v>
      </c>
      <c r="K294">
        <v>617</v>
      </c>
      <c r="L294">
        <v>617</v>
      </c>
      <c r="M294" s="102" t="s">
        <v>1099</v>
      </c>
      <c r="N294" s="102" t="s">
        <v>1481</v>
      </c>
      <c r="O294" s="93">
        <v>46043</v>
      </c>
    </row>
    <row r="295" spans="1:15" x14ac:dyDescent="0.3">
      <c r="A295" s="102" t="s">
        <v>1814</v>
      </c>
      <c r="B295" t="s">
        <v>1815</v>
      </c>
      <c r="C295" s="93">
        <v>46153</v>
      </c>
      <c r="D295" s="93">
        <v>46153</v>
      </c>
      <c r="E295" s="93">
        <v>46153</v>
      </c>
      <c r="F295" s="102" t="s">
        <v>1820</v>
      </c>
      <c r="G295" s="102" t="s">
        <v>1821</v>
      </c>
      <c r="H295" s="102" t="s">
        <v>1480</v>
      </c>
      <c r="I295">
        <v>4300</v>
      </c>
      <c r="J295">
        <v>4300</v>
      </c>
      <c r="K295">
        <v>4300</v>
      </c>
      <c r="L295">
        <v>4300</v>
      </c>
      <c r="M295" s="102" t="s">
        <v>1099</v>
      </c>
      <c r="N295" s="102" t="s">
        <v>1481</v>
      </c>
      <c r="O295" s="93">
        <v>46153</v>
      </c>
    </row>
    <row r="296" spans="1:15" x14ac:dyDescent="0.3">
      <c r="A296" s="102" t="s">
        <v>1814</v>
      </c>
      <c r="B296" t="s">
        <v>1815</v>
      </c>
      <c r="C296" s="93">
        <v>46039</v>
      </c>
      <c r="D296" s="93">
        <v>46039</v>
      </c>
      <c r="E296" s="93">
        <v>46039</v>
      </c>
      <c r="F296" s="102" t="s">
        <v>1820</v>
      </c>
      <c r="G296" s="102" t="s">
        <v>1825</v>
      </c>
      <c r="H296" s="102" t="s">
        <v>1480</v>
      </c>
      <c r="I296">
        <v>4360</v>
      </c>
      <c r="J296">
        <v>4360</v>
      </c>
      <c r="K296">
        <v>4360</v>
      </c>
      <c r="L296">
        <v>4360</v>
      </c>
      <c r="M296" s="102" t="s">
        <v>1099</v>
      </c>
      <c r="N296" s="102" t="s">
        <v>1481</v>
      </c>
      <c r="O296" s="93">
        <v>46038</v>
      </c>
    </row>
    <row r="297" spans="1:15" x14ac:dyDescent="0.3">
      <c r="A297" s="102" t="s">
        <v>1814</v>
      </c>
      <c r="B297" t="s">
        <v>1815</v>
      </c>
      <c r="C297" s="93">
        <v>46182</v>
      </c>
      <c r="D297" s="93">
        <v>46182</v>
      </c>
      <c r="E297" s="93">
        <v>46182</v>
      </c>
      <c r="F297" s="102" t="s">
        <v>1826</v>
      </c>
      <c r="G297" s="102" t="s">
        <v>1568</v>
      </c>
      <c r="H297" s="102" t="s">
        <v>1480</v>
      </c>
      <c r="I297">
        <v>970</v>
      </c>
      <c r="J297">
        <v>970</v>
      </c>
      <c r="K297">
        <v>970</v>
      </c>
      <c r="L297">
        <v>970</v>
      </c>
      <c r="M297" s="102" t="s">
        <v>1099</v>
      </c>
      <c r="N297" s="102" t="s">
        <v>1481</v>
      </c>
      <c r="O297" s="93">
        <v>46108</v>
      </c>
    </row>
    <row r="298" spans="1:15" x14ac:dyDescent="0.3">
      <c r="A298" s="102" t="s">
        <v>1828</v>
      </c>
      <c r="B298" t="s">
        <v>1829</v>
      </c>
      <c r="C298" s="93">
        <v>46068</v>
      </c>
      <c r="D298" s="93">
        <v>46068</v>
      </c>
      <c r="E298" s="93">
        <v>46068</v>
      </c>
      <c r="F298" s="102" t="s">
        <v>1832</v>
      </c>
      <c r="G298" s="102" t="s">
        <v>1833</v>
      </c>
      <c r="H298" s="102" t="s">
        <v>1480</v>
      </c>
      <c r="I298">
        <v>230</v>
      </c>
      <c r="J298">
        <v>230</v>
      </c>
      <c r="K298">
        <v>230</v>
      </c>
      <c r="L298">
        <v>230</v>
      </c>
      <c r="M298" s="102" t="s">
        <v>1099</v>
      </c>
      <c r="N298" s="102" t="s">
        <v>1481</v>
      </c>
      <c r="O298" s="93">
        <v>46068</v>
      </c>
    </row>
    <row r="299" spans="1:15" x14ac:dyDescent="0.3">
      <c r="A299" s="102" t="s">
        <v>1828</v>
      </c>
      <c r="B299" t="s">
        <v>1829</v>
      </c>
      <c r="C299" s="93">
        <v>46155</v>
      </c>
      <c r="D299" s="93">
        <v>46155</v>
      </c>
      <c r="E299" s="93">
        <v>46155</v>
      </c>
      <c r="F299" s="102" t="s">
        <v>1830</v>
      </c>
      <c r="G299" s="102" t="s">
        <v>1831</v>
      </c>
      <c r="H299" s="102" t="s">
        <v>1480</v>
      </c>
      <c r="I299">
        <v>118</v>
      </c>
      <c r="J299">
        <v>118</v>
      </c>
      <c r="K299">
        <v>118</v>
      </c>
      <c r="L299">
        <v>118</v>
      </c>
      <c r="M299" s="102" t="s">
        <v>1099</v>
      </c>
      <c r="N299" s="102" t="s">
        <v>1481</v>
      </c>
      <c r="O299" s="93">
        <v>46155</v>
      </c>
    </row>
    <row r="300" spans="1:15" x14ac:dyDescent="0.3">
      <c r="A300" s="102" t="s">
        <v>1828</v>
      </c>
      <c r="B300" t="s">
        <v>1829</v>
      </c>
      <c r="C300" s="93">
        <v>46167</v>
      </c>
      <c r="D300" s="93">
        <v>46167</v>
      </c>
      <c r="E300" s="93">
        <v>46167</v>
      </c>
      <c r="F300" s="102" t="s">
        <v>1839</v>
      </c>
      <c r="G300" s="102" t="s">
        <v>1840</v>
      </c>
      <c r="H300" s="102" t="s">
        <v>1480</v>
      </c>
      <c r="I300">
        <v>860.64</v>
      </c>
      <c r="J300">
        <v>860.64</v>
      </c>
      <c r="K300">
        <v>860.64</v>
      </c>
      <c r="L300">
        <v>860.64</v>
      </c>
      <c r="M300" s="102" t="s">
        <v>1099</v>
      </c>
      <c r="N300" s="102" t="s">
        <v>1481</v>
      </c>
      <c r="O300" s="93">
        <v>46167</v>
      </c>
    </row>
    <row r="301" spans="1:15" x14ac:dyDescent="0.3">
      <c r="A301" s="102" t="s">
        <v>1828</v>
      </c>
      <c r="B301" t="s">
        <v>1829</v>
      </c>
      <c r="C301" s="93">
        <v>46134</v>
      </c>
      <c r="D301" s="93">
        <v>46134</v>
      </c>
      <c r="E301" s="93">
        <v>46134</v>
      </c>
      <c r="F301" s="102" t="s">
        <v>1837</v>
      </c>
      <c r="G301" s="102" t="s">
        <v>1838</v>
      </c>
      <c r="H301" s="102" t="s">
        <v>1480</v>
      </c>
      <c r="I301">
        <v>120</v>
      </c>
      <c r="J301">
        <v>120</v>
      </c>
      <c r="K301">
        <v>120</v>
      </c>
      <c r="L301">
        <v>120</v>
      </c>
      <c r="M301" s="102" t="s">
        <v>1099</v>
      </c>
      <c r="N301" s="102" t="s">
        <v>1481</v>
      </c>
      <c r="O301" s="93">
        <v>46134</v>
      </c>
    </row>
    <row r="302" spans="1:15" x14ac:dyDescent="0.3">
      <c r="A302" s="102" t="s">
        <v>1828</v>
      </c>
      <c r="B302" t="s">
        <v>1829</v>
      </c>
      <c r="C302" s="93">
        <v>46178</v>
      </c>
      <c r="D302" s="93">
        <v>46176</v>
      </c>
      <c r="E302" s="93">
        <v>46176</v>
      </c>
      <c r="F302" s="102" t="s">
        <v>1842</v>
      </c>
      <c r="G302" s="102" t="s">
        <v>1125</v>
      </c>
      <c r="H302" s="102" t="s">
        <v>1480</v>
      </c>
      <c r="I302">
        <v>10502.33</v>
      </c>
      <c r="J302">
        <v>10502.33</v>
      </c>
      <c r="K302">
        <v>10502.33</v>
      </c>
      <c r="L302">
        <v>10502.33</v>
      </c>
      <c r="M302" s="102" t="s">
        <v>1099</v>
      </c>
      <c r="N302" s="102" t="s">
        <v>1481</v>
      </c>
      <c r="O302" s="93">
        <v>46178</v>
      </c>
    </row>
    <row r="303" spans="1:15" x14ac:dyDescent="0.3">
      <c r="A303" s="102" t="s">
        <v>1828</v>
      </c>
      <c r="B303" t="s">
        <v>1829</v>
      </c>
      <c r="C303" s="93">
        <v>46205</v>
      </c>
      <c r="D303" s="93">
        <v>46200</v>
      </c>
      <c r="E303" s="93">
        <v>46200</v>
      </c>
      <c r="F303" s="102" t="s">
        <v>1835</v>
      </c>
      <c r="G303" s="102" t="s">
        <v>2294</v>
      </c>
      <c r="H303" s="102" t="s">
        <v>1480</v>
      </c>
      <c r="I303">
        <v>450</v>
      </c>
      <c r="J303">
        <v>450</v>
      </c>
      <c r="K303">
        <v>450</v>
      </c>
      <c r="L303">
        <v>450</v>
      </c>
      <c r="M303" s="102" t="s">
        <v>1099</v>
      </c>
      <c r="N303" s="102" t="s">
        <v>1481</v>
      </c>
      <c r="O303" s="93">
        <v>46178</v>
      </c>
    </row>
    <row r="304" spans="1:15" x14ac:dyDescent="0.3">
      <c r="A304" s="102" t="s">
        <v>1828</v>
      </c>
      <c r="B304" t="s">
        <v>1829</v>
      </c>
      <c r="C304" s="93">
        <v>46140</v>
      </c>
      <c r="D304" s="93">
        <v>46140</v>
      </c>
      <c r="E304" s="93">
        <v>46140</v>
      </c>
      <c r="F304" s="102" t="s">
        <v>1826</v>
      </c>
      <c r="G304" s="102" t="s">
        <v>1834</v>
      </c>
      <c r="H304" s="102" t="s">
        <v>1480</v>
      </c>
      <c r="I304">
        <v>1160</v>
      </c>
      <c r="J304">
        <v>1160</v>
      </c>
      <c r="K304">
        <v>1160</v>
      </c>
      <c r="L304">
        <v>1160</v>
      </c>
      <c r="M304" s="102" t="s">
        <v>1099</v>
      </c>
      <c r="N304" s="102" t="s">
        <v>1481</v>
      </c>
      <c r="O304" s="93">
        <v>46140</v>
      </c>
    </row>
    <row r="305" spans="1:15" x14ac:dyDescent="0.3">
      <c r="A305" s="102" t="s">
        <v>1828</v>
      </c>
      <c r="B305" t="s">
        <v>1829</v>
      </c>
      <c r="C305" s="93">
        <v>46126</v>
      </c>
      <c r="D305" s="93">
        <v>46126</v>
      </c>
      <c r="E305" s="93">
        <v>46126</v>
      </c>
      <c r="F305" s="102" t="s">
        <v>1837</v>
      </c>
      <c r="G305" s="102" t="s">
        <v>1841</v>
      </c>
      <c r="H305" s="102" t="s">
        <v>1480</v>
      </c>
      <c r="I305">
        <v>30</v>
      </c>
      <c r="J305">
        <v>30</v>
      </c>
      <c r="K305">
        <v>30</v>
      </c>
      <c r="L305">
        <v>30</v>
      </c>
      <c r="M305" s="102" t="s">
        <v>1099</v>
      </c>
      <c r="N305" s="102" t="s">
        <v>1481</v>
      </c>
      <c r="O305" s="93">
        <v>46126</v>
      </c>
    </row>
    <row r="306" spans="1:15" x14ac:dyDescent="0.3">
      <c r="A306" s="102" t="s">
        <v>1843</v>
      </c>
      <c r="B306" t="s">
        <v>1844</v>
      </c>
      <c r="C306" s="93">
        <v>46175</v>
      </c>
      <c r="D306" s="93">
        <v>46175</v>
      </c>
      <c r="E306" s="93">
        <v>46175</v>
      </c>
      <c r="F306" s="102" t="s">
        <v>1845</v>
      </c>
      <c r="G306" s="102" t="s">
        <v>1823</v>
      </c>
      <c r="H306" s="102" t="s">
        <v>1480</v>
      </c>
      <c r="I306">
        <v>124</v>
      </c>
      <c r="J306">
        <v>124</v>
      </c>
      <c r="K306">
        <v>124</v>
      </c>
      <c r="L306">
        <v>124</v>
      </c>
      <c r="M306" s="102" t="s">
        <v>1099</v>
      </c>
      <c r="N306" s="102" t="s">
        <v>1481</v>
      </c>
      <c r="O306" s="93">
        <v>46175</v>
      </c>
    </row>
    <row r="307" spans="1:15" x14ac:dyDescent="0.3">
      <c r="A307" s="102" t="s">
        <v>1843</v>
      </c>
      <c r="B307" t="s">
        <v>1844</v>
      </c>
      <c r="C307" s="93">
        <v>46134</v>
      </c>
      <c r="D307" s="93">
        <v>46104</v>
      </c>
      <c r="E307" s="93">
        <v>46104</v>
      </c>
      <c r="F307" s="102" t="s">
        <v>1598</v>
      </c>
      <c r="G307" s="102" t="s">
        <v>1789</v>
      </c>
      <c r="H307" s="102" t="s">
        <v>1629</v>
      </c>
      <c r="I307">
        <v>5000</v>
      </c>
      <c r="J307">
        <v>676.67</v>
      </c>
      <c r="K307">
        <v>676.66700000000003</v>
      </c>
      <c r="L307">
        <v>5000</v>
      </c>
      <c r="M307" s="102" t="s">
        <v>1099</v>
      </c>
      <c r="N307" s="102" t="s">
        <v>1488</v>
      </c>
      <c r="O307" s="93">
        <v>46126</v>
      </c>
    </row>
    <row r="308" spans="1:15" x14ac:dyDescent="0.3">
      <c r="A308" s="102" t="s">
        <v>1843</v>
      </c>
      <c r="B308" t="s">
        <v>1844</v>
      </c>
      <c r="C308" s="93">
        <v>46024</v>
      </c>
      <c r="D308" s="93">
        <v>46024</v>
      </c>
      <c r="E308" s="93">
        <v>46024</v>
      </c>
      <c r="F308" s="102" t="s">
        <v>1870</v>
      </c>
      <c r="G308" s="102" t="s">
        <v>1846</v>
      </c>
      <c r="H308" s="102" t="s">
        <v>1480</v>
      </c>
      <c r="I308">
        <v>200</v>
      </c>
      <c r="J308">
        <v>200</v>
      </c>
      <c r="K308">
        <v>200</v>
      </c>
      <c r="L308">
        <v>200</v>
      </c>
      <c r="M308" s="102" t="s">
        <v>1099</v>
      </c>
      <c r="N308" s="102" t="s">
        <v>1481</v>
      </c>
      <c r="O308" s="93">
        <v>46024</v>
      </c>
    </row>
    <row r="309" spans="1:15" x14ac:dyDescent="0.3">
      <c r="A309" s="102" t="s">
        <v>1843</v>
      </c>
      <c r="B309" t="s">
        <v>1844</v>
      </c>
      <c r="C309" s="93">
        <v>46163</v>
      </c>
      <c r="D309" s="93">
        <v>46148</v>
      </c>
      <c r="E309" s="93">
        <v>46148</v>
      </c>
      <c r="F309" s="102" t="s">
        <v>1598</v>
      </c>
      <c r="G309" s="102" t="s">
        <v>1789</v>
      </c>
      <c r="H309" s="102" t="s">
        <v>1630</v>
      </c>
      <c r="I309">
        <v>5000</v>
      </c>
      <c r="J309">
        <v>676.67</v>
      </c>
      <c r="K309">
        <v>676.66700000000003</v>
      </c>
      <c r="L309">
        <v>5000</v>
      </c>
      <c r="M309" s="102" t="s">
        <v>1099</v>
      </c>
      <c r="N309" s="102" t="s">
        <v>1488</v>
      </c>
      <c r="O309" s="93">
        <v>46126</v>
      </c>
    </row>
    <row r="310" spans="1:15" x14ac:dyDescent="0.3">
      <c r="A310" s="102" t="s">
        <v>1843</v>
      </c>
      <c r="B310" t="s">
        <v>1844</v>
      </c>
      <c r="C310" s="93">
        <v>46194</v>
      </c>
      <c r="D310" s="93">
        <v>46175</v>
      </c>
      <c r="E310" s="93">
        <v>46175</v>
      </c>
      <c r="F310" s="102" t="s">
        <v>1598</v>
      </c>
      <c r="G310" s="102" t="s">
        <v>1789</v>
      </c>
      <c r="H310" s="102" t="s">
        <v>1626</v>
      </c>
      <c r="I310">
        <v>5000</v>
      </c>
      <c r="J310">
        <v>676.67</v>
      </c>
      <c r="K310">
        <v>676.66700000000003</v>
      </c>
      <c r="L310">
        <v>5000</v>
      </c>
      <c r="M310" s="102" t="s">
        <v>1099</v>
      </c>
      <c r="N310" s="102" t="s">
        <v>1488</v>
      </c>
      <c r="O310" s="93">
        <v>46126</v>
      </c>
    </row>
    <row r="311" spans="1:15" x14ac:dyDescent="0.3">
      <c r="A311" s="102" t="s">
        <v>1843</v>
      </c>
      <c r="B311" t="s">
        <v>1844</v>
      </c>
      <c r="C311" s="93">
        <v>46140</v>
      </c>
      <c r="D311" s="93">
        <v>46140</v>
      </c>
      <c r="E311" s="93">
        <v>46140</v>
      </c>
      <c r="F311" s="102" t="s">
        <v>1856</v>
      </c>
      <c r="G311" s="102" t="s">
        <v>1857</v>
      </c>
      <c r="H311" s="102" t="s">
        <v>1480</v>
      </c>
      <c r="I311">
        <v>12117.6</v>
      </c>
      <c r="J311">
        <v>11717.6</v>
      </c>
      <c r="K311">
        <v>11717.6</v>
      </c>
      <c r="L311">
        <v>12117.6</v>
      </c>
      <c r="M311" s="102" t="s">
        <v>1099</v>
      </c>
      <c r="N311" s="102" t="s">
        <v>1481</v>
      </c>
      <c r="O311" s="93">
        <v>46139</v>
      </c>
    </row>
    <row r="312" spans="1:15" x14ac:dyDescent="0.3">
      <c r="A312" s="102" t="s">
        <v>1843</v>
      </c>
      <c r="B312" t="s">
        <v>1844</v>
      </c>
      <c r="C312" s="93">
        <v>46150</v>
      </c>
      <c r="D312" s="93">
        <v>46150</v>
      </c>
      <c r="E312" s="93">
        <v>46150</v>
      </c>
      <c r="F312" s="102" t="s">
        <v>1847</v>
      </c>
      <c r="G312" s="102" t="s">
        <v>1851</v>
      </c>
      <c r="H312" s="102" t="s">
        <v>1480</v>
      </c>
      <c r="I312">
        <v>650</v>
      </c>
      <c r="J312">
        <v>650</v>
      </c>
      <c r="K312">
        <v>650</v>
      </c>
      <c r="L312">
        <v>650</v>
      </c>
      <c r="M312" s="102" t="s">
        <v>1099</v>
      </c>
      <c r="N312" s="102" t="s">
        <v>1481</v>
      </c>
      <c r="O312" s="93">
        <v>46149</v>
      </c>
    </row>
    <row r="313" spans="1:15" x14ac:dyDescent="0.3">
      <c r="A313" s="102" t="s">
        <v>1843</v>
      </c>
      <c r="B313" t="s">
        <v>1844</v>
      </c>
      <c r="C313" s="93">
        <v>46101</v>
      </c>
      <c r="D313" s="93">
        <v>46101</v>
      </c>
      <c r="E313" s="93">
        <v>46101</v>
      </c>
      <c r="F313" s="102" t="s">
        <v>1658</v>
      </c>
      <c r="G313" s="102" t="s">
        <v>1659</v>
      </c>
      <c r="H313" s="102" t="s">
        <v>1629</v>
      </c>
      <c r="I313">
        <v>3000</v>
      </c>
      <c r="J313">
        <v>923.08</v>
      </c>
      <c r="K313">
        <v>923.077</v>
      </c>
      <c r="L313">
        <v>3000</v>
      </c>
      <c r="M313" s="102" t="s">
        <v>1099</v>
      </c>
      <c r="N313" s="102" t="s">
        <v>1481</v>
      </c>
      <c r="O313" s="93">
        <v>46182</v>
      </c>
    </row>
    <row r="314" spans="1:15" x14ac:dyDescent="0.3">
      <c r="A314" s="102" t="s">
        <v>1843</v>
      </c>
      <c r="B314" t="s">
        <v>1844</v>
      </c>
      <c r="C314" s="93">
        <v>46042</v>
      </c>
      <c r="D314" s="93">
        <v>46042</v>
      </c>
      <c r="E314" s="93">
        <v>46042</v>
      </c>
      <c r="F314" s="102" t="s">
        <v>1854</v>
      </c>
      <c r="G314" s="102" t="s">
        <v>1846</v>
      </c>
      <c r="H314" s="102" t="s">
        <v>1480</v>
      </c>
      <c r="I314">
        <v>800</v>
      </c>
      <c r="J314">
        <v>800</v>
      </c>
      <c r="K314">
        <v>800</v>
      </c>
      <c r="L314">
        <v>800</v>
      </c>
      <c r="M314" s="102" t="s">
        <v>1099</v>
      </c>
      <c r="N314" s="102" t="s">
        <v>1481</v>
      </c>
      <c r="O314" s="93">
        <v>46042</v>
      </c>
    </row>
    <row r="315" spans="1:15" x14ac:dyDescent="0.3">
      <c r="A315" s="102" t="s">
        <v>1843</v>
      </c>
      <c r="B315" t="s">
        <v>1844</v>
      </c>
      <c r="C315" s="93">
        <v>46042</v>
      </c>
      <c r="D315" s="93">
        <v>46042</v>
      </c>
      <c r="E315" s="93">
        <v>46042</v>
      </c>
      <c r="F315" s="102" t="s">
        <v>1855</v>
      </c>
      <c r="G315" s="102" t="s">
        <v>1846</v>
      </c>
      <c r="H315" s="102" t="s">
        <v>1480</v>
      </c>
      <c r="I315">
        <v>300</v>
      </c>
      <c r="J315">
        <v>300</v>
      </c>
      <c r="K315">
        <v>300</v>
      </c>
      <c r="L315">
        <v>300</v>
      </c>
      <c r="M315" s="102" t="s">
        <v>1099</v>
      </c>
      <c r="N315" s="102" t="s">
        <v>1481</v>
      </c>
      <c r="O315" s="93">
        <v>46042</v>
      </c>
    </row>
    <row r="316" spans="1:15" x14ac:dyDescent="0.3">
      <c r="A316" s="102" t="s">
        <v>1843</v>
      </c>
      <c r="B316" t="s">
        <v>1844</v>
      </c>
      <c r="C316" s="93">
        <v>46021</v>
      </c>
      <c r="D316" s="93">
        <v>46021</v>
      </c>
      <c r="E316" s="93">
        <v>46021</v>
      </c>
      <c r="F316" s="102" t="s">
        <v>1849</v>
      </c>
      <c r="G316" s="102" t="s">
        <v>1850</v>
      </c>
      <c r="H316" s="102" t="s">
        <v>1480</v>
      </c>
      <c r="I316">
        <v>8888</v>
      </c>
      <c r="J316">
        <v>8888</v>
      </c>
      <c r="K316">
        <v>8888</v>
      </c>
      <c r="L316">
        <v>8888</v>
      </c>
      <c r="M316" s="102" t="s">
        <v>1099</v>
      </c>
      <c r="N316" s="102" t="s">
        <v>1481</v>
      </c>
      <c r="O316" s="93">
        <v>46021</v>
      </c>
    </row>
    <row r="317" spans="1:15" x14ac:dyDescent="0.3">
      <c r="A317" s="102" t="s">
        <v>1843</v>
      </c>
      <c r="B317" t="s">
        <v>1844</v>
      </c>
      <c r="C317" s="93">
        <v>46046</v>
      </c>
      <c r="D317" s="93">
        <v>46046</v>
      </c>
      <c r="E317" s="93">
        <v>46046</v>
      </c>
      <c r="F317" s="102" t="s">
        <v>1845</v>
      </c>
      <c r="G317" s="102" t="s">
        <v>1846</v>
      </c>
      <c r="H317" s="102" t="s">
        <v>1480</v>
      </c>
      <c r="I317">
        <v>250</v>
      </c>
      <c r="J317">
        <v>250</v>
      </c>
      <c r="K317">
        <v>250</v>
      </c>
      <c r="L317">
        <v>250</v>
      </c>
      <c r="M317" s="102" t="s">
        <v>1099</v>
      </c>
      <c r="N317" s="102" t="s">
        <v>1481</v>
      </c>
      <c r="O317" s="93">
        <v>46046</v>
      </c>
    </row>
    <row r="318" spans="1:15" x14ac:dyDescent="0.3">
      <c r="A318" s="102" t="s">
        <v>1843</v>
      </c>
      <c r="B318" t="s">
        <v>1844</v>
      </c>
      <c r="C318" s="93">
        <v>46080</v>
      </c>
      <c r="D318" s="93">
        <v>46080</v>
      </c>
      <c r="E318" s="93">
        <v>46080</v>
      </c>
      <c r="F318" s="102" t="s">
        <v>1531</v>
      </c>
      <c r="G318" s="102" t="s">
        <v>1862</v>
      </c>
      <c r="H318" s="102" t="s">
        <v>1480</v>
      </c>
      <c r="I318">
        <v>400</v>
      </c>
      <c r="J318">
        <v>400</v>
      </c>
      <c r="K318">
        <v>400</v>
      </c>
      <c r="L318">
        <v>400</v>
      </c>
      <c r="M318" s="102" t="s">
        <v>1099</v>
      </c>
      <c r="N318" s="102" t="s">
        <v>1481</v>
      </c>
      <c r="O318" s="93">
        <v>46080</v>
      </c>
    </row>
    <row r="319" spans="1:15" x14ac:dyDescent="0.3">
      <c r="A319" s="102" t="s">
        <v>1843</v>
      </c>
      <c r="B319" t="s">
        <v>1844</v>
      </c>
      <c r="C319" s="93">
        <v>46194</v>
      </c>
      <c r="D319" s="93">
        <v>46194</v>
      </c>
      <c r="E319" s="93">
        <v>46194</v>
      </c>
      <c r="F319" s="102" t="s">
        <v>1868</v>
      </c>
      <c r="G319" s="102" t="s">
        <v>1869</v>
      </c>
      <c r="H319" s="102" t="s">
        <v>1480</v>
      </c>
      <c r="I319">
        <v>700</v>
      </c>
      <c r="J319">
        <v>700</v>
      </c>
      <c r="K319">
        <v>700</v>
      </c>
      <c r="L319">
        <v>700</v>
      </c>
      <c r="M319" s="102" t="s">
        <v>1099</v>
      </c>
      <c r="N319" s="102" t="s">
        <v>1481</v>
      </c>
      <c r="O319" s="93">
        <v>46194</v>
      </c>
    </row>
    <row r="320" spans="1:15" x14ac:dyDescent="0.3">
      <c r="A320" s="102" t="s">
        <v>1843</v>
      </c>
      <c r="B320" t="s">
        <v>1844</v>
      </c>
      <c r="C320" s="93">
        <v>46040</v>
      </c>
      <c r="D320" s="93">
        <v>46040</v>
      </c>
      <c r="E320" s="93">
        <v>46040</v>
      </c>
      <c r="F320" s="102" t="s">
        <v>1845</v>
      </c>
      <c r="G320" s="102" t="s">
        <v>1846</v>
      </c>
      <c r="H320" s="102" t="s">
        <v>1480</v>
      </c>
      <c r="I320">
        <v>50</v>
      </c>
      <c r="J320">
        <v>50</v>
      </c>
      <c r="K320">
        <v>50</v>
      </c>
      <c r="L320">
        <v>50</v>
      </c>
      <c r="M320" s="102" t="s">
        <v>1099</v>
      </c>
      <c r="N320" s="102" t="s">
        <v>1481</v>
      </c>
      <c r="O320" s="93">
        <v>46040</v>
      </c>
    </row>
    <row r="321" spans="1:15" x14ac:dyDescent="0.3">
      <c r="A321" s="102" t="s">
        <v>1843</v>
      </c>
      <c r="B321" t="s">
        <v>1844</v>
      </c>
      <c r="C321" s="93">
        <v>46062</v>
      </c>
      <c r="D321" s="93">
        <v>46062</v>
      </c>
      <c r="E321" s="93">
        <v>46062</v>
      </c>
      <c r="F321" s="102" t="s">
        <v>1855</v>
      </c>
      <c r="G321" s="102" t="s">
        <v>1859</v>
      </c>
      <c r="H321" s="102" t="s">
        <v>1480</v>
      </c>
      <c r="I321">
        <v>300</v>
      </c>
      <c r="J321">
        <v>300</v>
      </c>
      <c r="K321">
        <v>300</v>
      </c>
      <c r="L321">
        <v>300</v>
      </c>
      <c r="M321" s="102" t="s">
        <v>1099</v>
      </c>
      <c r="N321" s="102" t="s">
        <v>1481</v>
      </c>
      <c r="O321" s="93">
        <v>46062</v>
      </c>
    </row>
    <row r="322" spans="1:15" x14ac:dyDescent="0.3">
      <c r="A322" s="102" t="s">
        <v>1843</v>
      </c>
      <c r="B322" t="s">
        <v>1844</v>
      </c>
      <c r="C322" s="93">
        <v>46191</v>
      </c>
      <c r="D322" s="93">
        <v>46191</v>
      </c>
      <c r="E322" s="93">
        <v>46191</v>
      </c>
      <c r="F322" s="102" t="s">
        <v>1847</v>
      </c>
      <c r="G322" s="102" t="s">
        <v>1848</v>
      </c>
      <c r="H322" s="102" t="s">
        <v>1480</v>
      </c>
      <c r="I322">
        <v>650</v>
      </c>
      <c r="J322">
        <v>650</v>
      </c>
      <c r="K322">
        <v>650</v>
      </c>
      <c r="L322">
        <v>650</v>
      </c>
      <c r="M322" s="102" t="s">
        <v>1099</v>
      </c>
      <c r="N322" s="102" t="s">
        <v>1481</v>
      </c>
      <c r="O322" s="93">
        <v>46191</v>
      </c>
    </row>
    <row r="323" spans="1:15" x14ac:dyDescent="0.3">
      <c r="A323" s="102" t="s">
        <v>1843</v>
      </c>
      <c r="B323" t="s">
        <v>1844</v>
      </c>
      <c r="C323" s="93">
        <v>46194</v>
      </c>
      <c r="D323" s="93">
        <v>46194</v>
      </c>
      <c r="E323" s="93">
        <v>46194</v>
      </c>
      <c r="F323" s="102" t="s">
        <v>1866</v>
      </c>
      <c r="G323" s="102" t="s">
        <v>1867</v>
      </c>
      <c r="H323" s="102" t="s">
        <v>1480</v>
      </c>
      <c r="I323">
        <v>200</v>
      </c>
      <c r="J323">
        <v>200</v>
      </c>
      <c r="K323">
        <v>200</v>
      </c>
      <c r="L323">
        <v>200</v>
      </c>
      <c r="M323" s="102" t="s">
        <v>1099</v>
      </c>
      <c r="N323" s="102" t="s">
        <v>1481</v>
      </c>
      <c r="O323" s="93">
        <v>46194</v>
      </c>
    </row>
    <row r="324" spans="1:15" x14ac:dyDescent="0.3">
      <c r="A324" s="102" t="s">
        <v>1843</v>
      </c>
      <c r="B324" t="s">
        <v>1844</v>
      </c>
      <c r="C324" s="93">
        <v>46212</v>
      </c>
      <c r="D324" s="93">
        <v>46200</v>
      </c>
      <c r="E324" s="93">
        <v>46200</v>
      </c>
      <c r="F324" s="102" t="s">
        <v>1658</v>
      </c>
      <c r="G324" s="102" t="s">
        <v>1659</v>
      </c>
      <c r="H324" s="102" t="s">
        <v>1630</v>
      </c>
      <c r="I324">
        <v>5000</v>
      </c>
      <c r="J324">
        <v>1538.46</v>
      </c>
      <c r="K324">
        <v>1538.462</v>
      </c>
      <c r="L324">
        <v>5000</v>
      </c>
      <c r="M324" s="102" t="s">
        <v>1099</v>
      </c>
      <c r="N324" s="102" t="s">
        <v>1481</v>
      </c>
      <c r="O324" s="93">
        <v>46182</v>
      </c>
    </row>
    <row r="325" spans="1:15" x14ac:dyDescent="0.3">
      <c r="A325" s="102" t="s">
        <v>1843</v>
      </c>
      <c r="B325" t="s">
        <v>1844</v>
      </c>
      <c r="C325" s="93">
        <v>46243</v>
      </c>
      <c r="D325" s="93"/>
      <c r="E325" s="93"/>
      <c r="F325" s="102" t="s">
        <v>1658</v>
      </c>
      <c r="G325" s="102" t="s">
        <v>1659</v>
      </c>
      <c r="H325" s="102" t="s">
        <v>1626</v>
      </c>
      <c r="I325">
        <v>5000</v>
      </c>
      <c r="J325">
        <v>1538.46</v>
      </c>
      <c r="K325">
        <v>1538.462</v>
      </c>
      <c r="L325">
        <v>0</v>
      </c>
      <c r="M325" s="102" t="s">
        <v>1099</v>
      </c>
      <c r="N325" s="102" t="s">
        <v>1481</v>
      </c>
      <c r="O325" s="93">
        <v>46182</v>
      </c>
    </row>
    <row r="326" spans="1:15" x14ac:dyDescent="0.3">
      <c r="A326" s="102" t="s">
        <v>1843</v>
      </c>
      <c r="B326" t="s">
        <v>1844</v>
      </c>
      <c r="C326" s="93">
        <v>46066</v>
      </c>
      <c r="D326" s="93">
        <v>46066</v>
      </c>
      <c r="E326" s="93">
        <v>46066</v>
      </c>
      <c r="F326" s="102" t="s">
        <v>1531</v>
      </c>
      <c r="G326" s="102" t="s">
        <v>1858</v>
      </c>
      <c r="H326" s="102" t="s">
        <v>1480</v>
      </c>
      <c r="I326">
        <v>400</v>
      </c>
      <c r="J326">
        <v>400</v>
      </c>
      <c r="K326">
        <v>400</v>
      </c>
      <c r="L326">
        <v>400</v>
      </c>
      <c r="M326" s="102" t="s">
        <v>1099</v>
      </c>
      <c r="N326" s="102" t="s">
        <v>1481</v>
      </c>
      <c r="O326" s="93">
        <v>46066</v>
      </c>
    </row>
    <row r="327" spans="1:15" x14ac:dyDescent="0.3">
      <c r="A327" s="102" t="s">
        <v>1843</v>
      </c>
      <c r="B327" t="s">
        <v>1844</v>
      </c>
      <c r="C327" s="93">
        <v>46196</v>
      </c>
      <c r="D327" s="93">
        <v>46196</v>
      </c>
      <c r="E327" s="93">
        <v>46196</v>
      </c>
      <c r="F327" s="102" t="s">
        <v>1864</v>
      </c>
      <c r="G327" s="102" t="s">
        <v>1865</v>
      </c>
      <c r="H327" s="102" t="s">
        <v>1480</v>
      </c>
      <c r="I327">
        <v>3465</v>
      </c>
      <c r="J327">
        <v>3465</v>
      </c>
      <c r="K327">
        <v>3465</v>
      </c>
      <c r="L327">
        <v>3465</v>
      </c>
      <c r="M327" s="102" t="s">
        <v>1099</v>
      </c>
      <c r="N327" s="102" t="s">
        <v>1481</v>
      </c>
      <c r="O327" s="93">
        <v>46196</v>
      </c>
    </row>
    <row r="328" spans="1:15" x14ac:dyDescent="0.3">
      <c r="A328" s="102" t="s">
        <v>1843</v>
      </c>
      <c r="B328" t="s">
        <v>1844</v>
      </c>
      <c r="C328" s="93">
        <v>46068</v>
      </c>
      <c r="D328" s="93">
        <v>46068</v>
      </c>
      <c r="E328" s="93">
        <v>46068</v>
      </c>
      <c r="F328" s="102" t="s">
        <v>1832</v>
      </c>
      <c r="G328" s="102" t="s">
        <v>1859</v>
      </c>
      <c r="H328" s="102" t="s">
        <v>1480</v>
      </c>
      <c r="I328">
        <v>300</v>
      </c>
      <c r="J328">
        <v>300</v>
      </c>
      <c r="K328">
        <v>300</v>
      </c>
      <c r="L328">
        <v>300</v>
      </c>
      <c r="M328" s="102" t="s">
        <v>1099</v>
      </c>
      <c r="N328" s="102" t="s">
        <v>1481</v>
      </c>
      <c r="O328" s="93">
        <v>46068</v>
      </c>
    </row>
    <row r="329" spans="1:15" x14ac:dyDescent="0.3">
      <c r="A329" s="102" t="s">
        <v>1843</v>
      </c>
      <c r="B329" t="s">
        <v>1844</v>
      </c>
      <c r="C329" s="93">
        <v>46108</v>
      </c>
      <c r="D329" s="93">
        <v>46108</v>
      </c>
      <c r="E329" s="93">
        <v>46108</v>
      </c>
      <c r="F329" s="102" t="s">
        <v>1531</v>
      </c>
      <c r="G329" s="102" t="s">
        <v>1863</v>
      </c>
      <c r="H329" s="102" t="s">
        <v>1480</v>
      </c>
      <c r="I329">
        <v>400</v>
      </c>
      <c r="J329">
        <v>400</v>
      </c>
      <c r="K329">
        <v>400</v>
      </c>
      <c r="L329">
        <v>400</v>
      </c>
      <c r="M329" s="102" t="s">
        <v>1099</v>
      </c>
      <c r="N329" s="102" t="s">
        <v>1481</v>
      </c>
      <c r="O329" s="93">
        <v>46101</v>
      </c>
    </row>
    <row r="330" spans="1:15" x14ac:dyDescent="0.3">
      <c r="A330" s="102" t="s">
        <v>1843</v>
      </c>
      <c r="B330" t="s">
        <v>1844</v>
      </c>
      <c r="C330" s="93">
        <v>46028</v>
      </c>
      <c r="D330" s="93">
        <v>46028</v>
      </c>
      <c r="E330" s="93">
        <v>46028</v>
      </c>
      <c r="F330" s="102" t="s">
        <v>1773</v>
      </c>
      <c r="G330" s="102" t="s">
        <v>1846</v>
      </c>
      <c r="H330" s="102" t="s">
        <v>1480</v>
      </c>
      <c r="I330">
        <v>200</v>
      </c>
      <c r="J330">
        <v>200</v>
      </c>
      <c r="K330">
        <v>200</v>
      </c>
      <c r="L330">
        <v>200</v>
      </c>
      <c r="M330" s="102" t="s">
        <v>1099</v>
      </c>
      <c r="N330" s="102" t="s">
        <v>1481</v>
      </c>
      <c r="O330" s="93">
        <v>46028</v>
      </c>
    </row>
    <row r="331" spans="1:15" x14ac:dyDescent="0.3">
      <c r="A331" s="102" t="s">
        <v>1843</v>
      </c>
      <c r="B331" t="s">
        <v>1844</v>
      </c>
      <c r="C331" s="93">
        <v>46047</v>
      </c>
      <c r="D331" s="93">
        <v>46047</v>
      </c>
      <c r="E331" s="93">
        <v>46047</v>
      </c>
      <c r="F331" s="102" t="s">
        <v>1531</v>
      </c>
      <c r="G331" s="102" t="s">
        <v>1852</v>
      </c>
      <c r="H331" s="102" t="s">
        <v>1480</v>
      </c>
      <c r="I331">
        <v>400</v>
      </c>
      <c r="J331">
        <v>400</v>
      </c>
      <c r="K331">
        <v>400</v>
      </c>
      <c r="L331">
        <v>400</v>
      </c>
      <c r="M331" s="102" t="s">
        <v>1099</v>
      </c>
      <c r="N331" s="102" t="s">
        <v>1481</v>
      </c>
      <c r="O331" s="93">
        <v>46047</v>
      </c>
    </row>
    <row r="332" spans="1:15" x14ac:dyDescent="0.3">
      <c r="A332" s="102" t="s">
        <v>1843</v>
      </c>
      <c r="B332" t="s">
        <v>1844</v>
      </c>
      <c r="C332" s="93">
        <v>46049</v>
      </c>
      <c r="D332" s="93">
        <v>46049</v>
      </c>
      <c r="E332" s="93">
        <v>46049</v>
      </c>
      <c r="F332" s="102" t="s">
        <v>1860</v>
      </c>
      <c r="G332" s="102" t="s">
        <v>1846</v>
      </c>
      <c r="H332" s="102" t="s">
        <v>1480</v>
      </c>
      <c r="I332">
        <v>300</v>
      </c>
      <c r="J332">
        <v>300</v>
      </c>
      <c r="K332">
        <v>300</v>
      </c>
      <c r="L332">
        <v>300</v>
      </c>
      <c r="M332" s="102" t="s">
        <v>1099</v>
      </c>
      <c r="N332" s="102" t="s">
        <v>1481</v>
      </c>
      <c r="O332" s="93">
        <v>46049</v>
      </c>
    </row>
    <row r="333" spans="1:15" x14ac:dyDescent="0.3">
      <c r="A333" s="102" t="s">
        <v>1843</v>
      </c>
      <c r="B333" t="s">
        <v>1844</v>
      </c>
      <c r="C333" s="93">
        <v>46028</v>
      </c>
      <c r="D333" s="93">
        <v>46028</v>
      </c>
      <c r="E333" s="93">
        <v>46028</v>
      </c>
      <c r="F333" s="102" t="s">
        <v>1855</v>
      </c>
      <c r="G333" s="102" t="s">
        <v>1846</v>
      </c>
      <c r="H333" s="102" t="s">
        <v>1480</v>
      </c>
      <c r="I333">
        <v>200</v>
      </c>
      <c r="J333">
        <v>200</v>
      </c>
      <c r="K333">
        <v>200</v>
      </c>
      <c r="L333">
        <v>200</v>
      </c>
      <c r="M333" s="102" t="s">
        <v>1099</v>
      </c>
      <c r="N333" s="102" t="s">
        <v>1481</v>
      </c>
      <c r="O333" s="93">
        <v>46028</v>
      </c>
    </row>
    <row r="334" spans="1:15" x14ac:dyDescent="0.3">
      <c r="A334" s="102" t="s">
        <v>1843</v>
      </c>
      <c r="B334" t="s">
        <v>1844</v>
      </c>
      <c r="C334" s="93">
        <v>46211</v>
      </c>
      <c r="D334" s="93">
        <v>46200</v>
      </c>
      <c r="E334" s="93">
        <v>46200</v>
      </c>
      <c r="F334" s="102" t="s">
        <v>1598</v>
      </c>
      <c r="G334" s="102" t="s">
        <v>1623</v>
      </c>
      <c r="H334" s="102" t="s">
        <v>1480</v>
      </c>
      <c r="I334">
        <v>1494.6</v>
      </c>
      <c r="J334">
        <v>504.6</v>
      </c>
      <c r="K334">
        <v>504.6</v>
      </c>
      <c r="L334">
        <v>1494.6</v>
      </c>
      <c r="M334" s="102" t="s">
        <v>1099</v>
      </c>
      <c r="N334" s="102" t="s">
        <v>1481</v>
      </c>
      <c r="O334" s="93">
        <v>46190</v>
      </c>
    </row>
    <row r="335" spans="1:15" x14ac:dyDescent="0.3">
      <c r="A335" s="102" t="s">
        <v>1843</v>
      </c>
      <c r="B335" t="s">
        <v>1844</v>
      </c>
      <c r="C335" s="93">
        <v>46185</v>
      </c>
      <c r="D335" s="93">
        <v>46185</v>
      </c>
      <c r="E335" s="93">
        <v>46185</v>
      </c>
      <c r="F335" s="102" t="s">
        <v>1531</v>
      </c>
      <c r="G335" s="102" t="s">
        <v>1861</v>
      </c>
      <c r="H335" s="102" t="s">
        <v>1480</v>
      </c>
      <c r="I335">
        <v>400</v>
      </c>
      <c r="J335">
        <v>400</v>
      </c>
      <c r="K335">
        <v>400</v>
      </c>
      <c r="L335">
        <v>400</v>
      </c>
      <c r="M335" s="102" t="s">
        <v>1099</v>
      </c>
      <c r="N335" s="102" t="s">
        <v>1481</v>
      </c>
      <c r="O335" s="93">
        <v>46185</v>
      </c>
    </row>
    <row r="336" spans="1:15" x14ac:dyDescent="0.3">
      <c r="A336" s="102" t="s">
        <v>1843</v>
      </c>
      <c r="B336" t="s">
        <v>1844</v>
      </c>
      <c r="C336" s="93">
        <v>46053</v>
      </c>
      <c r="D336" s="93">
        <v>46053</v>
      </c>
      <c r="E336" s="93">
        <v>46053</v>
      </c>
      <c r="F336" s="102" t="s">
        <v>1853</v>
      </c>
      <c r="G336" s="102" t="s">
        <v>1846</v>
      </c>
      <c r="H336" s="102" t="s">
        <v>1480</v>
      </c>
      <c r="I336">
        <v>150</v>
      </c>
      <c r="J336">
        <v>150</v>
      </c>
      <c r="K336">
        <v>150</v>
      </c>
      <c r="L336">
        <v>150</v>
      </c>
      <c r="M336" s="102" t="s">
        <v>1099</v>
      </c>
      <c r="N336" s="102" t="s">
        <v>1481</v>
      </c>
      <c r="O336" s="93">
        <v>46053</v>
      </c>
    </row>
    <row r="337" spans="1:15" x14ac:dyDescent="0.3">
      <c r="A337" s="102" t="s">
        <v>1843</v>
      </c>
      <c r="B337" t="s">
        <v>1844</v>
      </c>
      <c r="C337" s="93">
        <v>46109</v>
      </c>
      <c r="D337" s="93">
        <v>46109</v>
      </c>
      <c r="E337" s="93">
        <v>46109</v>
      </c>
      <c r="F337" s="102" t="s">
        <v>1639</v>
      </c>
      <c r="G337" s="102" t="s">
        <v>1640</v>
      </c>
      <c r="H337" s="102" t="s">
        <v>1480</v>
      </c>
      <c r="I337">
        <v>162.76</v>
      </c>
      <c r="J337">
        <v>32.86</v>
      </c>
      <c r="K337">
        <v>32.86</v>
      </c>
      <c r="L337">
        <v>162.76</v>
      </c>
      <c r="M337" s="102" t="s">
        <v>1099</v>
      </c>
      <c r="N337" s="102" t="s">
        <v>1481</v>
      </c>
      <c r="O337" s="93">
        <v>46109</v>
      </c>
    </row>
    <row r="338" spans="1:15" x14ac:dyDescent="0.3">
      <c r="A338" s="102" t="s">
        <v>1871</v>
      </c>
      <c r="B338" t="s">
        <v>1872</v>
      </c>
      <c r="C338" s="93">
        <v>46119</v>
      </c>
      <c r="D338" s="93">
        <v>46119</v>
      </c>
      <c r="E338" s="93">
        <v>46119</v>
      </c>
      <c r="F338" s="102" t="s">
        <v>1490</v>
      </c>
      <c r="G338" s="102" t="s">
        <v>1591</v>
      </c>
      <c r="H338" s="102" t="s">
        <v>1480</v>
      </c>
      <c r="I338">
        <v>788.89</v>
      </c>
      <c r="J338">
        <v>149</v>
      </c>
      <c r="K338">
        <v>149</v>
      </c>
      <c r="L338">
        <v>788.89</v>
      </c>
      <c r="M338" s="102" t="s">
        <v>1099</v>
      </c>
      <c r="N338" s="102" t="s">
        <v>1481</v>
      </c>
      <c r="O338" s="93">
        <v>46099</v>
      </c>
    </row>
    <row r="339" spans="1:15" x14ac:dyDescent="0.3">
      <c r="A339" s="102" t="s">
        <v>1871</v>
      </c>
      <c r="B339" t="s">
        <v>1872</v>
      </c>
      <c r="C339" s="93">
        <v>46088</v>
      </c>
      <c r="D339" s="93">
        <v>46090</v>
      </c>
      <c r="E339" s="93">
        <v>46090</v>
      </c>
      <c r="F339" s="102" t="s">
        <v>1490</v>
      </c>
      <c r="G339" s="102" t="s">
        <v>1875</v>
      </c>
      <c r="H339" s="102" t="s">
        <v>1480</v>
      </c>
      <c r="I339">
        <v>382.62</v>
      </c>
      <c r="J339">
        <v>382.62</v>
      </c>
      <c r="K339">
        <v>382.62</v>
      </c>
      <c r="L339">
        <v>382.62</v>
      </c>
      <c r="M339" s="102" t="s">
        <v>1099</v>
      </c>
      <c r="N339" s="102" t="s">
        <v>1481</v>
      </c>
      <c r="O339" s="93">
        <v>46064</v>
      </c>
    </row>
    <row r="340" spans="1:15" x14ac:dyDescent="0.3">
      <c r="A340" s="102" t="s">
        <v>1871</v>
      </c>
      <c r="B340" t="s">
        <v>1872</v>
      </c>
      <c r="C340" s="93">
        <v>46180</v>
      </c>
      <c r="D340" s="93">
        <v>46180</v>
      </c>
      <c r="E340" s="93">
        <v>46180</v>
      </c>
      <c r="F340" s="102" t="s">
        <v>1490</v>
      </c>
      <c r="G340" s="102" t="s">
        <v>1873</v>
      </c>
      <c r="H340" s="102" t="s">
        <v>1480</v>
      </c>
      <c r="I340">
        <v>440</v>
      </c>
      <c r="J340">
        <v>440</v>
      </c>
      <c r="K340">
        <v>440</v>
      </c>
      <c r="L340">
        <v>440</v>
      </c>
      <c r="M340" s="102" t="s">
        <v>1099</v>
      </c>
      <c r="N340" s="102" t="s">
        <v>1481</v>
      </c>
      <c r="O340" s="93">
        <v>46149</v>
      </c>
    </row>
    <row r="341" spans="1:15" x14ac:dyDescent="0.3">
      <c r="A341" s="102" t="s">
        <v>1871</v>
      </c>
      <c r="B341" t="s">
        <v>1872</v>
      </c>
      <c r="C341" s="93">
        <v>46180</v>
      </c>
      <c r="D341" s="93">
        <v>46180</v>
      </c>
      <c r="E341" s="93">
        <v>46180</v>
      </c>
      <c r="F341" s="102" t="s">
        <v>1490</v>
      </c>
      <c r="G341" s="102" t="s">
        <v>1874</v>
      </c>
      <c r="H341" s="102" t="s">
        <v>1480</v>
      </c>
      <c r="I341">
        <v>602</v>
      </c>
      <c r="J341">
        <v>602</v>
      </c>
      <c r="K341">
        <v>602</v>
      </c>
      <c r="L341">
        <v>602</v>
      </c>
      <c r="M341" s="102" t="s">
        <v>1099</v>
      </c>
      <c r="N341" s="102" t="s">
        <v>1481</v>
      </c>
      <c r="O341" s="93">
        <v>46147</v>
      </c>
    </row>
    <row r="342" spans="1:15" x14ac:dyDescent="0.3">
      <c r="A342" s="102" t="s">
        <v>1871</v>
      </c>
      <c r="B342" t="s">
        <v>1872</v>
      </c>
      <c r="C342" s="93">
        <v>46236</v>
      </c>
      <c r="D342" s="93"/>
      <c r="E342" s="93"/>
      <c r="F342" s="102" t="s">
        <v>1827</v>
      </c>
      <c r="G342" s="102" t="s">
        <v>1877</v>
      </c>
      <c r="H342" s="102" t="s">
        <v>1626</v>
      </c>
      <c r="I342">
        <v>8341.66</v>
      </c>
      <c r="J342">
        <v>8341.66</v>
      </c>
      <c r="K342">
        <v>8341.66</v>
      </c>
      <c r="L342">
        <v>0</v>
      </c>
      <c r="M342" s="102" t="s">
        <v>1099</v>
      </c>
      <c r="N342" s="102" t="s">
        <v>1481</v>
      </c>
      <c r="O342" s="93">
        <v>46178</v>
      </c>
    </row>
    <row r="343" spans="1:15" x14ac:dyDescent="0.3">
      <c r="A343" s="102" t="s">
        <v>1871</v>
      </c>
      <c r="B343" t="s">
        <v>1872</v>
      </c>
      <c r="C343" s="93">
        <v>46149</v>
      </c>
      <c r="D343" s="93">
        <v>46148</v>
      </c>
      <c r="E343" s="93">
        <v>46148</v>
      </c>
      <c r="F343" s="102" t="s">
        <v>1490</v>
      </c>
      <c r="G343" s="102" t="s">
        <v>1729</v>
      </c>
      <c r="H343" s="102" t="s">
        <v>1480</v>
      </c>
      <c r="I343">
        <v>411</v>
      </c>
      <c r="J343">
        <v>148</v>
      </c>
      <c r="K343">
        <v>148</v>
      </c>
      <c r="L343">
        <v>411</v>
      </c>
      <c r="M343" s="102" t="s">
        <v>1099</v>
      </c>
      <c r="N343" s="102" t="s">
        <v>1481</v>
      </c>
      <c r="O343" s="93">
        <v>46121</v>
      </c>
    </row>
    <row r="344" spans="1:15" x14ac:dyDescent="0.3">
      <c r="A344" s="102" t="s">
        <v>1871</v>
      </c>
      <c r="B344" t="s">
        <v>1872</v>
      </c>
      <c r="C344" s="93">
        <v>46210</v>
      </c>
      <c r="D344" s="93"/>
      <c r="E344" s="93"/>
      <c r="F344" s="102" t="s">
        <v>1490</v>
      </c>
      <c r="G344" s="102" t="s">
        <v>1614</v>
      </c>
      <c r="H344" s="102" t="s">
        <v>1480</v>
      </c>
      <c r="I344">
        <v>49.6</v>
      </c>
      <c r="J344">
        <v>24.6</v>
      </c>
      <c r="K344">
        <v>24.6</v>
      </c>
      <c r="L344">
        <v>0</v>
      </c>
      <c r="M344" s="102" t="s">
        <v>1099</v>
      </c>
      <c r="N344" s="102" t="s">
        <v>1481</v>
      </c>
      <c r="O344" s="93">
        <v>46178</v>
      </c>
    </row>
    <row r="345" spans="1:15" x14ac:dyDescent="0.3">
      <c r="A345" s="102" t="s">
        <v>1871</v>
      </c>
      <c r="B345" t="s">
        <v>1872</v>
      </c>
      <c r="C345" s="93">
        <v>46178</v>
      </c>
      <c r="D345" s="93">
        <v>46176</v>
      </c>
      <c r="E345" s="93">
        <v>46176</v>
      </c>
      <c r="F345" s="102" t="s">
        <v>1827</v>
      </c>
      <c r="G345" s="102" t="s">
        <v>1877</v>
      </c>
      <c r="H345" s="102" t="s">
        <v>1629</v>
      </c>
      <c r="I345">
        <v>4497.67</v>
      </c>
      <c r="J345">
        <v>4497.67</v>
      </c>
      <c r="K345">
        <v>4497.67</v>
      </c>
      <c r="L345">
        <v>4497.67</v>
      </c>
      <c r="M345" s="102" t="s">
        <v>1099</v>
      </c>
      <c r="N345" s="102" t="s">
        <v>1481</v>
      </c>
      <c r="O345" s="93">
        <v>46178</v>
      </c>
    </row>
    <row r="346" spans="1:15" x14ac:dyDescent="0.3">
      <c r="A346" s="102" t="s">
        <v>1871</v>
      </c>
      <c r="B346" t="s">
        <v>1872</v>
      </c>
      <c r="C346" s="93">
        <v>46205</v>
      </c>
      <c r="D346" s="93">
        <v>46200</v>
      </c>
      <c r="E346" s="93">
        <v>46200</v>
      </c>
      <c r="F346" s="102" t="s">
        <v>1827</v>
      </c>
      <c r="G346" s="102" t="s">
        <v>1877</v>
      </c>
      <c r="H346" s="102" t="s">
        <v>1630</v>
      </c>
      <c r="I346">
        <v>7891.67</v>
      </c>
      <c r="J346">
        <v>7891.67</v>
      </c>
      <c r="K346">
        <v>7891.67</v>
      </c>
      <c r="L346">
        <v>7891.67</v>
      </c>
      <c r="M346" s="102" t="s">
        <v>1099</v>
      </c>
      <c r="N346" s="102" t="s">
        <v>1481</v>
      </c>
      <c r="O346" s="93">
        <v>46178</v>
      </c>
    </row>
    <row r="347" spans="1:15" x14ac:dyDescent="0.3">
      <c r="A347" s="102" t="s">
        <v>1871</v>
      </c>
      <c r="B347" t="s">
        <v>1872</v>
      </c>
      <c r="C347" s="93">
        <v>46210</v>
      </c>
      <c r="D347" s="93"/>
      <c r="E347" s="93"/>
      <c r="F347" s="102" t="s">
        <v>1490</v>
      </c>
      <c r="G347" s="102" t="s">
        <v>1876</v>
      </c>
      <c r="H347" s="102" t="s">
        <v>1480</v>
      </c>
      <c r="I347">
        <v>1231.95</v>
      </c>
      <c r="J347">
        <v>414</v>
      </c>
      <c r="K347">
        <v>414</v>
      </c>
      <c r="L347">
        <v>0</v>
      </c>
      <c r="M347" s="102" t="s">
        <v>1099</v>
      </c>
      <c r="N347" s="102" t="s">
        <v>1481</v>
      </c>
      <c r="O347" s="93">
        <v>46191</v>
      </c>
    </row>
    <row r="348" spans="1:15" x14ac:dyDescent="0.3">
      <c r="A348" s="102" t="s">
        <v>1878</v>
      </c>
      <c r="B348" t="s">
        <v>1879</v>
      </c>
      <c r="C348" s="93">
        <v>46092</v>
      </c>
      <c r="D348" s="93">
        <v>46092</v>
      </c>
      <c r="E348" s="93">
        <v>46092</v>
      </c>
      <c r="F348" s="102" t="s">
        <v>1880</v>
      </c>
      <c r="G348" s="102" t="s">
        <v>1881</v>
      </c>
      <c r="H348" s="102" t="s">
        <v>1480</v>
      </c>
      <c r="I348">
        <v>60</v>
      </c>
      <c r="J348">
        <v>60</v>
      </c>
      <c r="K348">
        <v>60</v>
      </c>
      <c r="L348">
        <v>60</v>
      </c>
      <c r="M348" s="102" t="s">
        <v>1099</v>
      </c>
      <c r="N348" s="102" t="s">
        <v>1481</v>
      </c>
      <c r="O348" s="93">
        <v>46092</v>
      </c>
    </row>
    <row r="349" spans="1:15" x14ac:dyDescent="0.3">
      <c r="A349" s="102" t="s">
        <v>1878</v>
      </c>
      <c r="B349" t="s">
        <v>1879</v>
      </c>
      <c r="C349" s="93">
        <v>46210</v>
      </c>
      <c r="D349" s="93"/>
      <c r="E349" s="93"/>
      <c r="F349" s="102" t="s">
        <v>1490</v>
      </c>
      <c r="G349" s="102" t="s">
        <v>1884</v>
      </c>
      <c r="H349" s="102" t="s">
        <v>1480</v>
      </c>
      <c r="I349">
        <v>698</v>
      </c>
      <c r="J349">
        <v>698</v>
      </c>
      <c r="K349">
        <v>698</v>
      </c>
      <c r="L349">
        <v>0</v>
      </c>
      <c r="M349" s="102" t="s">
        <v>1099</v>
      </c>
      <c r="N349" s="102" t="s">
        <v>1481</v>
      </c>
      <c r="O349" s="93">
        <v>46181</v>
      </c>
    </row>
    <row r="350" spans="1:15" x14ac:dyDescent="0.3">
      <c r="A350" s="102" t="s">
        <v>1878</v>
      </c>
      <c r="B350" t="s">
        <v>1879</v>
      </c>
      <c r="C350" s="93">
        <v>46134</v>
      </c>
      <c r="D350" s="93">
        <v>46134</v>
      </c>
      <c r="E350" s="93">
        <v>46134</v>
      </c>
      <c r="F350" s="102" t="s">
        <v>1882</v>
      </c>
      <c r="G350" s="102" t="s">
        <v>1883</v>
      </c>
      <c r="H350" s="102" t="s">
        <v>1480</v>
      </c>
      <c r="I350">
        <v>85.2</v>
      </c>
      <c r="J350">
        <v>85.2</v>
      </c>
      <c r="K350">
        <v>85.2</v>
      </c>
      <c r="L350">
        <v>85.2</v>
      </c>
      <c r="M350" s="102" t="s">
        <v>1099</v>
      </c>
      <c r="N350" s="102" t="s">
        <v>1481</v>
      </c>
      <c r="O350" s="93">
        <v>46134</v>
      </c>
    </row>
    <row r="351" spans="1:15" x14ac:dyDescent="0.3">
      <c r="A351" s="102" t="s">
        <v>1885</v>
      </c>
      <c r="B351" t="s">
        <v>1886</v>
      </c>
      <c r="C351" s="93">
        <v>46158</v>
      </c>
      <c r="D351" s="93">
        <v>46158</v>
      </c>
      <c r="E351" s="93">
        <v>46158</v>
      </c>
      <c r="F351" s="102" t="s">
        <v>1602</v>
      </c>
      <c r="G351" s="102" t="s">
        <v>1606</v>
      </c>
      <c r="H351" s="102" t="s">
        <v>1480</v>
      </c>
      <c r="I351">
        <v>840</v>
      </c>
      <c r="J351">
        <v>303.73</v>
      </c>
      <c r="K351">
        <v>303.72899999999998</v>
      </c>
      <c r="L351">
        <v>840</v>
      </c>
      <c r="M351" s="102" t="s">
        <v>1099</v>
      </c>
      <c r="N351" s="102" t="s">
        <v>1481</v>
      </c>
      <c r="O351" s="93">
        <v>46157</v>
      </c>
    </row>
    <row r="352" spans="1:15" x14ac:dyDescent="0.3">
      <c r="A352" s="102" t="s">
        <v>1887</v>
      </c>
      <c r="B352" t="s">
        <v>1888</v>
      </c>
      <c r="C352" s="93">
        <v>46111</v>
      </c>
      <c r="D352" s="93">
        <v>46111</v>
      </c>
      <c r="E352" s="93">
        <v>46111</v>
      </c>
      <c r="F352" s="102" t="s">
        <v>1889</v>
      </c>
      <c r="G352" s="102" t="s">
        <v>1890</v>
      </c>
      <c r="H352" s="102" t="s">
        <v>1480</v>
      </c>
      <c r="I352">
        <v>750</v>
      </c>
      <c r="J352">
        <v>750</v>
      </c>
      <c r="K352">
        <v>750</v>
      </c>
      <c r="L352">
        <v>750</v>
      </c>
      <c r="M352" s="102" t="s">
        <v>1099</v>
      </c>
      <c r="N352" s="102" t="s">
        <v>1481</v>
      </c>
      <c r="O352" s="93">
        <v>46111</v>
      </c>
    </row>
    <row r="353" spans="1:15" x14ac:dyDescent="0.3">
      <c r="A353" s="102" t="s">
        <v>1887</v>
      </c>
      <c r="B353" t="s">
        <v>1888</v>
      </c>
      <c r="C353" s="93">
        <v>46210</v>
      </c>
      <c r="F353" s="102" t="s">
        <v>1490</v>
      </c>
      <c r="G353" s="102" t="s">
        <v>1876</v>
      </c>
      <c r="H353" s="102" t="s">
        <v>1480</v>
      </c>
      <c r="I353">
        <v>1231.95</v>
      </c>
      <c r="J353">
        <v>200</v>
      </c>
      <c r="K353">
        <v>200</v>
      </c>
      <c r="L353">
        <v>0</v>
      </c>
      <c r="M353" s="102" t="s">
        <v>1099</v>
      </c>
      <c r="N353" s="102" t="s">
        <v>1481</v>
      </c>
      <c r="O353" s="93">
        <v>46191</v>
      </c>
    </row>
    <row r="354" spans="1:15" x14ac:dyDescent="0.3">
      <c r="A354" s="102" t="s">
        <v>1887</v>
      </c>
      <c r="B354" t="s">
        <v>1888</v>
      </c>
      <c r="C354" s="93">
        <v>46060</v>
      </c>
      <c r="D354" s="93">
        <v>46060</v>
      </c>
      <c r="E354" s="93">
        <v>46060</v>
      </c>
      <c r="F354" s="102" t="s">
        <v>1490</v>
      </c>
      <c r="G354" s="102" t="s">
        <v>1495</v>
      </c>
      <c r="H354" s="102" t="s">
        <v>1480</v>
      </c>
      <c r="I354">
        <v>3867.18</v>
      </c>
      <c r="J354">
        <v>708.65</v>
      </c>
      <c r="K354">
        <v>708.649</v>
      </c>
      <c r="L354">
        <v>3867.18</v>
      </c>
      <c r="M354" s="102" t="s">
        <v>1099</v>
      </c>
      <c r="N354" s="102" t="s">
        <v>1481</v>
      </c>
      <c r="O354" s="93">
        <v>46030</v>
      </c>
    </row>
    <row r="355" spans="1:15" x14ac:dyDescent="0.3">
      <c r="A355" s="102" t="s">
        <v>1887</v>
      </c>
      <c r="B355" t="s">
        <v>1888</v>
      </c>
      <c r="C355" s="93">
        <v>46241</v>
      </c>
      <c r="D355" s="93"/>
      <c r="E355" s="93"/>
      <c r="F355" s="102" t="s">
        <v>1490</v>
      </c>
      <c r="G355" s="102" t="s">
        <v>2327</v>
      </c>
      <c r="H355" s="102" t="s">
        <v>1480</v>
      </c>
      <c r="I355">
        <v>2502</v>
      </c>
      <c r="J355">
        <v>200</v>
      </c>
      <c r="K355">
        <v>200</v>
      </c>
      <c r="L355">
        <v>0</v>
      </c>
      <c r="M355" s="102" t="s">
        <v>1099</v>
      </c>
      <c r="N355" s="102" t="s">
        <v>1481</v>
      </c>
      <c r="O355" s="93">
        <v>46204</v>
      </c>
    </row>
    <row r="356" spans="1:15" x14ac:dyDescent="0.3">
      <c r="A356" s="102" t="s">
        <v>1891</v>
      </c>
      <c r="B356" t="s">
        <v>1892</v>
      </c>
      <c r="C356" s="93">
        <v>46137</v>
      </c>
      <c r="D356" s="93">
        <v>46134</v>
      </c>
      <c r="E356" s="93">
        <v>46134</v>
      </c>
      <c r="F356" s="102" t="s">
        <v>1893</v>
      </c>
      <c r="G356" s="102" t="s">
        <v>1894</v>
      </c>
      <c r="H356" s="102" t="s">
        <v>1480</v>
      </c>
      <c r="I356">
        <v>5220.42</v>
      </c>
      <c r="J356">
        <v>5220.42</v>
      </c>
      <c r="K356">
        <v>5220.42</v>
      </c>
      <c r="L356">
        <v>5220.42</v>
      </c>
      <c r="M356" s="102" t="s">
        <v>1099</v>
      </c>
      <c r="N356" s="102" t="s">
        <v>1500</v>
      </c>
      <c r="O356" s="93">
        <v>46134</v>
      </c>
    </row>
    <row r="357" spans="1:15" x14ac:dyDescent="0.3">
      <c r="A357" s="102" t="s">
        <v>1891</v>
      </c>
      <c r="B357" t="s">
        <v>1892</v>
      </c>
      <c r="C357" s="93">
        <v>46140</v>
      </c>
      <c r="D357" s="93">
        <v>46140</v>
      </c>
      <c r="E357" s="93">
        <v>46140</v>
      </c>
      <c r="F357" s="102" t="s">
        <v>1856</v>
      </c>
      <c r="G357" s="102" t="s">
        <v>1857</v>
      </c>
      <c r="H357" s="102" t="s">
        <v>1480</v>
      </c>
      <c r="I357">
        <v>12117.6</v>
      </c>
      <c r="J357">
        <v>400</v>
      </c>
      <c r="K357">
        <v>400</v>
      </c>
      <c r="L357">
        <v>12117.6</v>
      </c>
      <c r="M357" s="102" t="s">
        <v>1099</v>
      </c>
      <c r="N357" s="102" t="s">
        <v>1481</v>
      </c>
      <c r="O357" s="93">
        <v>46139</v>
      </c>
    </row>
    <row r="358" spans="1:15" x14ac:dyDescent="0.3">
      <c r="A358" s="102" t="s">
        <v>1895</v>
      </c>
      <c r="B358" t="s">
        <v>1896</v>
      </c>
      <c r="C358" s="93">
        <v>46088</v>
      </c>
      <c r="D358" s="93">
        <v>46090</v>
      </c>
      <c r="E358" s="93">
        <v>46090</v>
      </c>
      <c r="F358" s="102" t="s">
        <v>1490</v>
      </c>
      <c r="G358" s="102" t="s">
        <v>1910</v>
      </c>
      <c r="H358" s="102" t="s">
        <v>1480</v>
      </c>
      <c r="I358">
        <v>1152.8</v>
      </c>
      <c r="J358">
        <v>152</v>
      </c>
      <c r="K358">
        <v>152</v>
      </c>
      <c r="L358">
        <v>1152.8</v>
      </c>
      <c r="M358" s="102" t="s">
        <v>1099</v>
      </c>
      <c r="N358" s="102" t="s">
        <v>1481</v>
      </c>
      <c r="O358" s="93">
        <v>46049</v>
      </c>
    </row>
    <row r="359" spans="1:15" x14ac:dyDescent="0.3">
      <c r="A359" s="102" t="s">
        <v>1895</v>
      </c>
      <c r="B359" t="s">
        <v>1896</v>
      </c>
      <c r="C359" s="93">
        <v>46127</v>
      </c>
      <c r="D359" s="93">
        <v>46127</v>
      </c>
      <c r="E359" s="93">
        <v>46127</v>
      </c>
      <c r="F359" s="102" t="s">
        <v>1771</v>
      </c>
      <c r="G359" s="102" t="s">
        <v>1772</v>
      </c>
      <c r="H359" s="102" t="s">
        <v>1480</v>
      </c>
      <c r="I359">
        <v>4500</v>
      </c>
      <c r="J359">
        <v>3298.31</v>
      </c>
      <c r="K359">
        <v>3298.31</v>
      </c>
      <c r="L359">
        <v>4500</v>
      </c>
      <c r="M359" s="102" t="s">
        <v>1099</v>
      </c>
      <c r="N359" s="102" t="s">
        <v>1481</v>
      </c>
      <c r="O359" s="93">
        <v>46127</v>
      </c>
    </row>
    <row r="360" spans="1:15" x14ac:dyDescent="0.3">
      <c r="A360" s="102" t="s">
        <v>1895</v>
      </c>
      <c r="B360" t="s">
        <v>1896</v>
      </c>
      <c r="C360" s="93">
        <v>46162</v>
      </c>
      <c r="D360" s="93">
        <v>46162</v>
      </c>
      <c r="E360" s="93">
        <v>46162</v>
      </c>
      <c r="F360" s="102" t="s">
        <v>1650</v>
      </c>
      <c r="G360" s="102" t="s">
        <v>1903</v>
      </c>
      <c r="H360" s="102" t="s">
        <v>1480</v>
      </c>
      <c r="I360">
        <v>405.99</v>
      </c>
      <c r="J360">
        <v>405.99</v>
      </c>
      <c r="K360">
        <v>405.99</v>
      </c>
      <c r="L360">
        <v>405.99</v>
      </c>
      <c r="M360" s="102" t="s">
        <v>1099</v>
      </c>
      <c r="N360" s="102" t="s">
        <v>1481</v>
      </c>
      <c r="O360" s="93">
        <v>46162</v>
      </c>
    </row>
    <row r="361" spans="1:15" x14ac:dyDescent="0.3">
      <c r="A361" s="102" t="s">
        <v>1895</v>
      </c>
      <c r="B361" t="s">
        <v>1896</v>
      </c>
      <c r="C361" s="93">
        <v>46170</v>
      </c>
      <c r="D361" s="93">
        <v>46170</v>
      </c>
      <c r="E361" s="93">
        <v>46170</v>
      </c>
      <c r="F361" s="102" t="s">
        <v>1650</v>
      </c>
      <c r="G361" s="102" t="s">
        <v>1901</v>
      </c>
      <c r="H361" s="102" t="s">
        <v>1480</v>
      </c>
      <c r="I361">
        <v>227.13</v>
      </c>
      <c r="J361">
        <v>227.13</v>
      </c>
      <c r="K361">
        <v>227.13</v>
      </c>
      <c r="L361">
        <v>227.13</v>
      </c>
      <c r="M361" s="102" t="s">
        <v>1099</v>
      </c>
      <c r="N361" s="102" t="s">
        <v>1481</v>
      </c>
      <c r="O361" s="93">
        <v>46170</v>
      </c>
    </row>
    <row r="362" spans="1:15" x14ac:dyDescent="0.3">
      <c r="A362" s="102" t="s">
        <v>1895</v>
      </c>
      <c r="B362" t="s">
        <v>1896</v>
      </c>
      <c r="C362" s="93">
        <v>46059</v>
      </c>
      <c r="D362" s="93">
        <v>46059</v>
      </c>
      <c r="E362" s="93">
        <v>46059</v>
      </c>
      <c r="F362" s="102" t="s">
        <v>1882</v>
      </c>
      <c r="G362" s="102" t="s">
        <v>1902</v>
      </c>
      <c r="H362" s="102" t="s">
        <v>1480</v>
      </c>
      <c r="I362">
        <v>62</v>
      </c>
      <c r="J362">
        <v>62</v>
      </c>
      <c r="K362">
        <v>62</v>
      </c>
      <c r="L362">
        <v>62</v>
      </c>
      <c r="M362" s="102" t="s">
        <v>1099</v>
      </c>
      <c r="N362" s="102" t="s">
        <v>1481</v>
      </c>
      <c r="O362" s="93">
        <v>46059</v>
      </c>
    </row>
    <row r="363" spans="1:15" x14ac:dyDescent="0.3">
      <c r="A363" s="102" t="s">
        <v>1895</v>
      </c>
      <c r="B363" t="s">
        <v>1896</v>
      </c>
      <c r="C363" s="93">
        <v>46059</v>
      </c>
      <c r="D363" s="93">
        <v>46059</v>
      </c>
      <c r="E363" s="93">
        <v>46059</v>
      </c>
      <c r="F363" s="102" t="s">
        <v>1897</v>
      </c>
      <c r="G363" s="102" t="s">
        <v>1898</v>
      </c>
      <c r="H363" s="102" t="s">
        <v>1480</v>
      </c>
      <c r="I363">
        <v>50</v>
      </c>
      <c r="J363">
        <v>50</v>
      </c>
      <c r="K363">
        <v>50</v>
      </c>
      <c r="L363">
        <v>50</v>
      </c>
      <c r="M363" s="102" t="s">
        <v>1099</v>
      </c>
      <c r="N363" s="102" t="s">
        <v>1481</v>
      </c>
      <c r="O363" s="93">
        <v>46059</v>
      </c>
    </row>
    <row r="364" spans="1:15" x14ac:dyDescent="0.3">
      <c r="A364" s="102" t="s">
        <v>1895</v>
      </c>
      <c r="B364" t="s">
        <v>1896</v>
      </c>
      <c r="C364" s="93">
        <v>46088</v>
      </c>
      <c r="D364" s="93">
        <v>46090</v>
      </c>
      <c r="E364" s="93">
        <v>46090</v>
      </c>
      <c r="F364" s="102" t="s">
        <v>1490</v>
      </c>
      <c r="G364" s="102" t="s">
        <v>1908</v>
      </c>
      <c r="H364" s="102" t="s">
        <v>1480</v>
      </c>
      <c r="I364">
        <v>4512.28</v>
      </c>
      <c r="J364">
        <v>2357</v>
      </c>
      <c r="K364">
        <v>2357</v>
      </c>
      <c r="L364">
        <v>4512.28</v>
      </c>
      <c r="M364" s="102" t="s">
        <v>1099</v>
      </c>
      <c r="N364" s="102" t="s">
        <v>1481</v>
      </c>
      <c r="O364" s="93">
        <v>46046</v>
      </c>
    </row>
    <row r="365" spans="1:15" x14ac:dyDescent="0.3">
      <c r="A365" s="102" t="s">
        <v>1895</v>
      </c>
      <c r="B365" t="s">
        <v>1896</v>
      </c>
      <c r="C365" s="93">
        <v>46088</v>
      </c>
      <c r="D365" s="93">
        <v>46090</v>
      </c>
      <c r="E365" s="93">
        <v>46090</v>
      </c>
      <c r="F365" s="102" t="s">
        <v>1490</v>
      </c>
      <c r="G365" s="102" t="s">
        <v>1905</v>
      </c>
      <c r="H365" s="102" t="s">
        <v>1480</v>
      </c>
      <c r="I365">
        <v>74.8</v>
      </c>
      <c r="J365">
        <v>74.8</v>
      </c>
      <c r="K365">
        <v>74.8</v>
      </c>
      <c r="L365">
        <v>74.8</v>
      </c>
      <c r="M365" s="102" t="s">
        <v>1099</v>
      </c>
      <c r="N365" s="102" t="s">
        <v>1481</v>
      </c>
      <c r="O365" s="93">
        <v>46059</v>
      </c>
    </row>
    <row r="366" spans="1:15" x14ac:dyDescent="0.3">
      <c r="A366" s="102" t="s">
        <v>1895</v>
      </c>
      <c r="B366" t="s">
        <v>1896</v>
      </c>
      <c r="C366" s="93">
        <v>46135</v>
      </c>
      <c r="D366" s="93">
        <v>46137</v>
      </c>
      <c r="E366" s="93">
        <v>46137</v>
      </c>
      <c r="F366" s="102" t="s">
        <v>1906</v>
      </c>
      <c r="G366" s="102" t="s">
        <v>1907</v>
      </c>
      <c r="H366" s="102" t="s">
        <v>1480</v>
      </c>
      <c r="I366">
        <v>300</v>
      </c>
      <c r="J366">
        <v>300</v>
      </c>
      <c r="K366">
        <v>299.99900000000002</v>
      </c>
      <c r="L366">
        <v>300</v>
      </c>
      <c r="M366" s="102" t="s">
        <v>1099</v>
      </c>
      <c r="N366" s="102" t="s">
        <v>1500</v>
      </c>
      <c r="O366" s="93">
        <v>46132</v>
      </c>
    </row>
    <row r="367" spans="1:15" x14ac:dyDescent="0.3">
      <c r="A367" s="102" t="s">
        <v>1895</v>
      </c>
      <c r="B367" t="s">
        <v>1896</v>
      </c>
      <c r="C367" s="93">
        <v>46210</v>
      </c>
      <c r="D367" s="93"/>
      <c r="E367" s="93"/>
      <c r="F367" s="102" t="s">
        <v>1490</v>
      </c>
      <c r="G367" s="102" t="s">
        <v>1904</v>
      </c>
      <c r="H367" s="102" t="s">
        <v>1480</v>
      </c>
      <c r="I367">
        <v>2201</v>
      </c>
      <c r="J367">
        <v>1280</v>
      </c>
      <c r="K367">
        <v>1280</v>
      </c>
      <c r="L367">
        <v>0</v>
      </c>
      <c r="M367" s="102" t="s">
        <v>1099</v>
      </c>
      <c r="N367" s="102" t="s">
        <v>1481</v>
      </c>
      <c r="O367" s="93">
        <v>46178</v>
      </c>
    </row>
    <row r="368" spans="1:15" x14ac:dyDescent="0.3">
      <c r="A368" s="102" t="s">
        <v>1895</v>
      </c>
      <c r="B368" t="s">
        <v>1896</v>
      </c>
      <c r="C368" s="93">
        <v>46125</v>
      </c>
      <c r="D368" s="93">
        <v>46125</v>
      </c>
      <c r="E368" s="93">
        <v>46125</v>
      </c>
      <c r="F368" s="102" t="s">
        <v>1899</v>
      </c>
      <c r="G368" s="102" t="s">
        <v>1900</v>
      </c>
      <c r="H368" s="102" t="s">
        <v>1480</v>
      </c>
      <c r="I368">
        <v>4241</v>
      </c>
      <c r="J368">
        <v>4241</v>
      </c>
      <c r="K368">
        <v>4241</v>
      </c>
      <c r="L368">
        <v>4241</v>
      </c>
      <c r="M368" s="102" t="s">
        <v>1099</v>
      </c>
      <c r="N368" s="102" t="s">
        <v>1500</v>
      </c>
      <c r="O368" s="93">
        <v>46125</v>
      </c>
    </row>
    <row r="369" spans="1:15" x14ac:dyDescent="0.3">
      <c r="A369" s="102" t="s">
        <v>1895</v>
      </c>
      <c r="B369" t="s">
        <v>1896</v>
      </c>
      <c r="C369" s="93">
        <v>46210</v>
      </c>
      <c r="D369" s="93"/>
      <c r="E369" s="93"/>
      <c r="F369" s="102" t="s">
        <v>1490</v>
      </c>
      <c r="G369" s="102" t="s">
        <v>1909</v>
      </c>
      <c r="H369" s="102" t="s">
        <v>1480</v>
      </c>
      <c r="I369">
        <v>994</v>
      </c>
      <c r="J369">
        <v>768</v>
      </c>
      <c r="K369">
        <v>768</v>
      </c>
      <c r="L369">
        <v>0</v>
      </c>
      <c r="M369" s="102" t="s">
        <v>1099</v>
      </c>
      <c r="N369" s="102" t="s">
        <v>1481</v>
      </c>
      <c r="O369" s="93">
        <v>46181</v>
      </c>
    </row>
    <row r="370" spans="1:15" x14ac:dyDescent="0.3">
      <c r="A370" s="102" t="s">
        <v>1911</v>
      </c>
      <c r="B370" t="s">
        <v>1657</v>
      </c>
      <c r="C370" s="93">
        <v>46163</v>
      </c>
      <c r="D370" s="93">
        <v>46148</v>
      </c>
      <c r="E370" s="93">
        <v>46148</v>
      </c>
      <c r="F370" s="102" t="s">
        <v>1598</v>
      </c>
      <c r="G370" s="102" t="s">
        <v>1789</v>
      </c>
      <c r="H370" s="102" t="s">
        <v>1630</v>
      </c>
      <c r="I370">
        <v>5000</v>
      </c>
      <c r="J370">
        <v>2494.9499999999998</v>
      </c>
      <c r="K370">
        <v>2494.9459999999999</v>
      </c>
      <c r="L370">
        <v>5000</v>
      </c>
      <c r="M370" s="102" t="s">
        <v>1099</v>
      </c>
      <c r="N370" s="102" t="s">
        <v>1488</v>
      </c>
      <c r="O370" s="93">
        <v>46126</v>
      </c>
    </row>
    <row r="371" spans="1:15" x14ac:dyDescent="0.3">
      <c r="A371" s="102" t="s">
        <v>1911</v>
      </c>
      <c r="B371" t="s">
        <v>1657</v>
      </c>
      <c r="C371" s="93">
        <v>46210</v>
      </c>
      <c r="D371" s="93"/>
      <c r="E371" s="93"/>
      <c r="F371" s="102" t="s">
        <v>1490</v>
      </c>
      <c r="G371" s="102" t="s">
        <v>1927</v>
      </c>
      <c r="H371" s="102" t="s">
        <v>1480</v>
      </c>
      <c r="I371">
        <v>266</v>
      </c>
      <c r="J371">
        <v>44</v>
      </c>
      <c r="K371">
        <v>44</v>
      </c>
      <c r="L371">
        <v>0</v>
      </c>
      <c r="M371" s="102" t="s">
        <v>1099</v>
      </c>
      <c r="N371" s="102" t="s">
        <v>1481</v>
      </c>
      <c r="O371" s="93">
        <v>46170</v>
      </c>
    </row>
    <row r="372" spans="1:15" x14ac:dyDescent="0.3">
      <c r="A372" s="102" t="s">
        <v>1911</v>
      </c>
      <c r="B372" t="s">
        <v>1657</v>
      </c>
      <c r="C372" s="93">
        <v>46241</v>
      </c>
      <c r="D372" s="93"/>
      <c r="E372" s="93"/>
      <c r="F372" s="102" t="s">
        <v>1490</v>
      </c>
      <c r="G372" s="102" t="s">
        <v>2327</v>
      </c>
      <c r="H372" s="102" t="s">
        <v>1480</v>
      </c>
      <c r="I372">
        <v>2502</v>
      </c>
      <c r="J372">
        <v>1800</v>
      </c>
      <c r="K372">
        <v>1800</v>
      </c>
      <c r="L372">
        <v>0</v>
      </c>
      <c r="M372" s="102" t="s">
        <v>1099</v>
      </c>
      <c r="N372" s="102" t="s">
        <v>1481</v>
      </c>
      <c r="O372" s="93">
        <v>46204</v>
      </c>
    </row>
    <row r="373" spans="1:15" x14ac:dyDescent="0.3">
      <c r="A373" s="102" t="s">
        <v>1911</v>
      </c>
      <c r="B373" t="s">
        <v>1657</v>
      </c>
      <c r="C373" s="93">
        <v>46180</v>
      </c>
      <c r="D373" s="93">
        <v>46180</v>
      </c>
      <c r="E373" s="93">
        <v>46180</v>
      </c>
      <c r="F373" s="102" t="s">
        <v>1490</v>
      </c>
      <c r="G373" s="102" t="s">
        <v>1913</v>
      </c>
      <c r="H373" s="102" t="s">
        <v>1480</v>
      </c>
      <c r="I373">
        <v>133.24</v>
      </c>
      <c r="J373">
        <v>133.24</v>
      </c>
      <c r="K373">
        <v>133.24</v>
      </c>
      <c r="L373">
        <v>133.24</v>
      </c>
      <c r="M373" s="102" t="s">
        <v>1099</v>
      </c>
      <c r="N373" s="102" t="s">
        <v>1481</v>
      </c>
      <c r="O373" s="93">
        <v>46151</v>
      </c>
    </row>
    <row r="374" spans="1:15" x14ac:dyDescent="0.3">
      <c r="A374" s="102" t="s">
        <v>1911</v>
      </c>
      <c r="B374" t="s">
        <v>1657</v>
      </c>
      <c r="C374" s="93">
        <v>46194</v>
      </c>
      <c r="D374" s="93">
        <v>46175</v>
      </c>
      <c r="E374" s="93">
        <v>46175</v>
      </c>
      <c r="F374" s="102" t="s">
        <v>1598</v>
      </c>
      <c r="G374" s="102" t="s">
        <v>1789</v>
      </c>
      <c r="H374" s="102" t="s">
        <v>1626</v>
      </c>
      <c r="I374">
        <v>5000</v>
      </c>
      <c r="J374">
        <v>2494.9499999999998</v>
      </c>
      <c r="K374">
        <v>2494.9459999999999</v>
      </c>
      <c r="L374">
        <v>5000</v>
      </c>
      <c r="M374" s="102" t="s">
        <v>1099</v>
      </c>
      <c r="N374" s="102" t="s">
        <v>1488</v>
      </c>
      <c r="O374" s="93">
        <v>46126</v>
      </c>
    </row>
    <row r="375" spans="1:15" x14ac:dyDescent="0.3">
      <c r="A375" s="102" t="s">
        <v>1911</v>
      </c>
      <c r="B375" t="s">
        <v>1657</v>
      </c>
      <c r="C375" s="93">
        <v>46210</v>
      </c>
      <c r="D375" s="93"/>
      <c r="E375" s="93"/>
      <c r="F375" s="102" t="s">
        <v>1490</v>
      </c>
      <c r="G375" s="102" t="s">
        <v>1876</v>
      </c>
      <c r="H375" s="102" t="s">
        <v>1480</v>
      </c>
      <c r="I375">
        <v>1231.95</v>
      </c>
      <c r="J375">
        <v>62.75</v>
      </c>
      <c r="K375">
        <v>62.75</v>
      </c>
      <c r="L375">
        <v>0</v>
      </c>
      <c r="M375" s="102" t="s">
        <v>1099</v>
      </c>
      <c r="N375" s="102" t="s">
        <v>1481</v>
      </c>
      <c r="O375" s="93">
        <v>46191</v>
      </c>
    </row>
    <row r="376" spans="1:15" x14ac:dyDescent="0.3">
      <c r="A376" s="102" t="s">
        <v>1911</v>
      </c>
      <c r="B376" t="s">
        <v>1657</v>
      </c>
      <c r="C376" s="93">
        <v>46210</v>
      </c>
      <c r="D376" s="93"/>
      <c r="E376" s="93"/>
      <c r="F376" s="102" t="s">
        <v>1490</v>
      </c>
      <c r="G376" s="102" t="s">
        <v>1912</v>
      </c>
      <c r="H376" s="102" t="s">
        <v>1480</v>
      </c>
      <c r="I376">
        <v>579.51</v>
      </c>
      <c r="J376">
        <v>579.51</v>
      </c>
      <c r="K376">
        <v>579.51</v>
      </c>
      <c r="L376">
        <v>0</v>
      </c>
      <c r="M376" s="102" t="s">
        <v>1099</v>
      </c>
      <c r="N376" s="102" t="s">
        <v>1481</v>
      </c>
      <c r="O376" s="93">
        <v>46191</v>
      </c>
    </row>
    <row r="377" spans="1:15" x14ac:dyDescent="0.3">
      <c r="A377" s="102" t="s">
        <v>1911</v>
      </c>
      <c r="B377" t="s">
        <v>1657</v>
      </c>
      <c r="C377" s="93">
        <v>46191</v>
      </c>
      <c r="D377" s="93">
        <v>46191</v>
      </c>
      <c r="E377" s="93">
        <v>46191</v>
      </c>
      <c r="F377" s="102" t="s">
        <v>1916</v>
      </c>
      <c r="G377" s="102" t="s">
        <v>1917</v>
      </c>
      <c r="H377" s="102" t="s">
        <v>1480</v>
      </c>
      <c r="I377">
        <v>650.59</v>
      </c>
      <c r="J377">
        <v>29.72</v>
      </c>
      <c r="K377">
        <v>29.72</v>
      </c>
      <c r="L377">
        <v>650.59</v>
      </c>
      <c r="M377" s="102" t="s">
        <v>1099</v>
      </c>
      <c r="N377" s="102" t="s">
        <v>1481</v>
      </c>
      <c r="O377" s="93">
        <v>46191</v>
      </c>
    </row>
    <row r="378" spans="1:15" x14ac:dyDescent="0.3">
      <c r="A378" s="102" t="s">
        <v>1911</v>
      </c>
      <c r="B378" t="s">
        <v>1657</v>
      </c>
      <c r="C378" s="93">
        <v>46134</v>
      </c>
      <c r="D378" s="93">
        <v>46104</v>
      </c>
      <c r="E378" s="93">
        <v>46104</v>
      </c>
      <c r="F378" s="102" t="s">
        <v>1598</v>
      </c>
      <c r="G378" s="102" t="s">
        <v>1789</v>
      </c>
      <c r="H378" s="102" t="s">
        <v>1629</v>
      </c>
      <c r="I378">
        <v>5000</v>
      </c>
      <c r="J378">
        <v>2494.9499999999998</v>
      </c>
      <c r="K378">
        <v>2494.9459999999999</v>
      </c>
      <c r="L378">
        <v>5000</v>
      </c>
      <c r="M378" s="102" t="s">
        <v>1099</v>
      </c>
      <c r="N378" s="102" t="s">
        <v>1488</v>
      </c>
      <c r="O378" s="93">
        <v>46126</v>
      </c>
    </row>
    <row r="379" spans="1:15" x14ac:dyDescent="0.3">
      <c r="A379" s="102" t="s">
        <v>1911</v>
      </c>
      <c r="B379" t="s">
        <v>1657</v>
      </c>
      <c r="C379" s="93">
        <v>46210</v>
      </c>
      <c r="D379" s="93"/>
      <c r="E379" s="93"/>
      <c r="F379" s="102" t="s">
        <v>1490</v>
      </c>
      <c r="G379" s="102" t="s">
        <v>1929</v>
      </c>
      <c r="H379" s="102" t="s">
        <v>1480</v>
      </c>
      <c r="I379">
        <v>760.3</v>
      </c>
      <c r="J379">
        <v>760.3</v>
      </c>
      <c r="K379">
        <v>760.3</v>
      </c>
      <c r="L379">
        <v>0</v>
      </c>
      <c r="M379" s="102" t="s">
        <v>1099</v>
      </c>
      <c r="N379" s="102" t="s">
        <v>1481</v>
      </c>
      <c r="O379" s="93">
        <v>46167</v>
      </c>
    </row>
    <row r="380" spans="1:15" x14ac:dyDescent="0.3">
      <c r="A380" s="102" t="s">
        <v>1911</v>
      </c>
      <c r="B380" t="s">
        <v>1657</v>
      </c>
      <c r="C380" s="93">
        <v>46210</v>
      </c>
      <c r="D380" s="93"/>
      <c r="E380" s="93"/>
      <c r="F380" s="102" t="s">
        <v>1490</v>
      </c>
      <c r="G380" s="102" t="s">
        <v>1583</v>
      </c>
      <c r="H380" s="102" t="s">
        <v>1480</v>
      </c>
      <c r="I380">
        <v>285.94</v>
      </c>
      <c r="J380">
        <v>10.79</v>
      </c>
      <c r="K380">
        <v>10.79</v>
      </c>
      <c r="L380">
        <v>0</v>
      </c>
      <c r="M380" s="102" t="s">
        <v>1099</v>
      </c>
      <c r="N380" s="102" t="s">
        <v>1481</v>
      </c>
      <c r="O380" s="93">
        <v>46164</v>
      </c>
    </row>
    <row r="381" spans="1:15" x14ac:dyDescent="0.3">
      <c r="A381" s="102" t="s">
        <v>1911</v>
      </c>
      <c r="B381" t="s">
        <v>1657</v>
      </c>
      <c r="C381" s="93">
        <v>46210</v>
      </c>
      <c r="D381" s="93"/>
      <c r="E381" s="93"/>
      <c r="F381" s="102" t="s">
        <v>1490</v>
      </c>
      <c r="G381" s="102" t="s">
        <v>1915</v>
      </c>
      <c r="H381" s="102" t="s">
        <v>1480</v>
      </c>
      <c r="I381">
        <v>52</v>
      </c>
      <c r="J381">
        <v>52</v>
      </c>
      <c r="K381">
        <v>52</v>
      </c>
      <c r="L381">
        <v>0</v>
      </c>
      <c r="M381" s="102" t="s">
        <v>1099</v>
      </c>
      <c r="N381" s="102" t="s">
        <v>1481</v>
      </c>
      <c r="O381" s="93">
        <v>46176</v>
      </c>
    </row>
    <row r="382" spans="1:15" x14ac:dyDescent="0.3">
      <c r="A382" s="102" t="s">
        <v>1911</v>
      </c>
      <c r="B382" t="s">
        <v>1657</v>
      </c>
      <c r="C382" s="93">
        <v>46174</v>
      </c>
      <c r="D382" s="93">
        <v>46174</v>
      </c>
      <c r="E382" s="93">
        <v>46174</v>
      </c>
      <c r="F382" s="102" t="s">
        <v>1925</v>
      </c>
      <c r="G382" s="102" t="s">
        <v>1926</v>
      </c>
      <c r="H382" s="102" t="s">
        <v>1480</v>
      </c>
      <c r="I382">
        <v>119</v>
      </c>
      <c r="J382">
        <v>119</v>
      </c>
      <c r="K382">
        <v>119</v>
      </c>
      <c r="L382">
        <v>119</v>
      </c>
      <c r="M382" s="102" t="s">
        <v>1099</v>
      </c>
      <c r="N382" s="102" t="s">
        <v>1481</v>
      </c>
      <c r="O382" s="93">
        <v>46174</v>
      </c>
    </row>
    <row r="383" spans="1:15" x14ac:dyDescent="0.3">
      <c r="A383" s="102" t="s">
        <v>1911</v>
      </c>
      <c r="B383" t="s">
        <v>1657</v>
      </c>
      <c r="C383" s="93">
        <v>46119</v>
      </c>
      <c r="D383" s="93">
        <v>46119</v>
      </c>
      <c r="E383" s="93">
        <v>46119</v>
      </c>
      <c r="F383" s="102" t="s">
        <v>1490</v>
      </c>
      <c r="G383" s="102" t="s">
        <v>1928</v>
      </c>
      <c r="H383" s="102" t="s">
        <v>1480</v>
      </c>
      <c r="I383">
        <v>99.93</v>
      </c>
      <c r="J383">
        <v>99.93</v>
      </c>
      <c r="K383">
        <v>99.93</v>
      </c>
      <c r="L383">
        <v>99.93</v>
      </c>
      <c r="M383" s="102" t="s">
        <v>1099</v>
      </c>
      <c r="N383" s="102" t="s">
        <v>1481</v>
      </c>
      <c r="O383" s="93">
        <v>46097</v>
      </c>
    </row>
    <row r="384" spans="1:15" x14ac:dyDescent="0.3">
      <c r="A384" s="102" t="s">
        <v>1911</v>
      </c>
      <c r="B384" t="s">
        <v>1657</v>
      </c>
      <c r="C384" s="93">
        <v>46119</v>
      </c>
      <c r="D384" s="93">
        <v>46119</v>
      </c>
      <c r="E384" s="93">
        <v>46119</v>
      </c>
      <c r="F384" s="102" t="s">
        <v>1490</v>
      </c>
      <c r="G384" s="102" t="s">
        <v>1922</v>
      </c>
      <c r="H384" s="102" t="s">
        <v>1480</v>
      </c>
      <c r="I384">
        <v>132.12</v>
      </c>
      <c r="J384">
        <v>132.12</v>
      </c>
      <c r="K384">
        <v>132.12</v>
      </c>
      <c r="L384">
        <v>132.12</v>
      </c>
      <c r="M384" s="102" t="s">
        <v>1099</v>
      </c>
      <c r="N384" s="102" t="s">
        <v>1481</v>
      </c>
      <c r="O384" s="93">
        <v>46097</v>
      </c>
    </row>
    <row r="385" spans="1:15" x14ac:dyDescent="0.3">
      <c r="A385" s="102" t="s">
        <v>1911</v>
      </c>
      <c r="B385" t="s">
        <v>1657</v>
      </c>
      <c r="C385" s="93">
        <v>46121</v>
      </c>
      <c r="D385" s="93">
        <v>46121</v>
      </c>
      <c r="E385" s="93">
        <v>46121</v>
      </c>
      <c r="F385" s="102" t="s">
        <v>1598</v>
      </c>
      <c r="G385" s="102" t="s">
        <v>1642</v>
      </c>
      <c r="H385" s="102" t="s">
        <v>1480</v>
      </c>
      <c r="I385">
        <v>34.21</v>
      </c>
      <c r="J385">
        <v>4.21</v>
      </c>
      <c r="K385">
        <v>4.21</v>
      </c>
      <c r="L385">
        <v>34.21</v>
      </c>
      <c r="M385" s="102" t="s">
        <v>1099</v>
      </c>
      <c r="N385" s="102" t="s">
        <v>1481</v>
      </c>
      <c r="O385" s="93">
        <v>46121</v>
      </c>
    </row>
    <row r="386" spans="1:15" x14ac:dyDescent="0.3">
      <c r="A386" s="102" t="s">
        <v>1911</v>
      </c>
      <c r="B386" t="s">
        <v>1657</v>
      </c>
      <c r="C386" s="93">
        <v>46149</v>
      </c>
      <c r="D386" s="93">
        <v>46148</v>
      </c>
      <c r="E386" s="93">
        <v>46148</v>
      </c>
      <c r="F386" s="102" t="s">
        <v>1490</v>
      </c>
      <c r="G386" s="102" t="s">
        <v>1923</v>
      </c>
      <c r="H386" s="102" t="s">
        <v>1480</v>
      </c>
      <c r="I386">
        <v>1431.02</v>
      </c>
      <c r="J386">
        <v>1431.02</v>
      </c>
      <c r="K386">
        <v>1431.02</v>
      </c>
      <c r="L386">
        <v>1431.02</v>
      </c>
      <c r="M386" s="102" t="s">
        <v>1099</v>
      </c>
      <c r="N386" s="102" t="s">
        <v>1481</v>
      </c>
      <c r="O386" s="93">
        <v>46104</v>
      </c>
    </row>
    <row r="387" spans="1:15" x14ac:dyDescent="0.3">
      <c r="A387" s="102" t="s">
        <v>1911</v>
      </c>
      <c r="B387" t="s">
        <v>1657</v>
      </c>
      <c r="C387" s="93">
        <v>46149</v>
      </c>
      <c r="D387" s="93">
        <v>46148</v>
      </c>
      <c r="E387" s="93">
        <v>46148</v>
      </c>
      <c r="F387" s="102" t="s">
        <v>1490</v>
      </c>
      <c r="G387" s="102" t="s">
        <v>1918</v>
      </c>
      <c r="H387" s="102" t="s">
        <v>1480</v>
      </c>
      <c r="I387">
        <v>546.29999999999995</v>
      </c>
      <c r="J387">
        <v>546.29999999999995</v>
      </c>
      <c r="K387">
        <v>546.29999999999995</v>
      </c>
      <c r="L387">
        <v>546.29999999999995</v>
      </c>
      <c r="M387" s="102" t="s">
        <v>1099</v>
      </c>
      <c r="N387" s="102" t="s">
        <v>1481</v>
      </c>
      <c r="O387" s="93">
        <v>46119</v>
      </c>
    </row>
    <row r="388" spans="1:15" x14ac:dyDescent="0.3">
      <c r="A388" s="102" t="s">
        <v>1911</v>
      </c>
      <c r="B388" t="s">
        <v>1657</v>
      </c>
      <c r="C388" s="93">
        <v>46119</v>
      </c>
      <c r="D388" s="93">
        <v>46119</v>
      </c>
      <c r="E388" s="93">
        <v>46119</v>
      </c>
      <c r="F388" s="102" t="s">
        <v>1490</v>
      </c>
      <c r="G388" s="102" t="s">
        <v>1924</v>
      </c>
      <c r="H388" s="102" t="s">
        <v>1480</v>
      </c>
      <c r="I388">
        <v>623.85</v>
      </c>
      <c r="J388">
        <v>523.62</v>
      </c>
      <c r="K388">
        <v>523.62</v>
      </c>
      <c r="L388">
        <v>623.85</v>
      </c>
      <c r="M388" s="102" t="s">
        <v>1099</v>
      </c>
      <c r="N388" s="102" t="s">
        <v>1481</v>
      </c>
      <c r="O388" s="93">
        <v>46094</v>
      </c>
    </row>
    <row r="389" spans="1:15" x14ac:dyDescent="0.3">
      <c r="A389" s="102" t="s">
        <v>1911</v>
      </c>
      <c r="B389" t="s">
        <v>1657</v>
      </c>
      <c r="C389" s="93">
        <v>46114</v>
      </c>
      <c r="D389" s="93">
        <v>46114</v>
      </c>
      <c r="E389" s="93">
        <v>46114</v>
      </c>
      <c r="F389" s="102" t="s">
        <v>1919</v>
      </c>
      <c r="G389" s="102" t="s">
        <v>1920</v>
      </c>
      <c r="H389" s="102" t="s">
        <v>1480</v>
      </c>
      <c r="I389">
        <v>100</v>
      </c>
      <c r="J389">
        <v>100</v>
      </c>
      <c r="K389">
        <v>100</v>
      </c>
      <c r="L389">
        <v>100</v>
      </c>
      <c r="M389" s="102" t="s">
        <v>1099</v>
      </c>
      <c r="N389" s="102" t="s">
        <v>1481</v>
      </c>
      <c r="O389" s="93">
        <v>46114</v>
      </c>
    </row>
    <row r="390" spans="1:15" x14ac:dyDescent="0.3">
      <c r="A390" s="102" t="s">
        <v>1911</v>
      </c>
      <c r="B390" t="s">
        <v>1657</v>
      </c>
      <c r="C390" s="93">
        <v>46119</v>
      </c>
      <c r="D390" s="93">
        <v>46119</v>
      </c>
      <c r="E390" s="93">
        <v>46119</v>
      </c>
      <c r="F390" s="102" t="s">
        <v>1490</v>
      </c>
      <c r="G390" s="102" t="s">
        <v>1921</v>
      </c>
      <c r="H390" s="102" t="s">
        <v>1480</v>
      </c>
      <c r="I390">
        <v>55</v>
      </c>
      <c r="J390">
        <v>55</v>
      </c>
      <c r="K390">
        <v>55</v>
      </c>
      <c r="L390">
        <v>55</v>
      </c>
      <c r="M390" s="102" t="s">
        <v>1099</v>
      </c>
      <c r="N390" s="102" t="s">
        <v>1481</v>
      </c>
      <c r="O390" s="93">
        <v>46087</v>
      </c>
    </row>
    <row r="391" spans="1:15" x14ac:dyDescent="0.3">
      <c r="A391" s="102" t="s">
        <v>1911</v>
      </c>
      <c r="B391" t="s">
        <v>1657</v>
      </c>
      <c r="C391" s="93">
        <v>46127</v>
      </c>
      <c r="D391" s="93">
        <v>46127</v>
      </c>
      <c r="E391" s="93">
        <v>46127</v>
      </c>
      <c r="F391" s="102" t="s">
        <v>1816</v>
      </c>
      <c r="G391" s="102" t="s">
        <v>1914</v>
      </c>
      <c r="H391" s="102" t="s">
        <v>1480</v>
      </c>
      <c r="I391">
        <v>3400</v>
      </c>
      <c r="J391">
        <v>3400</v>
      </c>
      <c r="K391">
        <v>3400</v>
      </c>
      <c r="L391">
        <v>3400</v>
      </c>
      <c r="M391" s="102" t="s">
        <v>1099</v>
      </c>
      <c r="N391" s="102" t="s">
        <v>1481</v>
      </c>
      <c r="O391" s="93">
        <v>46127</v>
      </c>
    </row>
    <row r="392" spans="1:15" x14ac:dyDescent="0.3">
      <c r="A392" s="102" t="s">
        <v>1930</v>
      </c>
      <c r="B392" t="s">
        <v>1163</v>
      </c>
      <c r="C392" s="93">
        <v>46119</v>
      </c>
      <c r="D392" s="93">
        <v>46119</v>
      </c>
      <c r="E392" s="93">
        <v>46119</v>
      </c>
      <c r="F392" s="102" t="s">
        <v>1490</v>
      </c>
      <c r="G392" s="102" t="s">
        <v>1604</v>
      </c>
      <c r="H392" s="102" t="s">
        <v>1480</v>
      </c>
      <c r="I392">
        <v>218.22</v>
      </c>
      <c r="J392">
        <v>44.02</v>
      </c>
      <c r="K392">
        <v>44.02</v>
      </c>
      <c r="L392">
        <v>218.22</v>
      </c>
      <c r="M392" s="102" t="s">
        <v>1099</v>
      </c>
      <c r="N392" s="102" t="s">
        <v>1481</v>
      </c>
      <c r="O392" s="93">
        <v>46097</v>
      </c>
    </row>
    <row r="393" spans="1:15" x14ac:dyDescent="0.3">
      <c r="A393" s="102" t="s">
        <v>1930</v>
      </c>
      <c r="B393" t="s">
        <v>1163</v>
      </c>
      <c r="C393" s="93">
        <v>46210</v>
      </c>
      <c r="D393" s="93"/>
      <c r="E393" s="93"/>
      <c r="F393" s="102" t="s">
        <v>1490</v>
      </c>
      <c r="G393" s="102" t="s">
        <v>1939</v>
      </c>
      <c r="H393" s="102" t="s">
        <v>1480</v>
      </c>
      <c r="I393">
        <v>923</v>
      </c>
      <c r="J393">
        <v>843</v>
      </c>
      <c r="K393">
        <v>843</v>
      </c>
      <c r="L393">
        <v>0</v>
      </c>
      <c r="M393" s="102" t="s">
        <v>1099</v>
      </c>
      <c r="N393" s="102" t="s">
        <v>1481</v>
      </c>
      <c r="O393" s="93">
        <v>46167</v>
      </c>
    </row>
    <row r="394" spans="1:15" x14ac:dyDescent="0.3">
      <c r="A394" s="102" t="s">
        <v>1930</v>
      </c>
      <c r="B394" t="s">
        <v>1163</v>
      </c>
      <c r="C394" s="93">
        <v>46241</v>
      </c>
      <c r="D394" s="93"/>
      <c r="E394" s="93"/>
      <c r="F394" s="102" t="s">
        <v>1490</v>
      </c>
      <c r="G394" s="102" t="s">
        <v>2327</v>
      </c>
      <c r="H394" s="102" t="s">
        <v>1480</v>
      </c>
      <c r="I394">
        <v>2502</v>
      </c>
      <c r="J394">
        <v>24.8</v>
      </c>
      <c r="K394">
        <v>24.8</v>
      </c>
      <c r="L394">
        <v>0</v>
      </c>
      <c r="M394" s="102" t="s">
        <v>1099</v>
      </c>
      <c r="N394" s="102" t="s">
        <v>1481</v>
      </c>
      <c r="O394" s="93">
        <v>46204</v>
      </c>
    </row>
    <row r="395" spans="1:15" x14ac:dyDescent="0.3">
      <c r="A395" s="102" t="s">
        <v>1930</v>
      </c>
      <c r="B395" t="s">
        <v>1163</v>
      </c>
      <c r="C395" s="93">
        <v>46210</v>
      </c>
      <c r="D395" s="93"/>
      <c r="E395" s="93"/>
      <c r="F395" s="102" t="s">
        <v>1490</v>
      </c>
      <c r="G395" s="102" t="s">
        <v>1583</v>
      </c>
      <c r="H395" s="102" t="s">
        <v>1480</v>
      </c>
      <c r="I395">
        <v>285.94</v>
      </c>
      <c r="J395">
        <v>107.91</v>
      </c>
      <c r="K395">
        <v>107.91</v>
      </c>
      <c r="L395">
        <v>0</v>
      </c>
      <c r="M395" s="102" t="s">
        <v>1099</v>
      </c>
      <c r="N395" s="102" t="s">
        <v>1481</v>
      </c>
      <c r="O395" s="93">
        <v>46164</v>
      </c>
    </row>
    <row r="396" spans="1:15" x14ac:dyDescent="0.3">
      <c r="A396" s="102" t="s">
        <v>1930</v>
      </c>
      <c r="B396" t="s">
        <v>1163</v>
      </c>
      <c r="C396" s="93">
        <v>46073</v>
      </c>
      <c r="D396" s="93">
        <v>46074</v>
      </c>
      <c r="E396" s="93">
        <v>46074</v>
      </c>
      <c r="F396" s="102" t="s">
        <v>1650</v>
      </c>
      <c r="G396" s="102" t="s">
        <v>1902</v>
      </c>
      <c r="H396" s="102" t="s">
        <v>1480</v>
      </c>
      <c r="I396">
        <v>114.38</v>
      </c>
      <c r="J396">
        <v>114.38</v>
      </c>
      <c r="K396">
        <v>114.38</v>
      </c>
      <c r="L396">
        <v>114.38</v>
      </c>
      <c r="M396" s="102" t="s">
        <v>1099</v>
      </c>
      <c r="N396" s="102" t="s">
        <v>1481</v>
      </c>
      <c r="O396" s="93">
        <v>46060</v>
      </c>
    </row>
    <row r="397" spans="1:15" x14ac:dyDescent="0.3">
      <c r="A397" s="102" t="s">
        <v>1930</v>
      </c>
      <c r="B397" t="s">
        <v>1163</v>
      </c>
      <c r="C397" s="93">
        <v>46149</v>
      </c>
      <c r="D397" s="93">
        <v>46148</v>
      </c>
      <c r="E397" s="93">
        <v>46148</v>
      </c>
      <c r="F397" s="102" t="s">
        <v>1490</v>
      </c>
      <c r="G397" s="102" t="s">
        <v>1940</v>
      </c>
      <c r="H397" s="102" t="s">
        <v>1480</v>
      </c>
      <c r="I397">
        <v>145.94999999999999</v>
      </c>
      <c r="J397">
        <v>130.94999999999999</v>
      </c>
      <c r="K397">
        <v>130.94999999999999</v>
      </c>
      <c r="L397">
        <v>145.94999999999999</v>
      </c>
      <c r="M397" s="102" t="s">
        <v>1099</v>
      </c>
      <c r="N397" s="102" t="s">
        <v>1481</v>
      </c>
      <c r="O397" s="93">
        <v>46111</v>
      </c>
    </row>
    <row r="398" spans="1:15" x14ac:dyDescent="0.3">
      <c r="A398" s="102" t="s">
        <v>1930</v>
      </c>
      <c r="B398" t="s">
        <v>1163</v>
      </c>
      <c r="C398" s="93">
        <v>46073</v>
      </c>
      <c r="D398" s="93">
        <v>46074</v>
      </c>
      <c r="E398" s="93">
        <v>46074</v>
      </c>
      <c r="F398" s="102" t="s">
        <v>1650</v>
      </c>
      <c r="G398" s="102" t="s">
        <v>1902</v>
      </c>
      <c r="H398" s="102" t="s">
        <v>1480</v>
      </c>
      <c r="I398">
        <v>246</v>
      </c>
      <c r="J398">
        <v>246</v>
      </c>
      <c r="K398">
        <v>246</v>
      </c>
      <c r="L398">
        <v>246</v>
      </c>
      <c r="M398" s="102" t="s">
        <v>1099</v>
      </c>
      <c r="N398" s="102" t="s">
        <v>1481</v>
      </c>
      <c r="O398" s="93">
        <v>46060</v>
      </c>
    </row>
    <row r="399" spans="1:15" x14ac:dyDescent="0.3">
      <c r="A399" s="102" t="s">
        <v>1930</v>
      </c>
      <c r="B399" t="s">
        <v>1163</v>
      </c>
      <c r="C399" s="93">
        <v>46180</v>
      </c>
      <c r="D399" s="93">
        <v>46180</v>
      </c>
      <c r="E399" s="93">
        <v>46180</v>
      </c>
      <c r="F399" s="102" t="s">
        <v>1490</v>
      </c>
      <c r="G399" s="102" t="s">
        <v>1585</v>
      </c>
      <c r="H399" s="102" t="s">
        <v>1480</v>
      </c>
      <c r="I399">
        <v>1403.41</v>
      </c>
      <c r="J399">
        <v>21.58</v>
      </c>
      <c r="K399">
        <v>21.58</v>
      </c>
      <c r="L399">
        <v>1403.41</v>
      </c>
      <c r="M399" s="102" t="s">
        <v>1099</v>
      </c>
      <c r="N399" s="102" t="s">
        <v>1481</v>
      </c>
      <c r="O399" s="93">
        <v>46162</v>
      </c>
    </row>
    <row r="400" spans="1:15" x14ac:dyDescent="0.3">
      <c r="A400" s="102" t="s">
        <v>1930</v>
      </c>
      <c r="B400" t="s">
        <v>1163</v>
      </c>
      <c r="C400" s="93">
        <v>46180</v>
      </c>
      <c r="D400" s="93">
        <v>46180</v>
      </c>
      <c r="E400" s="93">
        <v>46180</v>
      </c>
      <c r="F400" s="102" t="s">
        <v>1490</v>
      </c>
      <c r="G400" s="102" t="s">
        <v>1648</v>
      </c>
      <c r="H400" s="102" t="s">
        <v>1480</v>
      </c>
      <c r="I400">
        <v>311.33</v>
      </c>
      <c r="J400">
        <v>127.33</v>
      </c>
      <c r="K400">
        <v>127.33</v>
      </c>
      <c r="L400">
        <v>311.33</v>
      </c>
      <c r="M400" s="102" t="s">
        <v>1099</v>
      </c>
      <c r="N400" s="102" t="s">
        <v>1481</v>
      </c>
      <c r="O400" s="93">
        <v>46141</v>
      </c>
    </row>
    <row r="401" spans="1:15" x14ac:dyDescent="0.3">
      <c r="A401" s="102" t="s">
        <v>1930</v>
      </c>
      <c r="B401" t="s">
        <v>1163</v>
      </c>
      <c r="C401" s="93">
        <v>46180</v>
      </c>
      <c r="D401" s="93">
        <v>46180</v>
      </c>
      <c r="E401" s="93">
        <v>46180</v>
      </c>
      <c r="F401" s="102" t="s">
        <v>1490</v>
      </c>
      <c r="G401" s="102" t="s">
        <v>1934</v>
      </c>
      <c r="H401" s="102" t="s">
        <v>1480</v>
      </c>
      <c r="I401">
        <v>104.97</v>
      </c>
      <c r="J401">
        <v>104.97</v>
      </c>
      <c r="K401">
        <v>104.97</v>
      </c>
      <c r="L401">
        <v>104.97</v>
      </c>
      <c r="M401" s="102" t="s">
        <v>1099</v>
      </c>
      <c r="N401" s="102" t="s">
        <v>1481</v>
      </c>
      <c r="O401" s="93">
        <v>46141</v>
      </c>
    </row>
    <row r="402" spans="1:15" x14ac:dyDescent="0.3">
      <c r="A402" s="102" t="s">
        <v>1930</v>
      </c>
      <c r="B402" t="s">
        <v>1163</v>
      </c>
      <c r="C402" s="93">
        <v>46149</v>
      </c>
      <c r="D402" s="93">
        <v>46148</v>
      </c>
      <c r="E402" s="93">
        <v>46148</v>
      </c>
      <c r="F402" s="102" t="s">
        <v>1490</v>
      </c>
      <c r="G402" s="102" t="s">
        <v>1649</v>
      </c>
      <c r="H402" s="102" t="s">
        <v>1480</v>
      </c>
      <c r="I402">
        <v>202.46</v>
      </c>
      <c r="J402">
        <v>76.459999999999994</v>
      </c>
      <c r="K402">
        <v>76.459999999999994</v>
      </c>
      <c r="L402">
        <v>202.46</v>
      </c>
      <c r="M402" s="102" t="s">
        <v>1099</v>
      </c>
      <c r="N402" s="102" t="s">
        <v>1481</v>
      </c>
      <c r="O402" s="93">
        <v>46107</v>
      </c>
    </row>
    <row r="403" spans="1:15" x14ac:dyDescent="0.3">
      <c r="A403" s="102" t="s">
        <v>1930</v>
      </c>
      <c r="B403" t="s">
        <v>1163</v>
      </c>
      <c r="C403" s="93">
        <v>46030</v>
      </c>
      <c r="D403" s="93">
        <v>46030</v>
      </c>
      <c r="E403" s="93">
        <v>46030</v>
      </c>
      <c r="F403" s="102" t="s">
        <v>1882</v>
      </c>
      <c r="G403" s="102" t="s">
        <v>1898</v>
      </c>
      <c r="H403" s="102" t="s">
        <v>1480</v>
      </c>
      <c r="I403">
        <v>60</v>
      </c>
      <c r="J403">
        <v>60</v>
      </c>
      <c r="K403">
        <v>60</v>
      </c>
      <c r="L403">
        <v>60</v>
      </c>
      <c r="M403" s="102" t="s">
        <v>1099</v>
      </c>
      <c r="N403" s="102" t="s">
        <v>1481</v>
      </c>
      <c r="O403" s="93">
        <v>46030</v>
      </c>
    </row>
    <row r="404" spans="1:15" x14ac:dyDescent="0.3">
      <c r="A404" s="102" t="s">
        <v>1930</v>
      </c>
      <c r="B404" t="s">
        <v>1163</v>
      </c>
      <c r="C404" s="93">
        <v>46210</v>
      </c>
      <c r="D404" s="93"/>
      <c r="E404" s="93"/>
      <c r="F404" s="102" t="s">
        <v>1490</v>
      </c>
      <c r="G404" s="102" t="s">
        <v>1927</v>
      </c>
      <c r="H404" s="102" t="s">
        <v>1480</v>
      </c>
      <c r="I404">
        <v>266</v>
      </c>
      <c r="J404">
        <v>62</v>
      </c>
      <c r="K404">
        <v>62</v>
      </c>
      <c r="L404">
        <v>0</v>
      </c>
      <c r="M404" s="102" t="s">
        <v>1099</v>
      </c>
      <c r="N404" s="102" t="s">
        <v>1481</v>
      </c>
      <c r="O404" s="93">
        <v>46170</v>
      </c>
    </row>
    <row r="405" spans="1:15" x14ac:dyDescent="0.3">
      <c r="A405" s="102" t="s">
        <v>1930</v>
      </c>
      <c r="B405" t="s">
        <v>1163</v>
      </c>
      <c r="C405" s="93">
        <v>46144</v>
      </c>
      <c r="D405" s="93">
        <v>46144</v>
      </c>
      <c r="E405" s="93">
        <v>46144</v>
      </c>
      <c r="F405" s="102" t="s">
        <v>1882</v>
      </c>
      <c r="G405" s="102" t="s">
        <v>1937</v>
      </c>
      <c r="H405" s="102" t="s">
        <v>1480</v>
      </c>
      <c r="I405">
        <v>108.9</v>
      </c>
      <c r="J405">
        <v>108.9</v>
      </c>
      <c r="K405">
        <v>108.9</v>
      </c>
      <c r="L405">
        <v>108.9</v>
      </c>
      <c r="M405" s="102" t="s">
        <v>1099</v>
      </c>
      <c r="N405" s="102" t="s">
        <v>1481</v>
      </c>
      <c r="O405" s="93">
        <v>46144</v>
      </c>
    </row>
    <row r="406" spans="1:15" x14ac:dyDescent="0.3">
      <c r="A406" s="102" t="s">
        <v>1930</v>
      </c>
      <c r="B406" t="s">
        <v>1163</v>
      </c>
      <c r="C406" s="93">
        <v>46144</v>
      </c>
      <c r="D406" s="93">
        <v>46144</v>
      </c>
      <c r="E406" s="93">
        <v>46144</v>
      </c>
      <c r="F406" s="102" t="s">
        <v>1882</v>
      </c>
      <c r="G406" s="102" t="s">
        <v>1938</v>
      </c>
      <c r="H406" s="102" t="s">
        <v>1480</v>
      </c>
      <c r="I406">
        <v>40</v>
      </c>
      <c r="J406">
        <v>40</v>
      </c>
      <c r="K406">
        <v>40</v>
      </c>
      <c r="L406">
        <v>40</v>
      </c>
      <c r="M406" s="102" t="s">
        <v>1099</v>
      </c>
      <c r="N406" s="102" t="s">
        <v>1481</v>
      </c>
      <c r="O406" s="93">
        <v>46144</v>
      </c>
    </row>
    <row r="407" spans="1:15" x14ac:dyDescent="0.3">
      <c r="A407" s="102" t="s">
        <v>1930</v>
      </c>
      <c r="B407" t="s">
        <v>1163</v>
      </c>
      <c r="C407" s="93">
        <v>46030</v>
      </c>
      <c r="D407" s="93">
        <v>46030</v>
      </c>
      <c r="E407" s="93">
        <v>46030</v>
      </c>
      <c r="F407" s="102" t="s">
        <v>1925</v>
      </c>
      <c r="G407" s="102" t="s">
        <v>1935</v>
      </c>
      <c r="H407" s="102" t="s">
        <v>1480</v>
      </c>
      <c r="I407">
        <v>16</v>
      </c>
      <c r="J407">
        <v>16</v>
      </c>
      <c r="K407">
        <v>16</v>
      </c>
      <c r="L407">
        <v>16</v>
      </c>
      <c r="M407" s="102" t="s">
        <v>1099</v>
      </c>
      <c r="N407" s="102" t="s">
        <v>1481</v>
      </c>
      <c r="O407" s="93">
        <v>46030</v>
      </c>
    </row>
    <row r="408" spans="1:15" x14ac:dyDescent="0.3">
      <c r="A408" s="102" t="s">
        <v>1930</v>
      </c>
      <c r="B408" t="s">
        <v>1163</v>
      </c>
      <c r="C408" s="93">
        <v>46119</v>
      </c>
      <c r="D408" s="93">
        <v>46119</v>
      </c>
      <c r="E408" s="93">
        <v>46119</v>
      </c>
      <c r="F408" s="102" t="s">
        <v>1490</v>
      </c>
      <c r="G408" s="102" t="s">
        <v>1932</v>
      </c>
      <c r="H408" s="102" t="s">
        <v>1480</v>
      </c>
      <c r="I408">
        <v>48</v>
      </c>
      <c r="J408">
        <v>48</v>
      </c>
      <c r="K408">
        <v>48</v>
      </c>
      <c r="L408">
        <v>48</v>
      </c>
      <c r="M408" s="102" t="s">
        <v>1099</v>
      </c>
      <c r="N408" s="102" t="s">
        <v>1481</v>
      </c>
      <c r="O408" s="93">
        <v>46085</v>
      </c>
    </row>
    <row r="409" spans="1:15" x14ac:dyDescent="0.3">
      <c r="A409" s="102" t="s">
        <v>1930</v>
      </c>
      <c r="B409" t="s">
        <v>1163</v>
      </c>
      <c r="C409" s="93">
        <v>46191</v>
      </c>
      <c r="D409" s="93">
        <v>46191</v>
      </c>
      <c r="E409" s="93">
        <v>46191</v>
      </c>
      <c r="F409" s="102" t="s">
        <v>1916</v>
      </c>
      <c r="G409" s="102" t="s">
        <v>1917</v>
      </c>
      <c r="H409" s="102" t="s">
        <v>1480</v>
      </c>
      <c r="I409">
        <v>650.59</v>
      </c>
      <c r="J409">
        <v>58.87</v>
      </c>
      <c r="K409">
        <v>58.87</v>
      </c>
      <c r="L409">
        <v>650.59</v>
      </c>
      <c r="M409" s="102" t="s">
        <v>1099</v>
      </c>
      <c r="N409" s="102" t="s">
        <v>1481</v>
      </c>
      <c r="O409" s="93">
        <v>46191</v>
      </c>
    </row>
    <row r="410" spans="1:15" x14ac:dyDescent="0.3">
      <c r="A410" s="102" t="s">
        <v>1930</v>
      </c>
      <c r="B410" t="s">
        <v>1163</v>
      </c>
      <c r="C410" s="93">
        <v>46083</v>
      </c>
      <c r="D410" s="93">
        <v>46083</v>
      </c>
      <c r="E410" s="93">
        <v>46083</v>
      </c>
      <c r="F410" s="102" t="s">
        <v>1882</v>
      </c>
      <c r="G410" s="102" t="s">
        <v>1933</v>
      </c>
      <c r="H410" s="102" t="s">
        <v>1480</v>
      </c>
      <c r="I410">
        <v>400</v>
      </c>
      <c r="J410">
        <v>400</v>
      </c>
      <c r="K410">
        <v>400</v>
      </c>
      <c r="L410">
        <v>400</v>
      </c>
      <c r="M410" s="102" t="s">
        <v>1099</v>
      </c>
      <c r="N410" s="102" t="s">
        <v>1481</v>
      </c>
      <c r="O410" s="93">
        <v>46083</v>
      </c>
    </row>
    <row r="411" spans="1:15" x14ac:dyDescent="0.3">
      <c r="A411" s="102" t="s">
        <v>1930</v>
      </c>
      <c r="B411" t="s">
        <v>1163</v>
      </c>
      <c r="C411" s="93">
        <v>46067</v>
      </c>
      <c r="D411" s="93">
        <v>46067</v>
      </c>
      <c r="E411" s="93">
        <v>46067</v>
      </c>
      <c r="F411" s="102" t="s">
        <v>1650</v>
      </c>
      <c r="G411" s="102" t="s">
        <v>1902</v>
      </c>
      <c r="H411" s="102" t="s">
        <v>1480</v>
      </c>
      <c r="I411">
        <v>287.8</v>
      </c>
      <c r="J411">
        <v>287.8</v>
      </c>
      <c r="K411">
        <v>287.8</v>
      </c>
      <c r="L411">
        <v>287.8</v>
      </c>
      <c r="M411" s="102" t="s">
        <v>1099</v>
      </c>
      <c r="N411" s="102" t="s">
        <v>1481</v>
      </c>
      <c r="O411" s="93">
        <v>46067</v>
      </c>
    </row>
    <row r="412" spans="1:15" x14ac:dyDescent="0.3">
      <c r="A412" s="102" t="s">
        <v>1930</v>
      </c>
      <c r="B412" t="s">
        <v>1163</v>
      </c>
      <c r="C412" s="93">
        <v>46087</v>
      </c>
      <c r="D412" s="93">
        <v>46087</v>
      </c>
      <c r="E412" s="93">
        <v>46087</v>
      </c>
      <c r="F412" s="102" t="s">
        <v>1882</v>
      </c>
      <c r="G412" s="102" t="s">
        <v>1933</v>
      </c>
      <c r="H412" s="102" t="s">
        <v>1480</v>
      </c>
      <c r="I412">
        <v>527</v>
      </c>
      <c r="J412">
        <v>527</v>
      </c>
      <c r="K412">
        <v>527</v>
      </c>
      <c r="L412">
        <v>527</v>
      </c>
      <c r="M412" s="102" t="s">
        <v>1099</v>
      </c>
      <c r="N412" s="102" t="s">
        <v>1481</v>
      </c>
      <c r="O412" s="93">
        <v>46087</v>
      </c>
    </row>
    <row r="413" spans="1:15" x14ac:dyDescent="0.3">
      <c r="A413" s="102" t="s">
        <v>1930</v>
      </c>
      <c r="B413" t="s">
        <v>1163</v>
      </c>
      <c r="C413" s="93">
        <v>46069</v>
      </c>
      <c r="D413" s="93">
        <v>46069</v>
      </c>
      <c r="E413" s="93">
        <v>46069</v>
      </c>
      <c r="F413" s="102" t="s">
        <v>1882</v>
      </c>
      <c r="G413" s="102" t="s">
        <v>1936</v>
      </c>
      <c r="H413" s="102" t="s">
        <v>1480</v>
      </c>
      <c r="I413">
        <v>43</v>
      </c>
      <c r="J413">
        <v>43</v>
      </c>
      <c r="K413">
        <v>43</v>
      </c>
      <c r="L413">
        <v>43</v>
      </c>
      <c r="M413" s="102" t="s">
        <v>1099</v>
      </c>
      <c r="N413" s="102" t="s">
        <v>1481</v>
      </c>
      <c r="O413" s="93">
        <v>46069</v>
      </c>
    </row>
    <row r="414" spans="1:15" x14ac:dyDescent="0.3">
      <c r="A414" s="102" t="s">
        <v>1930</v>
      </c>
      <c r="B414" t="s">
        <v>1163</v>
      </c>
      <c r="C414" s="93">
        <v>46182</v>
      </c>
      <c r="D414" s="93">
        <v>46182</v>
      </c>
      <c r="E414" s="93">
        <v>46182</v>
      </c>
      <c r="F414" s="102" t="s">
        <v>1880</v>
      </c>
      <c r="G414" s="102" t="s">
        <v>1931</v>
      </c>
      <c r="H414" s="102" t="s">
        <v>1480</v>
      </c>
      <c r="I414">
        <v>158</v>
      </c>
      <c r="J414">
        <v>158</v>
      </c>
      <c r="K414">
        <v>158</v>
      </c>
      <c r="L414">
        <v>158</v>
      </c>
      <c r="M414" s="102" t="s">
        <v>1099</v>
      </c>
      <c r="N414" s="102" t="s">
        <v>1481</v>
      </c>
      <c r="O414" s="93">
        <v>46182</v>
      </c>
    </row>
    <row r="415" spans="1:15" x14ac:dyDescent="0.3">
      <c r="A415" s="102" t="s">
        <v>1930</v>
      </c>
      <c r="B415" t="s">
        <v>1163</v>
      </c>
      <c r="C415" s="93">
        <v>46090</v>
      </c>
      <c r="D415" s="93">
        <v>46090</v>
      </c>
      <c r="E415" s="93">
        <v>46090</v>
      </c>
      <c r="F415" s="102" t="s">
        <v>1882</v>
      </c>
      <c r="G415" s="102" t="s">
        <v>1933</v>
      </c>
      <c r="H415" s="102" t="s">
        <v>1480</v>
      </c>
      <c r="I415">
        <v>562</v>
      </c>
      <c r="J415">
        <v>562</v>
      </c>
      <c r="K415">
        <v>562</v>
      </c>
      <c r="L415">
        <v>562</v>
      </c>
      <c r="M415" s="102" t="s">
        <v>1099</v>
      </c>
      <c r="N415" s="102" t="s">
        <v>1481</v>
      </c>
      <c r="O415" s="93">
        <v>46090</v>
      </c>
    </row>
    <row r="416" spans="1:15" x14ac:dyDescent="0.3">
      <c r="A416" s="102" t="s">
        <v>1941</v>
      </c>
      <c r="B416" t="s">
        <v>1942</v>
      </c>
      <c r="C416" s="93">
        <v>46149</v>
      </c>
      <c r="D416" s="93">
        <v>46148</v>
      </c>
      <c r="E416" s="93">
        <v>46148</v>
      </c>
      <c r="F416" s="102" t="s">
        <v>1490</v>
      </c>
      <c r="G416" s="102" t="s">
        <v>1649</v>
      </c>
      <c r="H416" s="102" t="s">
        <v>1480</v>
      </c>
      <c r="I416">
        <v>202.46</v>
      </c>
      <c r="J416">
        <v>92</v>
      </c>
      <c r="K416">
        <v>92</v>
      </c>
      <c r="L416">
        <v>202.46</v>
      </c>
      <c r="M416" s="102" t="s">
        <v>1099</v>
      </c>
      <c r="N416" s="102" t="s">
        <v>1481</v>
      </c>
      <c r="O416" s="93">
        <v>46107</v>
      </c>
    </row>
    <row r="417" spans="1:15" x14ac:dyDescent="0.3">
      <c r="A417" s="102" t="s">
        <v>1941</v>
      </c>
      <c r="B417" t="s">
        <v>1942</v>
      </c>
      <c r="C417" s="93">
        <v>46149</v>
      </c>
      <c r="D417" s="93">
        <v>46148</v>
      </c>
      <c r="E417" s="93">
        <v>46148</v>
      </c>
      <c r="F417" s="102" t="s">
        <v>1490</v>
      </c>
      <c r="G417" s="102" t="s">
        <v>1940</v>
      </c>
      <c r="H417" s="102" t="s">
        <v>1480</v>
      </c>
      <c r="I417">
        <v>145.94999999999999</v>
      </c>
      <c r="J417">
        <v>15</v>
      </c>
      <c r="K417">
        <v>15</v>
      </c>
      <c r="L417">
        <v>145.94999999999999</v>
      </c>
      <c r="M417" s="102" t="s">
        <v>1099</v>
      </c>
      <c r="N417" s="102" t="s">
        <v>1481</v>
      </c>
      <c r="O417" s="93">
        <v>46111</v>
      </c>
    </row>
    <row r="418" spans="1:15" x14ac:dyDescent="0.3">
      <c r="A418" s="102" t="s">
        <v>1941</v>
      </c>
      <c r="B418" t="s">
        <v>1942</v>
      </c>
      <c r="C418" s="93">
        <v>46210</v>
      </c>
      <c r="D418" s="93"/>
      <c r="E418" s="93"/>
      <c r="F418" s="102" t="s">
        <v>1490</v>
      </c>
      <c r="G418" s="102" t="s">
        <v>1927</v>
      </c>
      <c r="H418" s="102" t="s">
        <v>1480</v>
      </c>
      <c r="I418">
        <v>266</v>
      </c>
      <c r="J418">
        <v>160</v>
      </c>
      <c r="K418">
        <v>160</v>
      </c>
      <c r="L418">
        <v>0</v>
      </c>
      <c r="M418" s="102" t="s">
        <v>1099</v>
      </c>
      <c r="N418" s="102" t="s">
        <v>1481</v>
      </c>
      <c r="O418" s="93">
        <v>46170</v>
      </c>
    </row>
    <row r="419" spans="1:15" x14ac:dyDescent="0.3">
      <c r="A419" s="102" t="s">
        <v>1941</v>
      </c>
      <c r="B419" t="s">
        <v>1942</v>
      </c>
      <c r="C419" s="93">
        <v>46180</v>
      </c>
      <c r="D419" s="93">
        <v>46180</v>
      </c>
      <c r="E419" s="93">
        <v>46180</v>
      </c>
      <c r="F419" s="102" t="s">
        <v>1490</v>
      </c>
      <c r="G419" s="102" t="s">
        <v>1585</v>
      </c>
      <c r="H419" s="102" t="s">
        <v>1480</v>
      </c>
      <c r="I419">
        <v>1403.41</v>
      </c>
      <c r="J419">
        <v>16.399999999999999</v>
      </c>
      <c r="K419">
        <v>16.399999999999999</v>
      </c>
      <c r="L419">
        <v>1403.41</v>
      </c>
      <c r="M419" s="102" t="s">
        <v>1099</v>
      </c>
      <c r="N419" s="102" t="s">
        <v>1481</v>
      </c>
      <c r="O419" s="93">
        <v>46162</v>
      </c>
    </row>
    <row r="420" spans="1:15" x14ac:dyDescent="0.3">
      <c r="A420" s="102" t="s">
        <v>1941</v>
      </c>
      <c r="B420" t="s">
        <v>1942</v>
      </c>
      <c r="C420" s="93">
        <v>46210</v>
      </c>
      <c r="D420" s="93"/>
      <c r="E420" s="93"/>
      <c r="F420" s="102" t="s">
        <v>1490</v>
      </c>
      <c r="G420" s="102" t="s">
        <v>1939</v>
      </c>
      <c r="H420" s="102" t="s">
        <v>1480</v>
      </c>
      <c r="I420">
        <v>923</v>
      </c>
      <c r="J420">
        <v>80</v>
      </c>
      <c r="K420">
        <v>80</v>
      </c>
      <c r="L420">
        <v>0</v>
      </c>
      <c r="M420" s="102" t="s">
        <v>1099</v>
      </c>
      <c r="N420" s="102" t="s">
        <v>1481</v>
      </c>
      <c r="O420" s="93">
        <v>46167</v>
      </c>
    </row>
    <row r="421" spans="1:15" x14ac:dyDescent="0.3">
      <c r="A421" s="102" t="s">
        <v>1497</v>
      </c>
      <c r="B421" t="s">
        <v>1943</v>
      </c>
      <c r="C421" s="93">
        <v>46193</v>
      </c>
      <c r="D421" s="93">
        <v>46186</v>
      </c>
      <c r="E421" s="93">
        <v>46186</v>
      </c>
      <c r="F421" s="102" t="s">
        <v>1944</v>
      </c>
      <c r="G421" s="102" t="s">
        <v>1947</v>
      </c>
      <c r="H421" s="102" t="s">
        <v>1480</v>
      </c>
      <c r="I421">
        <v>1081.05</v>
      </c>
      <c r="J421">
        <v>1081.05</v>
      </c>
      <c r="K421">
        <v>1081.05</v>
      </c>
      <c r="L421">
        <v>1081.05</v>
      </c>
      <c r="M421" s="102" t="s">
        <v>1099</v>
      </c>
      <c r="N421" s="102" t="s">
        <v>1481</v>
      </c>
      <c r="O421" s="93">
        <v>46174</v>
      </c>
    </row>
    <row r="422" spans="1:15" x14ac:dyDescent="0.3">
      <c r="A422" s="102" t="s">
        <v>1497</v>
      </c>
      <c r="B422" t="s">
        <v>1943</v>
      </c>
      <c r="C422" s="93">
        <v>46162</v>
      </c>
      <c r="D422" s="93">
        <v>46156</v>
      </c>
      <c r="E422" s="93">
        <v>46156</v>
      </c>
      <c r="F422" s="102" t="s">
        <v>1944</v>
      </c>
      <c r="G422" s="102" t="s">
        <v>1949</v>
      </c>
      <c r="H422" s="102" t="s">
        <v>1480</v>
      </c>
      <c r="I422">
        <v>1702.44</v>
      </c>
      <c r="J422">
        <v>1702.44</v>
      </c>
      <c r="K422">
        <v>1702.44</v>
      </c>
      <c r="L422">
        <v>1702.44</v>
      </c>
      <c r="M422" s="102" t="s">
        <v>1099</v>
      </c>
      <c r="N422" s="102" t="s">
        <v>1481</v>
      </c>
      <c r="O422" s="93">
        <v>46143</v>
      </c>
    </row>
    <row r="423" spans="1:15" x14ac:dyDescent="0.3">
      <c r="A423" s="102" t="s">
        <v>1497</v>
      </c>
      <c r="B423" t="s">
        <v>1943</v>
      </c>
      <c r="C423" s="93">
        <v>46032</v>
      </c>
      <c r="D423" s="93">
        <v>46042</v>
      </c>
      <c r="E423" s="93">
        <v>46042</v>
      </c>
      <c r="F423" s="102" t="s">
        <v>1944</v>
      </c>
      <c r="G423" s="102" t="s">
        <v>1946</v>
      </c>
      <c r="H423" s="102" t="s">
        <v>1480</v>
      </c>
      <c r="I423">
        <v>1798.86</v>
      </c>
      <c r="J423">
        <v>1798.86</v>
      </c>
      <c r="K423">
        <v>1798.86</v>
      </c>
      <c r="L423">
        <v>1798.86</v>
      </c>
      <c r="M423" s="102" t="s">
        <v>1099</v>
      </c>
      <c r="N423" s="102" t="s">
        <v>1481</v>
      </c>
      <c r="O423" s="93">
        <v>46032</v>
      </c>
    </row>
    <row r="424" spans="1:15" x14ac:dyDescent="0.3">
      <c r="A424" s="102" t="s">
        <v>1497</v>
      </c>
      <c r="B424" t="s">
        <v>1943</v>
      </c>
      <c r="C424" s="93">
        <v>46132</v>
      </c>
      <c r="D424" s="93">
        <v>46127</v>
      </c>
      <c r="E424" s="93">
        <v>46127</v>
      </c>
      <c r="F424" s="102" t="s">
        <v>1944</v>
      </c>
      <c r="G424" s="102" t="s">
        <v>1950</v>
      </c>
      <c r="H424" s="102" t="s">
        <v>1480</v>
      </c>
      <c r="I424">
        <v>3718.07</v>
      </c>
      <c r="J424">
        <v>3718.07</v>
      </c>
      <c r="K424">
        <v>3718.07</v>
      </c>
      <c r="L424">
        <v>3718.07</v>
      </c>
      <c r="M424" s="102" t="s">
        <v>1099</v>
      </c>
      <c r="N424" s="102" t="s">
        <v>1481</v>
      </c>
      <c r="O424" s="93">
        <v>46113</v>
      </c>
    </row>
    <row r="425" spans="1:15" x14ac:dyDescent="0.3">
      <c r="A425" s="102" t="s">
        <v>1497</v>
      </c>
      <c r="B425" t="s">
        <v>1943</v>
      </c>
      <c r="C425" s="93">
        <v>46073</v>
      </c>
      <c r="D425" s="93">
        <v>46065</v>
      </c>
      <c r="E425" s="93">
        <v>46065</v>
      </c>
      <c r="F425" s="102" t="s">
        <v>1944</v>
      </c>
      <c r="G425" s="102" t="s">
        <v>1948</v>
      </c>
      <c r="H425" s="102" t="s">
        <v>1480</v>
      </c>
      <c r="I425">
        <v>77.47</v>
      </c>
      <c r="J425">
        <v>77.47</v>
      </c>
      <c r="K425">
        <v>77.47</v>
      </c>
      <c r="L425">
        <v>77.47</v>
      </c>
      <c r="M425" s="102" t="s">
        <v>1099</v>
      </c>
      <c r="N425" s="102" t="s">
        <v>1481</v>
      </c>
      <c r="O425" s="93">
        <v>46055</v>
      </c>
    </row>
    <row r="426" spans="1:15" x14ac:dyDescent="0.3">
      <c r="A426" s="102" t="s">
        <v>1497</v>
      </c>
      <c r="B426" t="s">
        <v>1943</v>
      </c>
      <c r="C426" s="93">
        <v>46101</v>
      </c>
      <c r="D426" s="93">
        <v>46095</v>
      </c>
      <c r="E426" s="93">
        <v>46095</v>
      </c>
      <c r="F426" s="102" t="s">
        <v>1944</v>
      </c>
      <c r="G426" s="102" t="s">
        <v>1945</v>
      </c>
      <c r="H426" s="102" t="s">
        <v>1480</v>
      </c>
      <c r="I426">
        <v>0</v>
      </c>
      <c r="J426">
        <v>0</v>
      </c>
      <c r="K426">
        <v>0</v>
      </c>
      <c r="L426">
        <v>0</v>
      </c>
      <c r="M426" s="102" t="s">
        <v>1099</v>
      </c>
      <c r="N426" s="102" t="s">
        <v>1481</v>
      </c>
      <c r="O426" s="93">
        <v>46082</v>
      </c>
    </row>
    <row r="427" spans="1:15" x14ac:dyDescent="0.3">
      <c r="A427" s="102" t="s">
        <v>1497</v>
      </c>
      <c r="B427" t="s">
        <v>1943</v>
      </c>
      <c r="C427" s="93">
        <v>46223</v>
      </c>
      <c r="D427" s="93"/>
      <c r="E427" s="93"/>
      <c r="F427" s="102" t="s">
        <v>1944</v>
      </c>
      <c r="G427" s="102" t="s">
        <v>2328</v>
      </c>
      <c r="H427" s="102" t="s">
        <v>1480</v>
      </c>
      <c r="I427">
        <v>800</v>
      </c>
      <c r="J427">
        <v>800</v>
      </c>
      <c r="K427">
        <v>800</v>
      </c>
      <c r="L427">
        <v>0</v>
      </c>
      <c r="M427" s="102" t="s">
        <v>1099</v>
      </c>
      <c r="N427" s="102" t="s">
        <v>1481</v>
      </c>
      <c r="O427" s="93">
        <v>46204</v>
      </c>
    </row>
    <row r="428" spans="1:15" x14ac:dyDescent="0.3">
      <c r="A428" s="102" t="s">
        <v>1951</v>
      </c>
      <c r="B428" t="s">
        <v>1952</v>
      </c>
      <c r="C428" s="93">
        <v>46158</v>
      </c>
      <c r="D428" s="93">
        <v>46158</v>
      </c>
      <c r="E428" s="93">
        <v>46158</v>
      </c>
      <c r="F428" s="102" t="s">
        <v>1727</v>
      </c>
      <c r="G428" s="102" t="s">
        <v>1728</v>
      </c>
      <c r="H428" s="102" t="s">
        <v>1480</v>
      </c>
      <c r="I428">
        <v>51</v>
      </c>
      <c r="J428">
        <v>22.67</v>
      </c>
      <c r="K428">
        <v>22.667000000000002</v>
      </c>
      <c r="L428">
        <v>51</v>
      </c>
      <c r="M428" s="102" t="s">
        <v>1099</v>
      </c>
      <c r="N428" s="102" t="s">
        <v>1481</v>
      </c>
      <c r="O428" s="93">
        <v>46157</v>
      </c>
    </row>
    <row r="429" spans="1:15" x14ac:dyDescent="0.3">
      <c r="A429" s="102" t="s">
        <v>1953</v>
      </c>
      <c r="B429" t="s">
        <v>1954</v>
      </c>
      <c r="C429" s="93">
        <v>46197</v>
      </c>
      <c r="D429" s="93">
        <v>46204</v>
      </c>
      <c r="E429" s="93">
        <v>46204</v>
      </c>
      <c r="F429" s="102" t="s">
        <v>1571</v>
      </c>
      <c r="G429" s="102" t="s">
        <v>2329</v>
      </c>
      <c r="H429" s="102" t="s">
        <v>1480</v>
      </c>
      <c r="I429">
        <v>50</v>
      </c>
      <c r="J429">
        <v>50</v>
      </c>
      <c r="K429">
        <v>50</v>
      </c>
      <c r="L429">
        <v>50</v>
      </c>
      <c r="M429" s="102" t="s">
        <v>1099</v>
      </c>
      <c r="N429" s="102" t="s">
        <v>1481</v>
      </c>
      <c r="O429" s="93">
        <v>46197</v>
      </c>
    </row>
    <row r="430" spans="1:15" x14ac:dyDescent="0.3">
      <c r="A430" s="102" t="s">
        <v>1953</v>
      </c>
      <c r="B430" t="s">
        <v>1954</v>
      </c>
      <c r="C430" s="93">
        <v>46178</v>
      </c>
      <c r="D430" s="93">
        <v>46175</v>
      </c>
      <c r="E430" s="93">
        <v>46175</v>
      </c>
      <c r="F430" s="102" t="s">
        <v>1571</v>
      </c>
      <c r="G430" s="102" t="s">
        <v>1974</v>
      </c>
      <c r="H430" s="102" t="s">
        <v>1480</v>
      </c>
      <c r="I430">
        <v>98</v>
      </c>
      <c r="J430">
        <v>98</v>
      </c>
      <c r="K430">
        <v>98</v>
      </c>
      <c r="L430">
        <v>98</v>
      </c>
      <c r="M430" s="102" t="s">
        <v>1099</v>
      </c>
      <c r="N430" s="102" t="s">
        <v>1481</v>
      </c>
      <c r="O430" s="93">
        <v>46161</v>
      </c>
    </row>
    <row r="431" spans="1:15" x14ac:dyDescent="0.3">
      <c r="A431" s="102" t="s">
        <v>1953</v>
      </c>
      <c r="B431" t="s">
        <v>1954</v>
      </c>
      <c r="C431" s="93">
        <v>46178</v>
      </c>
      <c r="D431" s="93">
        <v>46204</v>
      </c>
      <c r="E431" s="93">
        <v>46204</v>
      </c>
      <c r="F431" s="102" t="s">
        <v>1571</v>
      </c>
      <c r="G431" s="102" t="s">
        <v>2330</v>
      </c>
      <c r="H431" s="102" t="s">
        <v>1480</v>
      </c>
      <c r="I431">
        <v>539.75</v>
      </c>
      <c r="J431">
        <v>539.75</v>
      </c>
      <c r="K431">
        <v>539.75</v>
      </c>
      <c r="L431">
        <v>539.75</v>
      </c>
      <c r="M431" s="102" t="s">
        <v>1099</v>
      </c>
      <c r="N431" s="102" t="s">
        <v>1481</v>
      </c>
      <c r="O431" s="93">
        <v>46178</v>
      </c>
    </row>
    <row r="432" spans="1:15" x14ac:dyDescent="0.3">
      <c r="A432" s="102" t="s">
        <v>1953</v>
      </c>
      <c r="B432" t="s">
        <v>1954</v>
      </c>
      <c r="C432" s="93">
        <v>46177</v>
      </c>
      <c r="D432" s="93">
        <v>46177</v>
      </c>
      <c r="E432" s="93">
        <v>46177</v>
      </c>
      <c r="F432" s="102" t="s">
        <v>1571</v>
      </c>
      <c r="G432" s="102" t="s">
        <v>1980</v>
      </c>
      <c r="H432" s="102" t="s">
        <v>1480</v>
      </c>
      <c r="I432">
        <v>428.14</v>
      </c>
      <c r="J432">
        <v>428.14</v>
      </c>
      <c r="K432">
        <v>428.14</v>
      </c>
      <c r="L432">
        <v>428.14</v>
      </c>
      <c r="M432" s="102" t="s">
        <v>1099</v>
      </c>
      <c r="N432" s="102" t="s">
        <v>1481</v>
      </c>
      <c r="O432" s="93">
        <v>46177</v>
      </c>
    </row>
    <row r="433" spans="1:15" x14ac:dyDescent="0.3">
      <c r="A433" s="102" t="s">
        <v>1953</v>
      </c>
      <c r="B433" t="s">
        <v>1954</v>
      </c>
      <c r="C433" s="93">
        <v>46180</v>
      </c>
      <c r="D433" s="93">
        <v>46180</v>
      </c>
      <c r="E433" s="93">
        <v>46180</v>
      </c>
      <c r="F433" s="102" t="s">
        <v>1490</v>
      </c>
      <c r="G433" s="102" t="s">
        <v>1983</v>
      </c>
      <c r="H433" s="102" t="s">
        <v>1480</v>
      </c>
      <c r="I433">
        <v>49.9</v>
      </c>
      <c r="J433">
        <v>49.9</v>
      </c>
      <c r="K433">
        <v>49.9</v>
      </c>
      <c r="L433">
        <v>49.9</v>
      </c>
      <c r="M433" s="102" t="s">
        <v>1099</v>
      </c>
      <c r="N433" s="102" t="s">
        <v>1481</v>
      </c>
      <c r="O433" s="93">
        <v>46149</v>
      </c>
    </row>
    <row r="434" spans="1:15" x14ac:dyDescent="0.3">
      <c r="A434" s="102" t="s">
        <v>1953</v>
      </c>
      <c r="B434" t="s">
        <v>1954</v>
      </c>
      <c r="C434" s="93">
        <v>46203</v>
      </c>
      <c r="D434" s="93">
        <v>46204</v>
      </c>
      <c r="E434" s="93">
        <v>46204</v>
      </c>
      <c r="F434" s="102" t="s">
        <v>1571</v>
      </c>
      <c r="G434" s="102" t="s">
        <v>2331</v>
      </c>
      <c r="H434" s="102" t="s">
        <v>1480</v>
      </c>
      <c r="I434">
        <v>226</v>
      </c>
      <c r="J434">
        <v>150</v>
      </c>
      <c r="K434">
        <v>150</v>
      </c>
      <c r="L434">
        <v>226</v>
      </c>
      <c r="M434" s="102" t="s">
        <v>1099</v>
      </c>
      <c r="N434" s="102" t="s">
        <v>1481</v>
      </c>
      <c r="O434" s="93">
        <v>46203</v>
      </c>
    </row>
    <row r="435" spans="1:15" x14ac:dyDescent="0.3">
      <c r="A435" s="102" t="s">
        <v>1953</v>
      </c>
      <c r="B435" t="s">
        <v>1954</v>
      </c>
      <c r="C435" s="93">
        <v>46197</v>
      </c>
      <c r="D435" s="93">
        <v>46204</v>
      </c>
      <c r="E435" s="93">
        <v>46204</v>
      </c>
      <c r="F435" s="102" t="s">
        <v>1571</v>
      </c>
      <c r="G435" s="102" t="s">
        <v>2332</v>
      </c>
      <c r="H435" s="102" t="s">
        <v>1480</v>
      </c>
      <c r="I435">
        <v>80</v>
      </c>
      <c r="J435">
        <v>80</v>
      </c>
      <c r="K435">
        <v>80</v>
      </c>
      <c r="L435">
        <v>80</v>
      </c>
      <c r="M435" s="102" t="s">
        <v>1099</v>
      </c>
      <c r="N435" s="102" t="s">
        <v>1481</v>
      </c>
      <c r="O435" s="93">
        <v>46197</v>
      </c>
    </row>
    <row r="436" spans="1:15" x14ac:dyDescent="0.3">
      <c r="A436" s="102" t="s">
        <v>1953</v>
      </c>
      <c r="B436" t="s">
        <v>1954</v>
      </c>
      <c r="C436" s="93">
        <v>46203</v>
      </c>
      <c r="D436" s="93">
        <v>46204</v>
      </c>
      <c r="E436" s="93">
        <v>46204</v>
      </c>
      <c r="F436" s="102" t="s">
        <v>1571</v>
      </c>
      <c r="G436" s="102" t="s">
        <v>2333</v>
      </c>
      <c r="H436" s="102" t="s">
        <v>1480</v>
      </c>
      <c r="I436">
        <v>60</v>
      </c>
      <c r="J436">
        <v>60</v>
      </c>
      <c r="K436">
        <v>60</v>
      </c>
      <c r="L436">
        <v>60</v>
      </c>
      <c r="M436" s="102" t="s">
        <v>1099</v>
      </c>
      <c r="N436" s="102" t="s">
        <v>1481</v>
      </c>
      <c r="O436" s="93">
        <v>46203</v>
      </c>
    </row>
    <row r="437" spans="1:15" x14ac:dyDescent="0.3">
      <c r="A437" s="102" t="s">
        <v>1953</v>
      </c>
      <c r="B437" t="s">
        <v>1954</v>
      </c>
      <c r="C437" s="93">
        <v>46178</v>
      </c>
      <c r="D437" s="93">
        <v>46175</v>
      </c>
      <c r="E437" s="93">
        <v>46175</v>
      </c>
      <c r="F437" s="102" t="s">
        <v>1571</v>
      </c>
      <c r="G437" s="102" t="s">
        <v>1970</v>
      </c>
      <c r="H437" s="102" t="s">
        <v>1480</v>
      </c>
      <c r="I437">
        <v>150</v>
      </c>
      <c r="J437">
        <v>150</v>
      </c>
      <c r="K437">
        <v>150</v>
      </c>
      <c r="L437">
        <v>150</v>
      </c>
      <c r="M437" s="102" t="s">
        <v>1099</v>
      </c>
      <c r="N437" s="102" t="s">
        <v>1481</v>
      </c>
      <c r="O437" s="93">
        <v>46149</v>
      </c>
    </row>
    <row r="438" spans="1:15" x14ac:dyDescent="0.3">
      <c r="A438" s="102" t="s">
        <v>1953</v>
      </c>
      <c r="B438" t="s">
        <v>1954</v>
      </c>
      <c r="C438" s="93">
        <v>46178</v>
      </c>
      <c r="D438" s="93">
        <v>46175</v>
      </c>
      <c r="E438" s="93">
        <v>46175</v>
      </c>
      <c r="F438" s="102" t="s">
        <v>1571</v>
      </c>
      <c r="G438" s="102" t="s">
        <v>1975</v>
      </c>
      <c r="H438" s="102" t="s">
        <v>1480</v>
      </c>
      <c r="I438">
        <v>100</v>
      </c>
      <c r="J438">
        <v>100</v>
      </c>
      <c r="K438">
        <v>100</v>
      </c>
      <c r="L438">
        <v>100</v>
      </c>
      <c r="M438" s="102" t="s">
        <v>1099</v>
      </c>
      <c r="N438" s="102" t="s">
        <v>1481</v>
      </c>
      <c r="O438" s="93">
        <v>46148</v>
      </c>
    </row>
    <row r="439" spans="1:15" x14ac:dyDescent="0.3">
      <c r="A439" s="102" t="s">
        <v>1953</v>
      </c>
      <c r="B439" t="s">
        <v>1954</v>
      </c>
      <c r="C439" s="93">
        <v>46178</v>
      </c>
      <c r="D439" s="93">
        <v>46175</v>
      </c>
      <c r="E439" s="93">
        <v>46175</v>
      </c>
      <c r="F439" s="102" t="s">
        <v>1571</v>
      </c>
      <c r="G439" s="102" t="s">
        <v>1977</v>
      </c>
      <c r="H439" s="102" t="s">
        <v>1480</v>
      </c>
      <c r="I439">
        <v>80</v>
      </c>
      <c r="J439">
        <v>80</v>
      </c>
      <c r="K439">
        <v>80</v>
      </c>
      <c r="L439">
        <v>80</v>
      </c>
      <c r="M439" s="102" t="s">
        <v>1099</v>
      </c>
      <c r="N439" s="102" t="s">
        <v>1481</v>
      </c>
      <c r="O439" s="93">
        <v>46152</v>
      </c>
    </row>
    <row r="440" spans="1:15" x14ac:dyDescent="0.3">
      <c r="A440" s="102" t="s">
        <v>1953</v>
      </c>
      <c r="B440" t="s">
        <v>1954</v>
      </c>
      <c r="C440" s="93">
        <v>46202</v>
      </c>
      <c r="D440" s="93">
        <v>46204</v>
      </c>
      <c r="E440" s="93">
        <v>46204</v>
      </c>
      <c r="F440" s="102" t="s">
        <v>1571</v>
      </c>
      <c r="G440" s="102" t="s">
        <v>2334</v>
      </c>
      <c r="H440" s="102" t="s">
        <v>1480</v>
      </c>
      <c r="I440">
        <v>194.4</v>
      </c>
      <c r="J440">
        <v>194.4</v>
      </c>
      <c r="K440">
        <v>194.4</v>
      </c>
      <c r="L440">
        <v>194.4</v>
      </c>
      <c r="M440" s="102" t="s">
        <v>1099</v>
      </c>
      <c r="N440" s="102" t="s">
        <v>1481</v>
      </c>
      <c r="O440" s="93">
        <v>46202</v>
      </c>
    </row>
    <row r="441" spans="1:15" x14ac:dyDescent="0.3">
      <c r="A441" s="102" t="s">
        <v>1953</v>
      </c>
      <c r="B441" t="s">
        <v>1954</v>
      </c>
      <c r="C441" s="93">
        <v>46197</v>
      </c>
      <c r="D441" s="93">
        <v>46204</v>
      </c>
      <c r="E441" s="93">
        <v>46204</v>
      </c>
      <c r="F441" s="102" t="s">
        <v>1571</v>
      </c>
      <c r="G441" s="102" t="s">
        <v>2335</v>
      </c>
      <c r="H441" s="102" t="s">
        <v>1480</v>
      </c>
      <c r="I441">
        <v>190</v>
      </c>
      <c r="J441">
        <v>50</v>
      </c>
      <c r="K441">
        <v>50</v>
      </c>
      <c r="L441">
        <v>190</v>
      </c>
      <c r="M441" s="102" t="s">
        <v>1099</v>
      </c>
      <c r="N441" s="102" t="s">
        <v>1481</v>
      </c>
      <c r="O441" s="93">
        <v>46197</v>
      </c>
    </row>
    <row r="442" spans="1:15" x14ac:dyDescent="0.3">
      <c r="A442" s="102" t="s">
        <v>1953</v>
      </c>
      <c r="B442" t="s">
        <v>1954</v>
      </c>
      <c r="C442" s="93">
        <v>46200</v>
      </c>
      <c r="D442" s="93">
        <v>46204</v>
      </c>
      <c r="E442" s="93">
        <v>46204</v>
      </c>
      <c r="F442" s="102" t="s">
        <v>1571</v>
      </c>
      <c r="G442" s="102" t="s">
        <v>2336</v>
      </c>
      <c r="H442" s="102" t="s">
        <v>1480</v>
      </c>
      <c r="I442">
        <v>100</v>
      </c>
      <c r="J442">
        <v>100</v>
      </c>
      <c r="K442">
        <v>100</v>
      </c>
      <c r="L442">
        <v>100</v>
      </c>
      <c r="M442" s="102" t="s">
        <v>1099</v>
      </c>
      <c r="N442" s="102" t="s">
        <v>1481</v>
      </c>
      <c r="O442" s="93">
        <v>46200</v>
      </c>
    </row>
    <row r="443" spans="1:15" x14ac:dyDescent="0.3">
      <c r="A443" s="102" t="s">
        <v>1953</v>
      </c>
      <c r="B443" t="s">
        <v>1954</v>
      </c>
      <c r="C443" s="93">
        <v>46159</v>
      </c>
      <c r="D443" s="93">
        <v>46159</v>
      </c>
      <c r="E443" s="93">
        <v>46159</v>
      </c>
      <c r="F443" s="102" t="s">
        <v>1978</v>
      </c>
      <c r="G443" s="102" t="s">
        <v>1985</v>
      </c>
      <c r="H443" s="102" t="s">
        <v>1480</v>
      </c>
      <c r="I443">
        <v>436.62</v>
      </c>
      <c r="J443">
        <v>436.62</v>
      </c>
      <c r="K443">
        <v>436.62</v>
      </c>
      <c r="L443">
        <v>436.62</v>
      </c>
      <c r="M443" s="102" t="s">
        <v>1099</v>
      </c>
      <c r="N443" s="102" t="s">
        <v>1481</v>
      </c>
      <c r="O443" s="93">
        <v>46159</v>
      </c>
    </row>
    <row r="444" spans="1:15" x14ac:dyDescent="0.3">
      <c r="A444" s="102" t="s">
        <v>1953</v>
      </c>
      <c r="B444" t="s">
        <v>1954</v>
      </c>
      <c r="C444" s="93">
        <v>46202</v>
      </c>
      <c r="D444" s="93">
        <v>46204</v>
      </c>
      <c r="E444" s="93">
        <v>46204</v>
      </c>
      <c r="F444" s="102" t="s">
        <v>1571</v>
      </c>
      <c r="G444" s="102" t="s">
        <v>2337</v>
      </c>
      <c r="H444" s="102" t="s">
        <v>1480</v>
      </c>
      <c r="I444">
        <v>659</v>
      </c>
      <c r="J444">
        <v>659</v>
      </c>
      <c r="K444">
        <v>659</v>
      </c>
      <c r="L444">
        <v>659</v>
      </c>
      <c r="M444" s="102" t="s">
        <v>1099</v>
      </c>
      <c r="N444" s="102" t="s">
        <v>1481</v>
      </c>
      <c r="O444" s="93">
        <v>46202</v>
      </c>
    </row>
    <row r="445" spans="1:15" x14ac:dyDescent="0.3">
      <c r="A445" s="102" t="s">
        <v>1953</v>
      </c>
      <c r="B445" t="s">
        <v>1954</v>
      </c>
      <c r="C445" s="93">
        <v>46191</v>
      </c>
      <c r="D445" s="93">
        <v>46204</v>
      </c>
      <c r="E445" s="93">
        <v>46204</v>
      </c>
      <c r="F445" s="102" t="s">
        <v>1571</v>
      </c>
      <c r="G445" s="102" t="s">
        <v>2338</v>
      </c>
      <c r="H445" s="102" t="s">
        <v>1480</v>
      </c>
      <c r="I445">
        <v>80</v>
      </c>
      <c r="J445">
        <v>80</v>
      </c>
      <c r="K445">
        <v>80</v>
      </c>
      <c r="L445">
        <v>80</v>
      </c>
      <c r="M445" s="102" t="s">
        <v>1099</v>
      </c>
      <c r="N445" s="102" t="s">
        <v>1481</v>
      </c>
      <c r="O445" s="93">
        <v>46191</v>
      </c>
    </row>
    <row r="446" spans="1:15" x14ac:dyDescent="0.3">
      <c r="A446" s="102" t="s">
        <v>1953</v>
      </c>
      <c r="B446" t="s">
        <v>1954</v>
      </c>
      <c r="C446" s="93">
        <v>46178</v>
      </c>
      <c r="D446" s="93">
        <v>46175</v>
      </c>
      <c r="E446" s="93">
        <v>46175</v>
      </c>
      <c r="F446" s="102" t="s">
        <v>1571</v>
      </c>
      <c r="G446" s="102" t="s">
        <v>1993</v>
      </c>
      <c r="H446" s="102" t="s">
        <v>1480</v>
      </c>
      <c r="I446">
        <v>80</v>
      </c>
      <c r="J446">
        <v>80</v>
      </c>
      <c r="K446">
        <v>80</v>
      </c>
      <c r="L446">
        <v>80</v>
      </c>
      <c r="M446" s="102" t="s">
        <v>1099</v>
      </c>
      <c r="N446" s="102" t="s">
        <v>1481</v>
      </c>
      <c r="O446" s="93">
        <v>46170</v>
      </c>
    </row>
    <row r="447" spans="1:15" x14ac:dyDescent="0.3">
      <c r="A447" s="102" t="s">
        <v>1953</v>
      </c>
      <c r="B447" t="s">
        <v>1954</v>
      </c>
      <c r="C447" s="93">
        <v>46178</v>
      </c>
      <c r="D447" s="93">
        <v>46175</v>
      </c>
      <c r="E447" s="93">
        <v>46175</v>
      </c>
      <c r="F447" s="102" t="s">
        <v>1571</v>
      </c>
      <c r="G447" s="102" t="s">
        <v>1991</v>
      </c>
      <c r="H447" s="102" t="s">
        <v>1480</v>
      </c>
      <c r="I447">
        <v>798.05</v>
      </c>
      <c r="J447">
        <v>798.05</v>
      </c>
      <c r="K447">
        <v>798.05</v>
      </c>
      <c r="L447">
        <v>798.05</v>
      </c>
      <c r="M447" s="102" t="s">
        <v>1099</v>
      </c>
      <c r="N447" s="102" t="s">
        <v>1481</v>
      </c>
      <c r="O447" s="93">
        <v>46167</v>
      </c>
    </row>
    <row r="448" spans="1:15" x14ac:dyDescent="0.3">
      <c r="A448" s="102" t="s">
        <v>1953</v>
      </c>
      <c r="B448" t="s">
        <v>1954</v>
      </c>
      <c r="C448" s="93">
        <v>46058</v>
      </c>
      <c r="D448" s="93">
        <v>46060</v>
      </c>
      <c r="E448" s="93">
        <v>46060</v>
      </c>
      <c r="F448" s="102" t="s">
        <v>1571</v>
      </c>
      <c r="G448" s="102" t="s">
        <v>1995</v>
      </c>
      <c r="H448" s="102" t="s">
        <v>1480</v>
      </c>
      <c r="I448">
        <v>355.4</v>
      </c>
      <c r="J448">
        <v>355.4</v>
      </c>
      <c r="K448">
        <v>355.4</v>
      </c>
      <c r="L448">
        <v>355.4</v>
      </c>
      <c r="M448" s="102" t="s">
        <v>1099</v>
      </c>
      <c r="N448" s="102" t="s">
        <v>1481</v>
      </c>
      <c r="O448" s="93">
        <v>46024</v>
      </c>
    </row>
    <row r="449" spans="1:15" x14ac:dyDescent="0.3">
      <c r="A449" s="102" t="s">
        <v>1953</v>
      </c>
      <c r="B449" t="s">
        <v>1954</v>
      </c>
      <c r="C449" s="93">
        <v>46178</v>
      </c>
      <c r="D449" s="93">
        <v>46175</v>
      </c>
      <c r="E449" s="93">
        <v>46175</v>
      </c>
      <c r="F449" s="102" t="s">
        <v>1571</v>
      </c>
      <c r="G449" s="102" t="s">
        <v>1992</v>
      </c>
      <c r="H449" s="102" t="s">
        <v>1480</v>
      </c>
      <c r="I449">
        <v>1747.69</v>
      </c>
      <c r="J449">
        <v>1747.69</v>
      </c>
      <c r="K449">
        <v>1747.69</v>
      </c>
      <c r="L449">
        <v>1747.69</v>
      </c>
      <c r="M449" s="102" t="s">
        <v>1099</v>
      </c>
      <c r="N449" s="102" t="s">
        <v>1481</v>
      </c>
      <c r="O449" s="93">
        <v>46168</v>
      </c>
    </row>
    <row r="450" spans="1:15" x14ac:dyDescent="0.3">
      <c r="A450" s="102" t="s">
        <v>1953</v>
      </c>
      <c r="B450" t="s">
        <v>1954</v>
      </c>
      <c r="C450" s="93">
        <v>46177</v>
      </c>
      <c r="D450" s="93">
        <v>46204</v>
      </c>
      <c r="E450" s="93">
        <v>46204</v>
      </c>
      <c r="F450" s="102" t="s">
        <v>1571</v>
      </c>
      <c r="G450" s="102" t="s">
        <v>2339</v>
      </c>
      <c r="H450" s="102" t="s">
        <v>1480</v>
      </c>
      <c r="I450">
        <v>389.91</v>
      </c>
      <c r="J450">
        <v>389.91</v>
      </c>
      <c r="K450">
        <v>389.91</v>
      </c>
      <c r="L450">
        <v>389.91</v>
      </c>
      <c r="M450" s="102" t="s">
        <v>1099</v>
      </c>
      <c r="N450" s="102" t="s">
        <v>1481</v>
      </c>
      <c r="O450" s="93">
        <v>46177</v>
      </c>
    </row>
    <row r="451" spans="1:15" x14ac:dyDescent="0.3">
      <c r="A451" s="102" t="s">
        <v>1953</v>
      </c>
      <c r="B451" t="s">
        <v>1954</v>
      </c>
      <c r="C451" s="93">
        <v>46176</v>
      </c>
      <c r="D451" s="93">
        <v>46204</v>
      </c>
      <c r="E451" s="93">
        <v>46204</v>
      </c>
      <c r="F451" s="102" t="s">
        <v>1571</v>
      </c>
      <c r="G451" s="102" t="s">
        <v>2340</v>
      </c>
      <c r="H451" s="102" t="s">
        <v>1480</v>
      </c>
      <c r="I451">
        <v>1289.3499999999999</v>
      </c>
      <c r="J451">
        <v>1289.3499999999999</v>
      </c>
      <c r="K451">
        <v>1289.3499999999999</v>
      </c>
      <c r="L451">
        <v>1289.3499999999999</v>
      </c>
      <c r="M451" s="102" t="s">
        <v>1099</v>
      </c>
      <c r="N451" s="102" t="s">
        <v>1481</v>
      </c>
      <c r="O451" s="93">
        <v>46176</v>
      </c>
    </row>
    <row r="452" spans="1:15" x14ac:dyDescent="0.3">
      <c r="A452" s="102" t="s">
        <v>1953</v>
      </c>
      <c r="B452" t="s">
        <v>1954</v>
      </c>
      <c r="C452" s="93">
        <v>46178</v>
      </c>
      <c r="D452" s="93">
        <v>46175</v>
      </c>
      <c r="E452" s="93">
        <v>46175</v>
      </c>
      <c r="F452" s="102" t="s">
        <v>1571</v>
      </c>
      <c r="G452" s="102" t="s">
        <v>1972</v>
      </c>
      <c r="H452" s="102" t="s">
        <v>1480</v>
      </c>
      <c r="I452">
        <v>300.36</v>
      </c>
      <c r="J452">
        <v>300.36</v>
      </c>
      <c r="K452">
        <v>300.36</v>
      </c>
      <c r="L452">
        <v>300.36</v>
      </c>
      <c r="M452" s="102" t="s">
        <v>1099</v>
      </c>
      <c r="N452" s="102" t="s">
        <v>1481</v>
      </c>
      <c r="O452" s="93">
        <v>46160</v>
      </c>
    </row>
    <row r="453" spans="1:15" x14ac:dyDescent="0.3">
      <c r="A453" s="102" t="s">
        <v>1953</v>
      </c>
      <c r="B453" t="s">
        <v>1954</v>
      </c>
      <c r="C453" s="93">
        <v>46178</v>
      </c>
      <c r="D453" s="93">
        <v>46175</v>
      </c>
      <c r="E453" s="93">
        <v>46175</v>
      </c>
      <c r="F453" s="102" t="s">
        <v>1571</v>
      </c>
      <c r="G453" s="102" t="s">
        <v>1990</v>
      </c>
      <c r="H453" s="102" t="s">
        <v>1480</v>
      </c>
      <c r="I453">
        <v>100</v>
      </c>
      <c r="J453">
        <v>100</v>
      </c>
      <c r="K453">
        <v>100</v>
      </c>
      <c r="L453">
        <v>100</v>
      </c>
      <c r="M453" s="102" t="s">
        <v>1099</v>
      </c>
      <c r="N453" s="102" t="s">
        <v>1481</v>
      </c>
      <c r="O453" s="93">
        <v>46166</v>
      </c>
    </row>
    <row r="454" spans="1:15" x14ac:dyDescent="0.3">
      <c r="A454" s="102" t="s">
        <v>1953</v>
      </c>
      <c r="B454" t="s">
        <v>1954</v>
      </c>
      <c r="C454" s="93">
        <v>46194</v>
      </c>
      <c r="D454" s="93">
        <v>46194</v>
      </c>
      <c r="E454" s="93">
        <v>46194</v>
      </c>
      <c r="F454" s="102" t="s">
        <v>1978</v>
      </c>
      <c r="G454" s="102" t="s">
        <v>2007</v>
      </c>
      <c r="H454" s="102" t="s">
        <v>1480</v>
      </c>
      <c r="I454">
        <v>221.06</v>
      </c>
      <c r="J454">
        <v>221.06</v>
      </c>
      <c r="K454">
        <v>221.06</v>
      </c>
      <c r="L454">
        <v>221.06</v>
      </c>
      <c r="M454" s="102" t="s">
        <v>1099</v>
      </c>
      <c r="N454" s="102" t="s">
        <v>1481</v>
      </c>
      <c r="O454" s="93">
        <v>46194</v>
      </c>
    </row>
    <row r="455" spans="1:15" x14ac:dyDescent="0.3">
      <c r="A455" s="102" t="s">
        <v>1953</v>
      </c>
      <c r="B455" t="s">
        <v>1954</v>
      </c>
      <c r="C455" s="93">
        <v>46175</v>
      </c>
      <c r="D455" s="93">
        <v>46204</v>
      </c>
      <c r="E455" s="93">
        <v>46204</v>
      </c>
      <c r="F455" s="102" t="s">
        <v>1571</v>
      </c>
      <c r="G455" s="102" t="s">
        <v>2341</v>
      </c>
      <c r="H455" s="102" t="s">
        <v>1480</v>
      </c>
      <c r="I455">
        <v>80</v>
      </c>
      <c r="J455">
        <v>80</v>
      </c>
      <c r="K455">
        <v>80</v>
      </c>
      <c r="L455">
        <v>80</v>
      </c>
      <c r="M455" s="102" t="s">
        <v>1099</v>
      </c>
      <c r="N455" s="102" t="s">
        <v>1481</v>
      </c>
      <c r="O455" s="93">
        <v>46175</v>
      </c>
    </row>
    <row r="456" spans="1:15" x14ac:dyDescent="0.3">
      <c r="A456" s="102" t="s">
        <v>1953</v>
      </c>
      <c r="B456" t="s">
        <v>1954</v>
      </c>
      <c r="C456" s="93">
        <v>46178</v>
      </c>
      <c r="D456" s="93">
        <v>46175</v>
      </c>
      <c r="E456" s="93">
        <v>46175</v>
      </c>
      <c r="F456" s="102" t="s">
        <v>1571</v>
      </c>
      <c r="G456" s="102" t="s">
        <v>1971</v>
      </c>
      <c r="H456" s="102" t="s">
        <v>1480</v>
      </c>
      <c r="I456">
        <v>60</v>
      </c>
      <c r="J456">
        <v>60</v>
      </c>
      <c r="K456">
        <v>60</v>
      </c>
      <c r="L456">
        <v>60</v>
      </c>
      <c r="M456" s="102" t="s">
        <v>1099</v>
      </c>
      <c r="N456" s="102" t="s">
        <v>1481</v>
      </c>
      <c r="O456" s="93">
        <v>46158</v>
      </c>
    </row>
    <row r="457" spans="1:15" x14ac:dyDescent="0.3">
      <c r="A457" s="102" t="s">
        <v>1953</v>
      </c>
      <c r="B457" t="s">
        <v>1954</v>
      </c>
      <c r="C457" s="93">
        <v>46178</v>
      </c>
      <c r="D457" s="93">
        <v>46175</v>
      </c>
      <c r="E457" s="93">
        <v>46175</v>
      </c>
      <c r="F457" s="102" t="s">
        <v>1571</v>
      </c>
      <c r="G457" s="102" t="s">
        <v>1994</v>
      </c>
      <c r="H457" s="102" t="s">
        <v>1480</v>
      </c>
      <c r="I457">
        <v>80</v>
      </c>
      <c r="J457">
        <v>80</v>
      </c>
      <c r="K457">
        <v>80</v>
      </c>
      <c r="L457">
        <v>80</v>
      </c>
      <c r="M457" s="102" t="s">
        <v>1099</v>
      </c>
      <c r="N457" s="102" t="s">
        <v>1481</v>
      </c>
      <c r="O457" s="93">
        <v>46171</v>
      </c>
    </row>
    <row r="458" spans="1:15" x14ac:dyDescent="0.3">
      <c r="A458" s="102" t="s">
        <v>1953</v>
      </c>
      <c r="B458" t="s">
        <v>1954</v>
      </c>
      <c r="C458" s="93">
        <v>46178</v>
      </c>
      <c r="D458" s="93">
        <v>46175</v>
      </c>
      <c r="E458" s="93">
        <v>46175</v>
      </c>
      <c r="F458" s="102" t="s">
        <v>1571</v>
      </c>
      <c r="G458" s="102" t="s">
        <v>1989</v>
      </c>
      <c r="H458" s="102" t="s">
        <v>1480</v>
      </c>
      <c r="I458">
        <v>80</v>
      </c>
      <c r="J458">
        <v>80</v>
      </c>
      <c r="K458">
        <v>80</v>
      </c>
      <c r="L458">
        <v>80</v>
      </c>
      <c r="M458" s="102" t="s">
        <v>1099</v>
      </c>
      <c r="N458" s="102" t="s">
        <v>1481</v>
      </c>
      <c r="O458" s="93">
        <v>46156</v>
      </c>
    </row>
    <row r="459" spans="1:15" x14ac:dyDescent="0.3">
      <c r="A459" s="102" t="s">
        <v>1953</v>
      </c>
      <c r="B459" t="s">
        <v>1954</v>
      </c>
      <c r="C459" s="93">
        <v>46178</v>
      </c>
      <c r="D459" s="93">
        <v>46175</v>
      </c>
      <c r="E459" s="93">
        <v>46175</v>
      </c>
      <c r="F459" s="102" t="s">
        <v>1571</v>
      </c>
      <c r="G459" s="102" t="s">
        <v>1976</v>
      </c>
      <c r="H459" s="102" t="s">
        <v>1480</v>
      </c>
      <c r="I459">
        <v>1655.18</v>
      </c>
      <c r="J459">
        <v>1655.18</v>
      </c>
      <c r="K459">
        <v>1655.18</v>
      </c>
      <c r="L459">
        <v>1655.18</v>
      </c>
      <c r="M459" s="102" t="s">
        <v>1099</v>
      </c>
      <c r="N459" s="102" t="s">
        <v>1481</v>
      </c>
      <c r="O459" s="93">
        <v>46155</v>
      </c>
    </row>
    <row r="460" spans="1:15" x14ac:dyDescent="0.3">
      <c r="A460" s="102" t="s">
        <v>1953</v>
      </c>
      <c r="B460" t="s">
        <v>1954</v>
      </c>
      <c r="C460" s="93">
        <v>46182</v>
      </c>
      <c r="D460" s="93">
        <v>46182</v>
      </c>
      <c r="E460" s="93">
        <v>46182</v>
      </c>
      <c r="F460" s="102" t="s">
        <v>1978</v>
      </c>
      <c r="G460" s="102" t="s">
        <v>1982</v>
      </c>
      <c r="H460" s="102" t="s">
        <v>1480</v>
      </c>
      <c r="I460">
        <v>415.08</v>
      </c>
      <c r="J460">
        <v>415.08</v>
      </c>
      <c r="K460">
        <v>415.08</v>
      </c>
      <c r="L460">
        <v>415.08</v>
      </c>
      <c r="M460" s="102" t="s">
        <v>1099</v>
      </c>
      <c r="N460" s="102" t="s">
        <v>1481</v>
      </c>
      <c r="O460" s="93">
        <v>46182</v>
      </c>
    </row>
    <row r="461" spans="1:15" x14ac:dyDescent="0.3">
      <c r="A461" s="102" t="s">
        <v>1953</v>
      </c>
      <c r="B461" t="s">
        <v>1954</v>
      </c>
      <c r="C461" s="93">
        <v>46196</v>
      </c>
      <c r="D461" s="93">
        <v>46204</v>
      </c>
      <c r="E461" s="93">
        <v>46204</v>
      </c>
      <c r="F461" s="102" t="s">
        <v>1571</v>
      </c>
      <c r="G461" s="102" t="s">
        <v>2342</v>
      </c>
      <c r="H461" s="102" t="s">
        <v>1480</v>
      </c>
      <c r="I461">
        <v>1008.12</v>
      </c>
      <c r="J461">
        <v>1008.12</v>
      </c>
      <c r="K461">
        <v>1008.12</v>
      </c>
      <c r="L461">
        <v>1008.12</v>
      </c>
      <c r="M461" s="102" t="s">
        <v>1099</v>
      </c>
      <c r="N461" s="102" t="s">
        <v>1481</v>
      </c>
      <c r="O461" s="93">
        <v>46196</v>
      </c>
    </row>
    <row r="462" spans="1:15" x14ac:dyDescent="0.3">
      <c r="A462" s="102" t="s">
        <v>1953</v>
      </c>
      <c r="B462" t="s">
        <v>1954</v>
      </c>
      <c r="C462" s="93">
        <v>46188</v>
      </c>
      <c r="D462" s="93">
        <v>46204</v>
      </c>
      <c r="E462" s="93">
        <v>46204</v>
      </c>
      <c r="F462" s="102" t="s">
        <v>1571</v>
      </c>
      <c r="G462" s="102" t="s">
        <v>2343</v>
      </c>
      <c r="H462" s="102" t="s">
        <v>1480</v>
      </c>
      <c r="I462">
        <v>60</v>
      </c>
      <c r="J462">
        <v>60</v>
      </c>
      <c r="K462">
        <v>60</v>
      </c>
      <c r="L462">
        <v>60</v>
      </c>
      <c r="M462" s="102" t="s">
        <v>1099</v>
      </c>
      <c r="N462" s="102" t="s">
        <v>1481</v>
      </c>
      <c r="O462" s="93">
        <v>46188</v>
      </c>
    </row>
    <row r="463" spans="1:15" x14ac:dyDescent="0.3">
      <c r="A463" s="102" t="s">
        <v>1953</v>
      </c>
      <c r="B463" t="s">
        <v>1954</v>
      </c>
      <c r="C463" s="93">
        <v>46194</v>
      </c>
      <c r="D463" s="93">
        <v>46204</v>
      </c>
      <c r="E463" s="93">
        <v>46204</v>
      </c>
      <c r="F463" s="102" t="s">
        <v>1571</v>
      </c>
      <c r="G463" s="102" t="s">
        <v>2344</v>
      </c>
      <c r="H463" s="102" t="s">
        <v>1480</v>
      </c>
      <c r="I463">
        <v>180.07</v>
      </c>
      <c r="J463">
        <v>180.07</v>
      </c>
      <c r="K463">
        <v>180.07</v>
      </c>
      <c r="L463">
        <v>180.07</v>
      </c>
      <c r="M463" s="102" t="s">
        <v>1099</v>
      </c>
      <c r="N463" s="102" t="s">
        <v>1481</v>
      </c>
      <c r="O463" s="93">
        <v>46194</v>
      </c>
    </row>
    <row r="464" spans="1:15" x14ac:dyDescent="0.3">
      <c r="A464" s="102" t="s">
        <v>1953</v>
      </c>
      <c r="B464" t="s">
        <v>1954</v>
      </c>
      <c r="C464" s="93">
        <v>46192</v>
      </c>
      <c r="D464" s="93">
        <v>46204</v>
      </c>
      <c r="E464" s="93">
        <v>46204</v>
      </c>
      <c r="F464" s="102" t="s">
        <v>1571</v>
      </c>
      <c r="G464" s="102" t="s">
        <v>2345</v>
      </c>
      <c r="H464" s="102" t="s">
        <v>1480</v>
      </c>
      <c r="I464">
        <v>120.01</v>
      </c>
      <c r="J464">
        <v>120.01</v>
      </c>
      <c r="K464">
        <v>120.01</v>
      </c>
      <c r="L464">
        <v>120.01</v>
      </c>
      <c r="M464" s="102" t="s">
        <v>1099</v>
      </c>
      <c r="N464" s="102" t="s">
        <v>1481</v>
      </c>
      <c r="O464" s="93">
        <v>46192</v>
      </c>
    </row>
    <row r="465" spans="1:15" x14ac:dyDescent="0.3">
      <c r="A465" s="102" t="s">
        <v>1953</v>
      </c>
      <c r="B465" t="s">
        <v>1954</v>
      </c>
      <c r="C465" s="93">
        <v>46173</v>
      </c>
      <c r="D465" s="93">
        <v>46173</v>
      </c>
      <c r="E465" s="93">
        <v>46173</v>
      </c>
      <c r="F465" s="102" t="s">
        <v>1978</v>
      </c>
      <c r="G465" s="102" t="s">
        <v>1986</v>
      </c>
      <c r="H465" s="102" t="s">
        <v>1480</v>
      </c>
      <c r="I465">
        <v>470.04</v>
      </c>
      <c r="J465">
        <v>470.04</v>
      </c>
      <c r="K465">
        <v>470.04</v>
      </c>
      <c r="L465">
        <v>470.04</v>
      </c>
      <c r="M465" s="102" t="s">
        <v>1099</v>
      </c>
      <c r="N465" s="102" t="s">
        <v>1481</v>
      </c>
      <c r="O465" s="93">
        <v>46173</v>
      </c>
    </row>
    <row r="466" spans="1:15" x14ac:dyDescent="0.3">
      <c r="A466" s="102" t="s">
        <v>1953</v>
      </c>
      <c r="B466" t="s">
        <v>1954</v>
      </c>
      <c r="C466" s="93">
        <v>46178</v>
      </c>
      <c r="D466" s="93">
        <v>46175</v>
      </c>
      <c r="E466" s="93">
        <v>46175</v>
      </c>
      <c r="F466" s="102" t="s">
        <v>1571</v>
      </c>
      <c r="G466" s="102" t="s">
        <v>1987</v>
      </c>
      <c r="H466" s="102" t="s">
        <v>1480</v>
      </c>
      <c r="I466">
        <v>1458.14</v>
      </c>
      <c r="J466">
        <v>1458.14</v>
      </c>
      <c r="K466">
        <v>1458.14</v>
      </c>
      <c r="L466">
        <v>1458.14</v>
      </c>
      <c r="M466" s="102" t="s">
        <v>1099</v>
      </c>
      <c r="N466" s="102" t="s">
        <v>1481</v>
      </c>
      <c r="O466" s="93">
        <v>46146</v>
      </c>
    </row>
    <row r="467" spans="1:15" x14ac:dyDescent="0.3">
      <c r="A467" s="102" t="s">
        <v>1953</v>
      </c>
      <c r="B467" t="s">
        <v>1954</v>
      </c>
      <c r="C467" s="93">
        <v>46191</v>
      </c>
      <c r="D467" s="93">
        <v>46204</v>
      </c>
      <c r="E467" s="93">
        <v>46204</v>
      </c>
      <c r="F467" s="102" t="s">
        <v>1571</v>
      </c>
      <c r="G467" s="102" t="s">
        <v>2346</v>
      </c>
      <c r="H467" s="102" t="s">
        <v>1480</v>
      </c>
      <c r="I467">
        <v>597.47</v>
      </c>
      <c r="J467">
        <v>597.47</v>
      </c>
      <c r="K467">
        <v>597.47</v>
      </c>
      <c r="L467">
        <v>597.47</v>
      </c>
      <c r="M467" s="102" t="s">
        <v>1099</v>
      </c>
      <c r="N467" s="102" t="s">
        <v>1481</v>
      </c>
      <c r="O467" s="93">
        <v>46191</v>
      </c>
    </row>
    <row r="468" spans="1:15" x14ac:dyDescent="0.3">
      <c r="A468" s="102" t="s">
        <v>1953</v>
      </c>
      <c r="B468" t="s">
        <v>1954</v>
      </c>
      <c r="C468" s="93">
        <v>46190</v>
      </c>
      <c r="D468" s="93">
        <v>46204</v>
      </c>
      <c r="E468" s="93">
        <v>46204</v>
      </c>
      <c r="F468" s="102" t="s">
        <v>1571</v>
      </c>
      <c r="G468" s="102" t="s">
        <v>2347</v>
      </c>
      <c r="H468" s="102" t="s">
        <v>1480</v>
      </c>
      <c r="I468">
        <v>141.05000000000001</v>
      </c>
      <c r="J468">
        <v>141.05000000000001</v>
      </c>
      <c r="K468">
        <v>141.05000000000001</v>
      </c>
      <c r="L468">
        <v>141.05000000000001</v>
      </c>
      <c r="M468" s="102" t="s">
        <v>1099</v>
      </c>
      <c r="N468" s="102" t="s">
        <v>1481</v>
      </c>
      <c r="O468" s="93">
        <v>46190</v>
      </c>
    </row>
    <row r="469" spans="1:15" x14ac:dyDescent="0.3">
      <c r="A469" s="102" t="s">
        <v>1953</v>
      </c>
      <c r="B469" t="s">
        <v>1954</v>
      </c>
      <c r="C469" s="93">
        <v>46178</v>
      </c>
      <c r="D469" s="93">
        <v>46175</v>
      </c>
      <c r="E469" s="93">
        <v>46175</v>
      </c>
      <c r="F469" s="102" t="s">
        <v>1571</v>
      </c>
      <c r="G469" s="102" t="s">
        <v>1973</v>
      </c>
      <c r="H469" s="102" t="s">
        <v>1480</v>
      </c>
      <c r="I469">
        <v>60</v>
      </c>
      <c r="J469">
        <v>60</v>
      </c>
      <c r="K469">
        <v>60</v>
      </c>
      <c r="L469">
        <v>60</v>
      </c>
      <c r="M469" s="102" t="s">
        <v>1099</v>
      </c>
      <c r="N469" s="102" t="s">
        <v>1481</v>
      </c>
      <c r="O469" s="93">
        <v>46160</v>
      </c>
    </row>
    <row r="470" spans="1:15" x14ac:dyDescent="0.3">
      <c r="A470" s="102" t="s">
        <v>1953</v>
      </c>
      <c r="B470" t="s">
        <v>1954</v>
      </c>
      <c r="C470" s="93">
        <v>46188</v>
      </c>
      <c r="D470" s="93">
        <v>46204</v>
      </c>
      <c r="E470" s="93">
        <v>46204</v>
      </c>
      <c r="F470" s="102" t="s">
        <v>1571</v>
      </c>
      <c r="G470" s="102" t="s">
        <v>2348</v>
      </c>
      <c r="H470" s="102" t="s">
        <v>1480</v>
      </c>
      <c r="I470">
        <v>807.04</v>
      </c>
      <c r="J470">
        <v>807.04</v>
      </c>
      <c r="K470">
        <v>807.04</v>
      </c>
      <c r="L470">
        <v>807.04</v>
      </c>
      <c r="M470" s="102" t="s">
        <v>1099</v>
      </c>
      <c r="N470" s="102" t="s">
        <v>1481</v>
      </c>
      <c r="O470" s="93">
        <v>46188</v>
      </c>
    </row>
    <row r="471" spans="1:15" x14ac:dyDescent="0.3">
      <c r="A471" s="102" t="s">
        <v>1953</v>
      </c>
      <c r="B471" t="s">
        <v>1954</v>
      </c>
      <c r="C471" s="93">
        <v>46185</v>
      </c>
      <c r="D471" s="93">
        <v>46204</v>
      </c>
      <c r="E471" s="93">
        <v>46204</v>
      </c>
      <c r="F471" s="102" t="s">
        <v>1571</v>
      </c>
      <c r="G471" s="102" t="s">
        <v>2349</v>
      </c>
      <c r="H471" s="102" t="s">
        <v>1480</v>
      </c>
      <c r="I471">
        <v>80</v>
      </c>
      <c r="J471">
        <v>80</v>
      </c>
      <c r="K471">
        <v>80</v>
      </c>
      <c r="L471">
        <v>80</v>
      </c>
      <c r="M471" s="102" t="s">
        <v>1099</v>
      </c>
      <c r="N471" s="102" t="s">
        <v>1481</v>
      </c>
      <c r="O471" s="93">
        <v>46185</v>
      </c>
    </row>
    <row r="472" spans="1:15" x14ac:dyDescent="0.3">
      <c r="A472" s="102" t="s">
        <v>1953</v>
      </c>
      <c r="B472" t="s">
        <v>1954</v>
      </c>
      <c r="C472" s="93">
        <v>46178</v>
      </c>
      <c r="D472" s="93">
        <v>46175</v>
      </c>
      <c r="E472" s="93">
        <v>46175</v>
      </c>
      <c r="F472" s="102" t="s">
        <v>1571</v>
      </c>
      <c r="G472" s="102" t="s">
        <v>1988</v>
      </c>
      <c r="H472" s="102" t="s">
        <v>1480</v>
      </c>
      <c r="I472">
        <v>100</v>
      </c>
      <c r="J472">
        <v>100</v>
      </c>
      <c r="K472">
        <v>100</v>
      </c>
      <c r="L472">
        <v>100</v>
      </c>
      <c r="M472" s="102" t="s">
        <v>1099</v>
      </c>
      <c r="N472" s="102" t="s">
        <v>1481</v>
      </c>
      <c r="O472" s="93">
        <v>46162</v>
      </c>
    </row>
    <row r="473" spans="1:15" x14ac:dyDescent="0.3">
      <c r="A473" s="102" t="s">
        <v>1953</v>
      </c>
      <c r="B473" t="s">
        <v>1954</v>
      </c>
      <c r="C473" s="93">
        <v>46183</v>
      </c>
      <c r="D473" s="93">
        <v>46204</v>
      </c>
      <c r="E473" s="93">
        <v>46204</v>
      </c>
      <c r="F473" s="102" t="s">
        <v>1571</v>
      </c>
      <c r="G473" s="102" t="s">
        <v>2350</v>
      </c>
      <c r="H473" s="102" t="s">
        <v>1480</v>
      </c>
      <c r="I473">
        <v>160</v>
      </c>
      <c r="J473">
        <v>160</v>
      </c>
      <c r="K473">
        <v>160</v>
      </c>
      <c r="L473">
        <v>160</v>
      </c>
      <c r="M473" s="102" t="s">
        <v>1099</v>
      </c>
      <c r="N473" s="102" t="s">
        <v>1481</v>
      </c>
      <c r="O473" s="93">
        <v>46183</v>
      </c>
    </row>
    <row r="474" spans="1:15" x14ac:dyDescent="0.3">
      <c r="A474" s="102" t="s">
        <v>1953</v>
      </c>
      <c r="B474" t="s">
        <v>1954</v>
      </c>
      <c r="C474" s="93">
        <v>46178</v>
      </c>
      <c r="D474" s="93">
        <v>46175</v>
      </c>
      <c r="E474" s="93">
        <v>46175</v>
      </c>
      <c r="F474" s="102" t="s">
        <v>1571</v>
      </c>
      <c r="G474" s="102" t="s">
        <v>1984</v>
      </c>
      <c r="H474" s="102" t="s">
        <v>1480</v>
      </c>
      <c r="I474">
        <v>775.11</v>
      </c>
      <c r="J474">
        <v>775.11</v>
      </c>
      <c r="K474">
        <v>775.11</v>
      </c>
      <c r="L474">
        <v>775.11</v>
      </c>
      <c r="M474" s="102" t="s">
        <v>1099</v>
      </c>
      <c r="N474" s="102" t="s">
        <v>1481</v>
      </c>
      <c r="O474" s="93">
        <v>46164</v>
      </c>
    </row>
    <row r="475" spans="1:15" x14ac:dyDescent="0.3">
      <c r="A475" s="102" t="s">
        <v>1953</v>
      </c>
      <c r="B475" t="s">
        <v>1954</v>
      </c>
      <c r="C475" s="93">
        <v>46181</v>
      </c>
      <c r="D475" s="93">
        <v>46204</v>
      </c>
      <c r="E475" s="93">
        <v>46204</v>
      </c>
      <c r="F475" s="102" t="s">
        <v>1571</v>
      </c>
      <c r="G475" s="102" t="s">
        <v>2351</v>
      </c>
      <c r="H475" s="102" t="s">
        <v>1480</v>
      </c>
      <c r="I475">
        <v>1503.74</v>
      </c>
      <c r="J475">
        <v>1503.74</v>
      </c>
      <c r="K475">
        <v>1503.74</v>
      </c>
      <c r="L475">
        <v>1503.74</v>
      </c>
      <c r="M475" s="102" t="s">
        <v>1099</v>
      </c>
      <c r="N475" s="102" t="s">
        <v>1481</v>
      </c>
      <c r="O475" s="93">
        <v>46181</v>
      </c>
    </row>
    <row r="476" spans="1:15" x14ac:dyDescent="0.3">
      <c r="A476" s="102" t="s">
        <v>1953</v>
      </c>
      <c r="B476" t="s">
        <v>1954</v>
      </c>
      <c r="C476" s="93">
        <v>46107</v>
      </c>
      <c r="D476" s="93">
        <v>46127</v>
      </c>
      <c r="E476" s="93">
        <v>46127</v>
      </c>
      <c r="F476" s="102" t="s">
        <v>1571</v>
      </c>
      <c r="G476" s="102" t="s">
        <v>2017</v>
      </c>
      <c r="H476" s="102" t="s">
        <v>1480</v>
      </c>
      <c r="I476">
        <v>836.42</v>
      </c>
      <c r="J476">
        <v>836.42</v>
      </c>
      <c r="K476">
        <v>836.42</v>
      </c>
      <c r="L476">
        <v>836.42</v>
      </c>
      <c r="M476" s="102" t="s">
        <v>1099</v>
      </c>
      <c r="N476" s="102" t="s">
        <v>1481</v>
      </c>
      <c r="O476" s="93">
        <v>46107</v>
      </c>
    </row>
    <row r="477" spans="1:15" x14ac:dyDescent="0.3">
      <c r="A477" s="102" t="s">
        <v>1953</v>
      </c>
      <c r="B477" t="s">
        <v>1954</v>
      </c>
      <c r="C477" s="93">
        <v>46101</v>
      </c>
      <c r="D477" s="93">
        <v>46127</v>
      </c>
      <c r="E477" s="93">
        <v>46127</v>
      </c>
      <c r="F477" s="102" t="s">
        <v>1571</v>
      </c>
      <c r="G477" s="102" t="s">
        <v>2012</v>
      </c>
      <c r="H477" s="102" t="s">
        <v>1480</v>
      </c>
      <c r="I477">
        <v>445.28</v>
      </c>
      <c r="J477">
        <v>445.28</v>
      </c>
      <c r="K477">
        <v>445.28</v>
      </c>
      <c r="L477">
        <v>445.28</v>
      </c>
      <c r="M477" s="102" t="s">
        <v>1099</v>
      </c>
      <c r="N477" s="102" t="s">
        <v>1481</v>
      </c>
      <c r="O477" s="93">
        <v>46101</v>
      </c>
    </row>
    <row r="478" spans="1:15" x14ac:dyDescent="0.3">
      <c r="A478" s="102" t="s">
        <v>1953</v>
      </c>
      <c r="B478" t="s">
        <v>1954</v>
      </c>
      <c r="C478" s="93">
        <v>46122</v>
      </c>
      <c r="D478" s="93">
        <v>46122</v>
      </c>
      <c r="E478" s="93">
        <v>46122</v>
      </c>
      <c r="F478" s="102" t="s">
        <v>1978</v>
      </c>
      <c r="G478" s="102" t="s">
        <v>1998</v>
      </c>
      <c r="H478" s="102" t="s">
        <v>1480</v>
      </c>
      <c r="I478">
        <v>340.18</v>
      </c>
      <c r="J478">
        <v>340.18</v>
      </c>
      <c r="K478">
        <v>340.18</v>
      </c>
      <c r="L478">
        <v>340.18</v>
      </c>
      <c r="M478" s="102" t="s">
        <v>1099</v>
      </c>
      <c r="N478" s="102" t="s">
        <v>1481</v>
      </c>
      <c r="O478" s="93">
        <v>46122</v>
      </c>
    </row>
    <row r="479" spans="1:15" x14ac:dyDescent="0.3">
      <c r="A479" s="102" t="s">
        <v>1953</v>
      </c>
      <c r="B479" t="s">
        <v>1954</v>
      </c>
      <c r="C479" s="93">
        <v>46088</v>
      </c>
      <c r="D479" s="93">
        <v>46127</v>
      </c>
      <c r="E479" s="93">
        <v>46127</v>
      </c>
      <c r="F479" s="102" t="s">
        <v>1571</v>
      </c>
      <c r="G479" s="102" t="s">
        <v>1997</v>
      </c>
      <c r="H479" s="102" t="s">
        <v>1480</v>
      </c>
      <c r="I479">
        <v>392.53</v>
      </c>
      <c r="J479">
        <v>392.53</v>
      </c>
      <c r="K479">
        <v>392.53</v>
      </c>
      <c r="L479">
        <v>392.53</v>
      </c>
      <c r="M479" s="102" t="s">
        <v>1099</v>
      </c>
      <c r="N479" s="102" t="s">
        <v>1481</v>
      </c>
      <c r="O479" s="93">
        <v>46088</v>
      </c>
    </row>
    <row r="480" spans="1:15" x14ac:dyDescent="0.3">
      <c r="A480" s="102" t="s">
        <v>1953</v>
      </c>
      <c r="B480" t="s">
        <v>1954</v>
      </c>
      <c r="C480" s="93">
        <v>46085</v>
      </c>
      <c r="D480" s="93">
        <v>46127</v>
      </c>
      <c r="E480" s="93">
        <v>46127</v>
      </c>
      <c r="F480" s="102" t="s">
        <v>1571</v>
      </c>
      <c r="G480" s="102" t="s">
        <v>2016</v>
      </c>
      <c r="H480" s="102" t="s">
        <v>1480</v>
      </c>
      <c r="I480">
        <v>100</v>
      </c>
      <c r="J480">
        <v>100</v>
      </c>
      <c r="K480">
        <v>100</v>
      </c>
      <c r="L480">
        <v>100</v>
      </c>
      <c r="M480" s="102" t="s">
        <v>1099</v>
      </c>
      <c r="N480" s="102" t="s">
        <v>1481</v>
      </c>
      <c r="O480" s="93">
        <v>46085</v>
      </c>
    </row>
    <row r="481" spans="1:15" x14ac:dyDescent="0.3">
      <c r="A481" s="102" t="s">
        <v>1953</v>
      </c>
      <c r="B481" t="s">
        <v>1954</v>
      </c>
      <c r="C481" s="93">
        <v>46090</v>
      </c>
      <c r="D481" s="93">
        <v>46127</v>
      </c>
      <c r="E481" s="93">
        <v>46127</v>
      </c>
      <c r="F481" s="102" t="s">
        <v>1571</v>
      </c>
      <c r="G481" s="102" t="s">
        <v>2019</v>
      </c>
      <c r="H481" s="102" t="s">
        <v>1480</v>
      </c>
      <c r="I481">
        <v>874.77</v>
      </c>
      <c r="J481">
        <v>874.77</v>
      </c>
      <c r="K481">
        <v>874.77</v>
      </c>
      <c r="L481">
        <v>874.77</v>
      </c>
      <c r="M481" s="102" t="s">
        <v>1099</v>
      </c>
      <c r="N481" s="102" t="s">
        <v>1481</v>
      </c>
      <c r="O481" s="93">
        <v>46090</v>
      </c>
    </row>
    <row r="482" spans="1:15" x14ac:dyDescent="0.3">
      <c r="A482" s="102" t="s">
        <v>1953</v>
      </c>
      <c r="B482" t="s">
        <v>1954</v>
      </c>
      <c r="C482" s="93">
        <v>46096</v>
      </c>
      <c r="D482" s="93">
        <v>46127</v>
      </c>
      <c r="E482" s="93">
        <v>46127</v>
      </c>
      <c r="F482" s="102" t="s">
        <v>1571</v>
      </c>
      <c r="G482" s="102" t="s">
        <v>2009</v>
      </c>
      <c r="H482" s="102" t="s">
        <v>1480</v>
      </c>
      <c r="I482">
        <v>1225.31</v>
      </c>
      <c r="J482">
        <v>1225.31</v>
      </c>
      <c r="K482">
        <v>1225.31</v>
      </c>
      <c r="L482">
        <v>1225.31</v>
      </c>
      <c r="M482" s="102" t="s">
        <v>1099</v>
      </c>
      <c r="N482" s="102" t="s">
        <v>1481</v>
      </c>
      <c r="O482" s="93">
        <v>46096</v>
      </c>
    </row>
    <row r="483" spans="1:15" x14ac:dyDescent="0.3">
      <c r="A483" s="102" t="s">
        <v>1953</v>
      </c>
      <c r="B483" t="s">
        <v>1954</v>
      </c>
      <c r="C483" s="93">
        <v>46097</v>
      </c>
      <c r="D483" s="93">
        <v>46127</v>
      </c>
      <c r="E483" s="93">
        <v>46127</v>
      </c>
      <c r="F483" s="102" t="s">
        <v>1571</v>
      </c>
      <c r="G483" s="102" t="s">
        <v>2010</v>
      </c>
      <c r="H483" s="102" t="s">
        <v>1480</v>
      </c>
      <c r="I483">
        <v>50</v>
      </c>
      <c r="J483">
        <v>50</v>
      </c>
      <c r="K483">
        <v>50</v>
      </c>
      <c r="L483">
        <v>50</v>
      </c>
      <c r="M483" s="102" t="s">
        <v>1099</v>
      </c>
      <c r="N483" s="102" t="s">
        <v>1481</v>
      </c>
      <c r="O483" s="93">
        <v>46097</v>
      </c>
    </row>
    <row r="484" spans="1:15" x14ac:dyDescent="0.3">
      <c r="A484" s="102" t="s">
        <v>1953</v>
      </c>
      <c r="B484" t="s">
        <v>1954</v>
      </c>
      <c r="C484" s="93">
        <v>46099</v>
      </c>
      <c r="D484" s="93">
        <v>46127</v>
      </c>
      <c r="E484" s="93">
        <v>46127</v>
      </c>
      <c r="F484" s="102" t="s">
        <v>1571</v>
      </c>
      <c r="G484" s="102" t="s">
        <v>2011</v>
      </c>
      <c r="H484" s="102" t="s">
        <v>1480</v>
      </c>
      <c r="I484">
        <v>759</v>
      </c>
      <c r="J484">
        <v>759</v>
      </c>
      <c r="K484">
        <v>759</v>
      </c>
      <c r="L484">
        <v>759</v>
      </c>
      <c r="M484" s="102" t="s">
        <v>1099</v>
      </c>
      <c r="N484" s="102" t="s">
        <v>1481</v>
      </c>
      <c r="O484" s="93">
        <v>46099</v>
      </c>
    </row>
    <row r="485" spans="1:15" x14ac:dyDescent="0.3">
      <c r="A485" s="102" t="s">
        <v>1953</v>
      </c>
      <c r="B485" t="s">
        <v>1954</v>
      </c>
      <c r="C485" s="93">
        <v>46058</v>
      </c>
      <c r="D485" s="93">
        <v>46060</v>
      </c>
      <c r="E485" s="93">
        <v>46060</v>
      </c>
      <c r="F485" s="102" t="s">
        <v>1571</v>
      </c>
      <c r="G485" s="102" t="s">
        <v>1981</v>
      </c>
      <c r="H485" s="102" t="s">
        <v>1480</v>
      </c>
      <c r="I485">
        <v>689</v>
      </c>
      <c r="J485">
        <v>689</v>
      </c>
      <c r="K485">
        <v>689</v>
      </c>
      <c r="L485">
        <v>689</v>
      </c>
      <c r="M485" s="102" t="s">
        <v>1099</v>
      </c>
      <c r="N485" s="102" t="s">
        <v>1481</v>
      </c>
      <c r="O485" s="93">
        <v>46027</v>
      </c>
    </row>
    <row r="486" spans="1:15" x14ac:dyDescent="0.3">
      <c r="A486" s="102" t="s">
        <v>1953</v>
      </c>
      <c r="B486" t="s">
        <v>1954</v>
      </c>
      <c r="C486" s="93">
        <v>46102</v>
      </c>
      <c r="D486" s="93">
        <v>46127</v>
      </c>
      <c r="E486" s="93">
        <v>46127</v>
      </c>
      <c r="F486" s="102" t="s">
        <v>1571</v>
      </c>
      <c r="G486" s="102" t="s">
        <v>2013</v>
      </c>
      <c r="H486" s="102" t="s">
        <v>1480</v>
      </c>
      <c r="I486">
        <v>1205.58</v>
      </c>
      <c r="J486">
        <v>1205.58</v>
      </c>
      <c r="K486">
        <v>1205.58</v>
      </c>
      <c r="L486">
        <v>1205.58</v>
      </c>
      <c r="M486" s="102" t="s">
        <v>1099</v>
      </c>
      <c r="N486" s="102" t="s">
        <v>1481</v>
      </c>
      <c r="O486" s="93">
        <v>46102</v>
      </c>
    </row>
    <row r="487" spans="1:15" x14ac:dyDescent="0.3">
      <c r="A487" s="102" t="s">
        <v>1953</v>
      </c>
      <c r="B487" t="s">
        <v>1954</v>
      </c>
      <c r="C487" s="93">
        <v>46103</v>
      </c>
      <c r="D487" s="93">
        <v>46122</v>
      </c>
      <c r="E487" s="93">
        <v>46127</v>
      </c>
      <c r="F487" s="102" t="s">
        <v>1571</v>
      </c>
      <c r="G487" s="102" t="s">
        <v>2008</v>
      </c>
      <c r="H487" s="102" t="s">
        <v>1480</v>
      </c>
      <c r="I487">
        <v>100</v>
      </c>
      <c r="J487">
        <v>100</v>
      </c>
      <c r="K487">
        <v>100</v>
      </c>
      <c r="L487">
        <v>100</v>
      </c>
      <c r="M487" s="102" t="s">
        <v>1099</v>
      </c>
      <c r="N487" s="102" t="s">
        <v>1481</v>
      </c>
      <c r="O487" s="93">
        <v>46103</v>
      </c>
    </row>
    <row r="488" spans="1:15" x14ac:dyDescent="0.3">
      <c r="A488" s="102" t="s">
        <v>1953</v>
      </c>
      <c r="B488" t="s">
        <v>1954</v>
      </c>
      <c r="C488" s="93">
        <v>46103</v>
      </c>
      <c r="D488" s="93">
        <v>46127</v>
      </c>
      <c r="E488" s="93">
        <v>46127</v>
      </c>
      <c r="F488" s="102" t="s">
        <v>1571</v>
      </c>
      <c r="G488" s="102" t="s">
        <v>2014</v>
      </c>
      <c r="H488" s="102" t="s">
        <v>1480</v>
      </c>
      <c r="I488">
        <v>131.80000000000001</v>
      </c>
      <c r="J488">
        <v>131.80000000000001</v>
      </c>
      <c r="K488">
        <v>131.80000000000001</v>
      </c>
      <c r="L488">
        <v>131.80000000000001</v>
      </c>
      <c r="M488" s="102" t="s">
        <v>1099</v>
      </c>
      <c r="N488" s="102" t="s">
        <v>1481</v>
      </c>
      <c r="O488" s="93">
        <v>46103</v>
      </c>
    </row>
    <row r="489" spans="1:15" x14ac:dyDescent="0.3">
      <c r="A489" s="102" t="s">
        <v>1953</v>
      </c>
      <c r="B489" t="s">
        <v>1954</v>
      </c>
      <c r="C489" s="93">
        <v>46105</v>
      </c>
      <c r="D489" s="93">
        <v>46127</v>
      </c>
      <c r="E489" s="93">
        <v>46127</v>
      </c>
      <c r="F489" s="102" t="s">
        <v>1571</v>
      </c>
      <c r="G489" s="102" t="s">
        <v>2015</v>
      </c>
      <c r="H489" s="102" t="s">
        <v>1480</v>
      </c>
      <c r="I489">
        <v>100</v>
      </c>
      <c r="J489">
        <v>100</v>
      </c>
      <c r="K489">
        <v>100</v>
      </c>
      <c r="L489">
        <v>100</v>
      </c>
      <c r="M489" s="102" t="s">
        <v>1099</v>
      </c>
      <c r="N489" s="102" t="s">
        <v>1481</v>
      </c>
      <c r="O489" s="93">
        <v>46105</v>
      </c>
    </row>
    <row r="490" spans="1:15" x14ac:dyDescent="0.3">
      <c r="A490" s="102" t="s">
        <v>1953</v>
      </c>
      <c r="B490" t="s">
        <v>1954</v>
      </c>
      <c r="C490" s="93">
        <v>46108</v>
      </c>
      <c r="D490" s="93">
        <v>46127</v>
      </c>
      <c r="E490" s="93">
        <v>46127</v>
      </c>
      <c r="F490" s="102" t="s">
        <v>1571</v>
      </c>
      <c r="G490" s="102" t="s">
        <v>2018</v>
      </c>
      <c r="H490" s="102" t="s">
        <v>1480</v>
      </c>
      <c r="I490">
        <v>70</v>
      </c>
      <c r="J490">
        <v>70</v>
      </c>
      <c r="K490">
        <v>70</v>
      </c>
      <c r="L490">
        <v>70</v>
      </c>
      <c r="M490" s="102" t="s">
        <v>1099</v>
      </c>
      <c r="N490" s="102" t="s">
        <v>1481</v>
      </c>
      <c r="O490" s="93">
        <v>46108</v>
      </c>
    </row>
    <row r="491" spans="1:15" x14ac:dyDescent="0.3">
      <c r="A491" s="102" t="s">
        <v>1953</v>
      </c>
      <c r="B491" t="s">
        <v>1954</v>
      </c>
      <c r="C491" s="93">
        <v>46108</v>
      </c>
      <c r="D491" s="93">
        <v>46127</v>
      </c>
      <c r="E491" s="93">
        <v>46127</v>
      </c>
      <c r="F491" s="102" t="s">
        <v>1571</v>
      </c>
      <c r="G491" s="102" t="s">
        <v>2008</v>
      </c>
      <c r="H491" s="102" t="s">
        <v>1480</v>
      </c>
      <c r="I491">
        <v>50</v>
      </c>
      <c r="J491">
        <v>50</v>
      </c>
      <c r="K491">
        <v>50</v>
      </c>
      <c r="L491">
        <v>50</v>
      </c>
      <c r="M491" s="102" t="s">
        <v>1099</v>
      </c>
      <c r="N491" s="102" t="s">
        <v>1481</v>
      </c>
      <c r="O491" s="93">
        <v>46108</v>
      </c>
    </row>
    <row r="492" spans="1:15" x14ac:dyDescent="0.3">
      <c r="A492" s="102" t="s">
        <v>1953</v>
      </c>
      <c r="B492" t="s">
        <v>1954</v>
      </c>
      <c r="C492" s="93">
        <v>46129</v>
      </c>
      <c r="D492" s="93">
        <v>46129</v>
      </c>
      <c r="E492" s="93">
        <v>46129</v>
      </c>
      <c r="F492" s="102" t="s">
        <v>1978</v>
      </c>
      <c r="G492" s="102" t="s">
        <v>1998</v>
      </c>
      <c r="H492" s="102" t="s">
        <v>1480</v>
      </c>
      <c r="I492">
        <v>150</v>
      </c>
      <c r="J492">
        <v>150</v>
      </c>
      <c r="K492">
        <v>150</v>
      </c>
      <c r="L492">
        <v>150</v>
      </c>
      <c r="M492" s="102" t="s">
        <v>1099</v>
      </c>
      <c r="N492" s="102" t="s">
        <v>1481</v>
      </c>
      <c r="O492" s="93">
        <v>46129</v>
      </c>
    </row>
    <row r="493" spans="1:15" x14ac:dyDescent="0.3">
      <c r="A493" s="102" t="s">
        <v>1953</v>
      </c>
      <c r="B493" t="s">
        <v>1954</v>
      </c>
      <c r="C493" s="93">
        <v>46130</v>
      </c>
      <c r="D493" s="93">
        <v>46130</v>
      </c>
      <c r="E493" s="93">
        <v>46130</v>
      </c>
      <c r="F493" s="102" t="s">
        <v>1978</v>
      </c>
      <c r="G493" s="102" t="s">
        <v>1999</v>
      </c>
      <c r="H493" s="102" t="s">
        <v>1480</v>
      </c>
      <c r="I493">
        <v>354.74</v>
      </c>
      <c r="J493">
        <v>354.74</v>
      </c>
      <c r="K493">
        <v>354.74</v>
      </c>
      <c r="L493">
        <v>354.74</v>
      </c>
      <c r="M493" s="102" t="s">
        <v>1099</v>
      </c>
      <c r="N493" s="102" t="s">
        <v>1481</v>
      </c>
      <c r="O493" s="93">
        <v>46130</v>
      </c>
    </row>
    <row r="494" spans="1:15" x14ac:dyDescent="0.3">
      <c r="A494" s="102" t="s">
        <v>1953</v>
      </c>
      <c r="B494" t="s">
        <v>1954</v>
      </c>
      <c r="C494" s="93">
        <v>46143</v>
      </c>
      <c r="D494" s="93">
        <v>46143</v>
      </c>
      <c r="E494" s="93">
        <v>46143</v>
      </c>
      <c r="F494" s="102" t="s">
        <v>1978</v>
      </c>
      <c r="G494" s="102" t="s">
        <v>2031</v>
      </c>
      <c r="H494" s="102" t="s">
        <v>1480</v>
      </c>
      <c r="I494">
        <v>291.54000000000002</v>
      </c>
      <c r="J494">
        <v>291.54000000000002</v>
      </c>
      <c r="K494">
        <v>291.54000000000002</v>
      </c>
      <c r="L494">
        <v>291.54000000000002</v>
      </c>
      <c r="M494" s="102" t="s">
        <v>1099</v>
      </c>
      <c r="N494" s="102" t="s">
        <v>1481</v>
      </c>
      <c r="O494" s="93">
        <v>46143</v>
      </c>
    </row>
    <row r="495" spans="1:15" x14ac:dyDescent="0.3">
      <c r="A495" s="102" t="s">
        <v>1953</v>
      </c>
      <c r="B495" t="s">
        <v>1954</v>
      </c>
      <c r="C495" s="93">
        <v>46058</v>
      </c>
      <c r="D495" s="93">
        <v>46060</v>
      </c>
      <c r="E495" s="93">
        <v>46060</v>
      </c>
      <c r="F495" s="102" t="s">
        <v>1571</v>
      </c>
      <c r="G495" s="102" t="s">
        <v>2005</v>
      </c>
      <c r="H495" s="102" t="s">
        <v>1480</v>
      </c>
      <c r="I495">
        <v>775.81</v>
      </c>
      <c r="J495">
        <v>775.81</v>
      </c>
      <c r="K495">
        <v>775.81</v>
      </c>
      <c r="L495">
        <v>775.81</v>
      </c>
      <c r="M495" s="102" t="s">
        <v>1099</v>
      </c>
      <c r="N495" s="102" t="s">
        <v>1481</v>
      </c>
      <c r="O495" s="93">
        <v>46030</v>
      </c>
    </row>
    <row r="496" spans="1:15" x14ac:dyDescent="0.3">
      <c r="A496" s="102" t="s">
        <v>1953</v>
      </c>
      <c r="B496" t="s">
        <v>1954</v>
      </c>
      <c r="C496" s="93">
        <v>46058</v>
      </c>
      <c r="D496" s="93">
        <v>46060</v>
      </c>
      <c r="E496" s="93">
        <v>46060</v>
      </c>
      <c r="F496" s="102" t="s">
        <v>1571</v>
      </c>
      <c r="G496" s="102" t="s">
        <v>2000</v>
      </c>
      <c r="H496" s="102" t="s">
        <v>1480</v>
      </c>
      <c r="I496">
        <v>451.26</v>
      </c>
      <c r="J496">
        <v>451.26</v>
      </c>
      <c r="K496">
        <v>451.26</v>
      </c>
      <c r="L496">
        <v>451.26</v>
      </c>
      <c r="M496" s="102" t="s">
        <v>1099</v>
      </c>
      <c r="N496" s="102" t="s">
        <v>1481</v>
      </c>
      <c r="O496" s="93">
        <v>46046</v>
      </c>
    </row>
    <row r="497" spans="1:15" x14ac:dyDescent="0.3">
      <c r="A497" s="102" t="s">
        <v>1953</v>
      </c>
      <c r="B497" t="s">
        <v>1954</v>
      </c>
      <c r="C497" s="93">
        <v>46058</v>
      </c>
      <c r="D497" s="93">
        <v>46060</v>
      </c>
      <c r="E497" s="93">
        <v>46060</v>
      </c>
      <c r="F497" s="102" t="s">
        <v>1571</v>
      </c>
      <c r="G497" s="102" t="s">
        <v>2002</v>
      </c>
      <c r="H497" s="102" t="s">
        <v>1480</v>
      </c>
      <c r="I497">
        <v>333.4</v>
      </c>
      <c r="J497">
        <v>333.4</v>
      </c>
      <c r="K497">
        <v>333.4</v>
      </c>
      <c r="L497">
        <v>333.4</v>
      </c>
      <c r="M497" s="102" t="s">
        <v>1099</v>
      </c>
      <c r="N497" s="102" t="s">
        <v>1481</v>
      </c>
      <c r="O497" s="93">
        <v>46046</v>
      </c>
    </row>
    <row r="498" spans="1:15" x14ac:dyDescent="0.3">
      <c r="A498" s="102" t="s">
        <v>1953</v>
      </c>
      <c r="B498" t="s">
        <v>1954</v>
      </c>
      <c r="C498" s="93">
        <v>46088</v>
      </c>
      <c r="D498" s="93">
        <v>46090</v>
      </c>
      <c r="E498" s="93">
        <v>46090</v>
      </c>
      <c r="F498" s="102" t="s">
        <v>1490</v>
      </c>
      <c r="G498" s="102" t="s">
        <v>1587</v>
      </c>
      <c r="H498" s="102" t="s">
        <v>1480</v>
      </c>
      <c r="I498">
        <v>388.73</v>
      </c>
      <c r="J498">
        <v>47.4</v>
      </c>
      <c r="K498">
        <v>47.4</v>
      </c>
      <c r="L498">
        <v>388.73</v>
      </c>
      <c r="M498" s="102" t="s">
        <v>1099</v>
      </c>
      <c r="N498" s="102" t="s">
        <v>1481</v>
      </c>
      <c r="O498" s="93">
        <v>46055</v>
      </c>
    </row>
    <row r="499" spans="1:15" x14ac:dyDescent="0.3">
      <c r="A499" s="102" t="s">
        <v>1953</v>
      </c>
      <c r="B499" t="s">
        <v>1954</v>
      </c>
      <c r="C499" s="93">
        <v>46058</v>
      </c>
      <c r="D499" s="93">
        <v>46060</v>
      </c>
      <c r="E499" s="93">
        <v>46060</v>
      </c>
      <c r="F499" s="102" t="s">
        <v>1571</v>
      </c>
      <c r="G499" s="102" t="s">
        <v>1996</v>
      </c>
      <c r="H499" s="102" t="s">
        <v>1480</v>
      </c>
      <c r="I499">
        <v>736.25</v>
      </c>
      <c r="J499">
        <v>736.25</v>
      </c>
      <c r="K499">
        <v>736.25</v>
      </c>
      <c r="L499">
        <v>736.25</v>
      </c>
      <c r="M499" s="102" t="s">
        <v>1099</v>
      </c>
      <c r="N499" s="102" t="s">
        <v>1481</v>
      </c>
      <c r="O499" s="93">
        <v>46038</v>
      </c>
    </row>
    <row r="500" spans="1:15" x14ac:dyDescent="0.3">
      <c r="A500" s="102" t="s">
        <v>1953</v>
      </c>
      <c r="B500" t="s">
        <v>1954</v>
      </c>
      <c r="C500" s="93">
        <v>46058</v>
      </c>
      <c r="D500" s="93">
        <v>46060</v>
      </c>
      <c r="E500" s="93">
        <v>46060</v>
      </c>
      <c r="F500" s="102" t="s">
        <v>1571</v>
      </c>
      <c r="G500" s="102" t="s">
        <v>2003</v>
      </c>
      <c r="H500" s="102" t="s">
        <v>1480</v>
      </c>
      <c r="I500">
        <v>469.09</v>
      </c>
      <c r="J500">
        <v>209.09</v>
      </c>
      <c r="K500">
        <v>209.09</v>
      </c>
      <c r="L500">
        <v>469.09</v>
      </c>
      <c r="M500" s="102" t="s">
        <v>1099</v>
      </c>
      <c r="N500" s="102" t="s">
        <v>1481</v>
      </c>
      <c r="O500" s="93">
        <v>46036</v>
      </c>
    </row>
    <row r="501" spans="1:15" x14ac:dyDescent="0.3">
      <c r="A501" s="102" t="s">
        <v>1953</v>
      </c>
      <c r="B501" t="s">
        <v>1954</v>
      </c>
      <c r="C501" s="93">
        <v>46058</v>
      </c>
      <c r="D501" s="93">
        <v>46060</v>
      </c>
      <c r="E501" s="93">
        <v>46060</v>
      </c>
      <c r="F501" s="102" t="s">
        <v>1571</v>
      </c>
      <c r="G501" s="102" t="s">
        <v>2004</v>
      </c>
      <c r="H501" s="102" t="s">
        <v>1480</v>
      </c>
      <c r="I501">
        <v>99.99</v>
      </c>
      <c r="J501">
        <v>99.99</v>
      </c>
      <c r="K501">
        <v>99.99</v>
      </c>
      <c r="L501">
        <v>99.99</v>
      </c>
      <c r="M501" s="102" t="s">
        <v>1099</v>
      </c>
      <c r="N501" s="102" t="s">
        <v>1481</v>
      </c>
      <c r="O501" s="93">
        <v>46033</v>
      </c>
    </row>
    <row r="502" spans="1:15" x14ac:dyDescent="0.3">
      <c r="A502" s="102" t="s">
        <v>1953</v>
      </c>
      <c r="B502" t="s">
        <v>1954</v>
      </c>
      <c r="C502" s="93">
        <v>46067</v>
      </c>
      <c r="D502" s="93">
        <v>46067</v>
      </c>
      <c r="E502" s="93">
        <v>46067</v>
      </c>
      <c r="F502" s="102" t="s">
        <v>1978</v>
      </c>
      <c r="G502" s="102" t="s">
        <v>2034</v>
      </c>
      <c r="H502" s="102" t="s">
        <v>1480</v>
      </c>
      <c r="I502">
        <v>307.39</v>
      </c>
      <c r="J502">
        <v>307.39</v>
      </c>
      <c r="K502">
        <v>307.39</v>
      </c>
      <c r="L502">
        <v>307.39</v>
      </c>
      <c r="M502" s="102" t="s">
        <v>1099</v>
      </c>
      <c r="N502" s="102" t="s">
        <v>1481</v>
      </c>
      <c r="O502" s="93">
        <v>46067</v>
      </c>
    </row>
    <row r="503" spans="1:15" x14ac:dyDescent="0.3">
      <c r="A503" s="102" t="s">
        <v>1953</v>
      </c>
      <c r="B503" t="s">
        <v>1954</v>
      </c>
      <c r="C503" s="93">
        <v>46029</v>
      </c>
      <c r="D503" s="93">
        <v>46029</v>
      </c>
      <c r="E503" s="93">
        <v>46029</v>
      </c>
      <c r="F503" s="102" t="s">
        <v>1978</v>
      </c>
      <c r="G503" s="102" t="s">
        <v>1979</v>
      </c>
      <c r="H503" s="102" t="s">
        <v>1480</v>
      </c>
      <c r="I503">
        <v>125.44</v>
      </c>
      <c r="J503">
        <v>125.44</v>
      </c>
      <c r="K503">
        <v>125.44</v>
      </c>
      <c r="L503">
        <v>125.44</v>
      </c>
      <c r="M503" s="102" t="s">
        <v>1099</v>
      </c>
      <c r="N503" s="102" t="s">
        <v>1481</v>
      </c>
      <c r="O503" s="93">
        <v>46029</v>
      </c>
    </row>
    <row r="504" spans="1:15" x14ac:dyDescent="0.3">
      <c r="A504" s="102" t="s">
        <v>1953</v>
      </c>
      <c r="B504" t="s">
        <v>1954</v>
      </c>
      <c r="C504" s="93">
        <v>46086</v>
      </c>
      <c r="D504" s="93">
        <v>46086</v>
      </c>
      <c r="E504" s="93">
        <v>46086</v>
      </c>
      <c r="F504" s="102" t="s">
        <v>1571</v>
      </c>
      <c r="G504" s="102" t="s">
        <v>2027</v>
      </c>
      <c r="H504" s="102" t="s">
        <v>1480</v>
      </c>
      <c r="I504">
        <v>802</v>
      </c>
      <c r="J504">
        <v>802</v>
      </c>
      <c r="K504">
        <v>802</v>
      </c>
      <c r="L504">
        <v>802</v>
      </c>
      <c r="M504" s="102" t="s">
        <v>1099</v>
      </c>
      <c r="N504" s="102" t="s">
        <v>1481</v>
      </c>
      <c r="O504" s="93">
        <v>46059</v>
      </c>
    </row>
    <row r="505" spans="1:15" x14ac:dyDescent="0.3">
      <c r="A505" s="102" t="s">
        <v>1953</v>
      </c>
      <c r="B505" t="s">
        <v>1954</v>
      </c>
      <c r="C505" s="93">
        <v>46086</v>
      </c>
      <c r="D505" s="93">
        <v>46086</v>
      </c>
      <c r="E505" s="93">
        <v>46086</v>
      </c>
      <c r="F505" s="102" t="s">
        <v>1571</v>
      </c>
      <c r="G505" s="102" t="s">
        <v>2022</v>
      </c>
      <c r="H505" s="102" t="s">
        <v>1480</v>
      </c>
      <c r="I505">
        <v>495.6</v>
      </c>
      <c r="J505">
        <v>235.6</v>
      </c>
      <c r="K505">
        <v>235.6</v>
      </c>
      <c r="L505">
        <v>495.6</v>
      </c>
      <c r="M505" s="102" t="s">
        <v>1099</v>
      </c>
      <c r="N505" s="102" t="s">
        <v>1481</v>
      </c>
      <c r="O505" s="93">
        <v>46065</v>
      </c>
    </row>
    <row r="506" spans="1:15" x14ac:dyDescent="0.3">
      <c r="A506" s="102" t="s">
        <v>1953</v>
      </c>
      <c r="B506" t="s">
        <v>1954</v>
      </c>
      <c r="C506" s="93">
        <v>46086</v>
      </c>
      <c r="D506" s="93">
        <v>46086</v>
      </c>
      <c r="E506" s="93">
        <v>46086</v>
      </c>
      <c r="F506" s="102" t="s">
        <v>1571</v>
      </c>
      <c r="G506" s="102" t="s">
        <v>2026</v>
      </c>
      <c r="H506" s="102" t="s">
        <v>1480</v>
      </c>
      <c r="I506">
        <v>2945</v>
      </c>
      <c r="J506">
        <v>2945</v>
      </c>
      <c r="K506">
        <v>2945</v>
      </c>
      <c r="L506">
        <v>2945</v>
      </c>
      <c r="M506" s="102" t="s">
        <v>1099</v>
      </c>
      <c r="N506" s="102" t="s">
        <v>1481</v>
      </c>
      <c r="O506" s="93">
        <v>46072</v>
      </c>
    </row>
    <row r="507" spans="1:15" x14ac:dyDescent="0.3">
      <c r="A507" s="102" t="s">
        <v>1953</v>
      </c>
      <c r="B507" t="s">
        <v>1954</v>
      </c>
      <c r="C507" s="93">
        <v>46086</v>
      </c>
      <c r="D507" s="93">
        <v>46086</v>
      </c>
      <c r="E507" s="93">
        <v>46086</v>
      </c>
      <c r="F507" s="102" t="s">
        <v>1571</v>
      </c>
      <c r="G507" s="102" t="s">
        <v>2030</v>
      </c>
      <c r="H507" s="102" t="s">
        <v>1480</v>
      </c>
      <c r="I507">
        <v>100</v>
      </c>
      <c r="J507">
        <v>100</v>
      </c>
      <c r="K507">
        <v>100</v>
      </c>
      <c r="L507">
        <v>100</v>
      </c>
      <c r="M507" s="102" t="s">
        <v>1099</v>
      </c>
      <c r="N507" s="102" t="s">
        <v>1481</v>
      </c>
      <c r="O507" s="93">
        <v>46079</v>
      </c>
    </row>
    <row r="508" spans="1:15" x14ac:dyDescent="0.3">
      <c r="A508" s="102" t="s">
        <v>1953</v>
      </c>
      <c r="B508" t="s">
        <v>1954</v>
      </c>
      <c r="C508" s="93">
        <v>46086</v>
      </c>
      <c r="D508" s="93">
        <v>46086</v>
      </c>
      <c r="E508" s="93">
        <v>46086</v>
      </c>
      <c r="F508" s="102" t="s">
        <v>1571</v>
      </c>
      <c r="G508" s="102" t="s">
        <v>2028</v>
      </c>
      <c r="H508" s="102" t="s">
        <v>1480</v>
      </c>
      <c r="I508">
        <v>100</v>
      </c>
      <c r="J508">
        <v>100</v>
      </c>
      <c r="K508">
        <v>100</v>
      </c>
      <c r="L508">
        <v>100</v>
      </c>
      <c r="M508" s="102" t="s">
        <v>1099</v>
      </c>
      <c r="N508" s="102" t="s">
        <v>1481</v>
      </c>
      <c r="O508" s="93">
        <v>46077</v>
      </c>
    </row>
    <row r="509" spans="1:15" x14ac:dyDescent="0.3">
      <c r="A509" s="102" t="s">
        <v>1953</v>
      </c>
      <c r="B509" t="s">
        <v>1954</v>
      </c>
      <c r="C509" s="93">
        <v>46088</v>
      </c>
      <c r="D509" s="93">
        <v>46088</v>
      </c>
      <c r="E509" s="93">
        <v>46088</v>
      </c>
      <c r="F509" s="102" t="s">
        <v>1978</v>
      </c>
      <c r="G509" s="102" t="s">
        <v>2021</v>
      </c>
      <c r="H509" s="102" t="s">
        <v>1480</v>
      </c>
      <c r="I509">
        <v>200.01</v>
      </c>
      <c r="J509">
        <v>200.01</v>
      </c>
      <c r="K509">
        <v>200.01</v>
      </c>
      <c r="L509">
        <v>200.01</v>
      </c>
      <c r="M509" s="102" t="s">
        <v>1099</v>
      </c>
      <c r="N509" s="102" t="s">
        <v>1481</v>
      </c>
      <c r="O509" s="93">
        <v>46088</v>
      </c>
    </row>
    <row r="510" spans="1:15" x14ac:dyDescent="0.3">
      <c r="A510" s="102" t="s">
        <v>1953</v>
      </c>
      <c r="B510" t="s">
        <v>1954</v>
      </c>
      <c r="C510" s="93">
        <v>46149</v>
      </c>
      <c r="D510" s="93">
        <v>46149</v>
      </c>
      <c r="E510" s="93">
        <v>46149</v>
      </c>
      <c r="F510" s="102" t="s">
        <v>1571</v>
      </c>
      <c r="G510" s="102" t="s">
        <v>1957</v>
      </c>
      <c r="H510" s="102" t="s">
        <v>1480</v>
      </c>
      <c r="I510">
        <v>197.44</v>
      </c>
      <c r="J510">
        <v>197.44</v>
      </c>
      <c r="K510">
        <v>197.44</v>
      </c>
      <c r="L510">
        <v>197.44</v>
      </c>
      <c r="M510" s="102" t="s">
        <v>1099</v>
      </c>
      <c r="N510" s="102" t="s">
        <v>1481</v>
      </c>
      <c r="O510" s="93">
        <v>46144</v>
      </c>
    </row>
    <row r="511" spans="1:15" x14ac:dyDescent="0.3">
      <c r="A511" s="102" t="s">
        <v>1953</v>
      </c>
      <c r="B511" t="s">
        <v>1954</v>
      </c>
      <c r="C511" s="93">
        <v>46058</v>
      </c>
      <c r="D511" s="93">
        <v>46060</v>
      </c>
      <c r="E511" s="93">
        <v>46060</v>
      </c>
      <c r="F511" s="102" t="s">
        <v>1571</v>
      </c>
      <c r="G511" s="102" t="s">
        <v>2001</v>
      </c>
      <c r="H511" s="102" t="s">
        <v>1480</v>
      </c>
      <c r="I511">
        <v>1373.62</v>
      </c>
      <c r="J511">
        <v>1373.62</v>
      </c>
      <c r="K511">
        <v>1373.62</v>
      </c>
      <c r="L511">
        <v>1373.62</v>
      </c>
      <c r="M511" s="102" t="s">
        <v>1099</v>
      </c>
      <c r="N511" s="102" t="s">
        <v>1481</v>
      </c>
      <c r="O511" s="93">
        <v>46041</v>
      </c>
    </row>
    <row r="512" spans="1:15" x14ac:dyDescent="0.3">
      <c r="A512" s="102" t="s">
        <v>1953</v>
      </c>
      <c r="B512" t="s">
        <v>1954</v>
      </c>
      <c r="C512" s="93">
        <v>46149</v>
      </c>
      <c r="D512" s="93">
        <v>46149</v>
      </c>
      <c r="E512" s="93">
        <v>46149</v>
      </c>
      <c r="F512" s="102" t="s">
        <v>1571</v>
      </c>
      <c r="G512" s="102" t="s">
        <v>2032</v>
      </c>
      <c r="H512" s="102" t="s">
        <v>1480</v>
      </c>
      <c r="I512">
        <v>1222.25</v>
      </c>
      <c r="J512">
        <v>1222.25</v>
      </c>
      <c r="K512">
        <v>1222.25</v>
      </c>
      <c r="L512">
        <v>1222.25</v>
      </c>
      <c r="M512" s="102" t="s">
        <v>1099</v>
      </c>
      <c r="N512" s="102" t="s">
        <v>1481</v>
      </c>
      <c r="O512" s="93">
        <v>46115</v>
      </c>
    </row>
    <row r="513" spans="1:15" x14ac:dyDescent="0.3">
      <c r="A513" s="102" t="s">
        <v>1953</v>
      </c>
      <c r="B513" t="s">
        <v>1954</v>
      </c>
      <c r="C513" s="93">
        <v>46149</v>
      </c>
      <c r="D513" s="93">
        <v>46149</v>
      </c>
      <c r="E513" s="93">
        <v>46149</v>
      </c>
      <c r="F513" s="102" t="s">
        <v>1571</v>
      </c>
      <c r="G513" s="102" t="s">
        <v>1967</v>
      </c>
      <c r="H513" s="102" t="s">
        <v>1480</v>
      </c>
      <c r="I513">
        <v>70</v>
      </c>
      <c r="J513">
        <v>70</v>
      </c>
      <c r="K513">
        <v>70</v>
      </c>
      <c r="L513">
        <v>70</v>
      </c>
      <c r="M513" s="102" t="s">
        <v>1099</v>
      </c>
      <c r="N513" s="102" t="s">
        <v>1481</v>
      </c>
      <c r="O513" s="93">
        <v>46126</v>
      </c>
    </row>
    <row r="514" spans="1:15" x14ac:dyDescent="0.3">
      <c r="A514" s="102" t="s">
        <v>1953</v>
      </c>
      <c r="B514" t="s">
        <v>1954</v>
      </c>
      <c r="C514" s="93">
        <v>46149</v>
      </c>
      <c r="D514" s="93">
        <v>46149</v>
      </c>
      <c r="E514" s="93">
        <v>46149</v>
      </c>
      <c r="F514" s="102" t="s">
        <v>1571</v>
      </c>
      <c r="G514" s="102" t="s">
        <v>2023</v>
      </c>
      <c r="H514" s="102" t="s">
        <v>1480</v>
      </c>
      <c r="I514">
        <v>1740.43</v>
      </c>
      <c r="J514">
        <v>1740.43</v>
      </c>
      <c r="K514">
        <v>1740.43</v>
      </c>
      <c r="L514">
        <v>1740.43</v>
      </c>
      <c r="M514" s="102" t="s">
        <v>1099</v>
      </c>
      <c r="N514" s="102" t="s">
        <v>1481</v>
      </c>
      <c r="O514" s="93">
        <v>46082</v>
      </c>
    </row>
    <row r="515" spans="1:15" x14ac:dyDescent="0.3">
      <c r="A515" s="102" t="s">
        <v>1953</v>
      </c>
      <c r="B515" t="s">
        <v>1954</v>
      </c>
      <c r="C515" s="93">
        <v>46149</v>
      </c>
      <c r="D515" s="93">
        <v>46149</v>
      </c>
      <c r="E515" s="93">
        <v>46149</v>
      </c>
      <c r="F515" s="102" t="s">
        <v>1571</v>
      </c>
      <c r="G515" s="102" t="s">
        <v>2024</v>
      </c>
      <c r="H515" s="102" t="s">
        <v>1480</v>
      </c>
      <c r="I515">
        <v>100</v>
      </c>
      <c r="J515">
        <v>100</v>
      </c>
      <c r="K515">
        <v>100</v>
      </c>
      <c r="L515">
        <v>100</v>
      </c>
      <c r="M515" s="102" t="s">
        <v>1099</v>
      </c>
      <c r="N515" s="102" t="s">
        <v>1481</v>
      </c>
      <c r="O515" s="93">
        <v>46087</v>
      </c>
    </row>
    <row r="516" spans="1:15" x14ac:dyDescent="0.3">
      <c r="A516" s="102" t="s">
        <v>1953</v>
      </c>
      <c r="B516" t="s">
        <v>1954</v>
      </c>
      <c r="C516" s="93">
        <v>46149</v>
      </c>
      <c r="D516" s="93">
        <v>46149</v>
      </c>
      <c r="E516" s="93">
        <v>46149</v>
      </c>
      <c r="F516" s="102" t="s">
        <v>1571</v>
      </c>
      <c r="G516" s="102" t="s">
        <v>2025</v>
      </c>
      <c r="H516" s="102" t="s">
        <v>1480</v>
      </c>
      <c r="I516">
        <v>50</v>
      </c>
      <c r="J516">
        <v>50</v>
      </c>
      <c r="K516">
        <v>50</v>
      </c>
      <c r="L516">
        <v>50</v>
      </c>
      <c r="M516" s="102" t="s">
        <v>1099</v>
      </c>
      <c r="N516" s="102" t="s">
        <v>1481</v>
      </c>
      <c r="O516" s="93">
        <v>46113</v>
      </c>
    </row>
    <row r="517" spans="1:15" x14ac:dyDescent="0.3">
      <c r="A517" s="102" t="s">
        <v>1953</v>
      </c>
      <c r="B517" t="s">
        <v>1954</v>
      </c>
      <c r="C517" s="93">
        <v>46149</v>
      </c>
      <c r="D517" s="93">
        <v>46149</v>
      </c>
      <c r="E517" s="93">
        <v>46149</v>
      </c>
      <c r="F517" s="102" t="s">
        <v>1571</v>
      </c>
      <c r="G517" s="102" t="s">
        <v>2020</v>
      </c>
      <c r="H517" s="102" t="s">
        <v>1480</v>
      </c>
      <c r="I517">
        <v>100</v>
      </c>
      <c r="J517">
        <v>100</v>
      </c>
      <c r="K517">
        <v>100</v>
      </c>
      <c r="L517">
        <v>100</v>
      </c>
      <c r="M517" s="102" t="s">
        <v>1099</v>
      </c>
      <c r="N517" s="102" t="s">
        <v>1481</v>
      </c>
      <c r="O517" s="93">
        <v>46113</v>
      </c>
    </row>
    <row r="518" spans="1:15" x14ac:dyDescent="0.3">
      <c r="A518" s="102" t="s">
        <v>1953</v>
      </c>
      <c r="B518" t="s">
        <v>1954</v>
      </c>
      <c r="C518" s="93">
        <v>46149</v>
      </c>
      <c r="D518" s="93">
        <v>46149</v>
      </c>
      <c r="E518" s="93">
        <v>46149</v>
      </c>
      <c r="F518" s="102" t="s">
        <v>1571</v>
      </c>
      <c r="G518" s="102" t="s">
        <v>2029</v>
      </c>
      <c r="H518" s="102" t="s">
        <v>1480</v>
      </c>
      <c r="I518">
        <v>170</v>
      </c>
      <c r="J518">
        <v>170</v>
      </c>
      <c r="K518">
        <v>170</v>
      </c>
      <c r="L518">
        <v>170</v>
      </c>
      <c r="M518" s="102" t="s">
        <v>1099</v>
      </c>
      <c r="N518" s="102" t="s">
        <v>1481</v>
      </c>
      <c r="O518" s="93">
        <v>46114</v>
      </c>
    </row>
    <row r="519" spans="1:15" x14ac:dyDescent="0.3">
      <c r="A519" s="102" t="s">
        <v>1953</v>
      </c>
      <c r="B519" t="s">
        <v>1954</v>
      </c>
      <c r="C519" s="93">
        <v>46149</v>
      </c>
      <c r="D519" s="93">
        <v>46149</v>
      </c>
      <c r="E519" s="93">
        <v>46149</v>
      </c>
      <c r="F519" s="102" t="s">
        <v>1571</v>
      </c>
      <c r="G519" s="102" t="s">
        <v>1956</v>
      </c>
      <c r="H519" s="102" t="s">
        <v>1480</v>
      </c>
      <c r="I519">
        <v>190</v>
      </c>
      <c r="J519">
        <v>50</v>
      </c>
      <c r="K519">
        <v>50</v>
      </c>
      <c r="L519">
        <v>190</v>
      </c>
      <c r="M519" s="102" t="s">
        <v>1099</v>
      </c>
      <c r="N519" s="102" t="s">
        <v>1481</v>
      </c>
      <c r="O519" s="93">
        <v>46125</v>
      </c>
    </row>
    <row r="520" spans="1:15" x14ac:dyDescent="0.3">
      <c r="A520" s="102" t="s">
        <v>1953</v>
      </c>
      <c r="B520" t="s">
        <v>1954</v>
      </c>
      <c r="C520" s="93">
        <v>46149</v>
      </c>
      <c r="D520" s="93">
        <v>46149</v>
      </c>
      <c r="E520" s="93">
        <v>46149</v>
      </c>
      <c r="F520" s="102" t="s">
        <v>1571</v>
      </c>
      <c r="G520" s="102" t="s">
        <v>2033</v>
      </c>
      <c r="H520" s="102" t="s">
        <v>1480</v>
      </c>
      <c r="I520">
        <v>859</v>
      </c>
      <c r="J520">
        <v>859</v>
      </c>
      <c r="K520">
        <v>859</v>
      </c>
      <c r="L520">
        <v>859</v>
      </c>
      <c r="M520" s="102" t="s">
        <v>1099</v>
      </c>
      <c r="N520" s="102" t="s">
        <v>1481</v>
      </c>
      <c r="O520" s="93">
        <v>46119</v>
      </c>
    </row>
    <row r="521" spans="1:15" x14ac:dyDescent="0.3">
      <c r="A521" s="102" t="s">
        <v>1953</v>
      </c>
      <c r="B521" t="s">
        <v>1954</v>
      </c>
      <c r="C521" s="93">
        <v>46149</v>
      </c>
      <c r="D521" s="93">
        <v>46149</v>
      </c>
      <c r="E521" s="93">
        <v>46149</v>
      </c>
      <c r="F521" s="102" t="s">
        <v>1571</v>
      </c>
      <c r="G521" s="102" t="s">
        <v>2006</v>
      </c>
      <c r="H521" s="102" t="s">
        <v>1480</v>
      </c>
      <c r="I521">
        <v>70</v>
      </c>
      <c r="J521">
        <v>70</v>
      </c>
      <c r="K521">
        <v>70</v>
      </c>
      <c r="L521">
        <v>70</v>
      </c>
      <c r="M521" s="102" t="s">
        <v>1099</v>
      </c>
      <c r="N521" s="102" t="s">
        <v>1481</v>
      </c>
      <c r="O521" s="93">
        <v>46119</v>
      </c>
    </row>
    <row r="522" spans="1:15" x14ac:dyDescent="0.3">
      <c r="A522" s="102" t="s">
        <v>1953</v>
      </c>
      <c r="B522" t="s">
        <v>1954</v>
      </c>
      <c r="C522" s="93">
        <v>46149</v>
      </c>
      <c r="D522" s="93">
        <v>46149</v>
      </c>
      <c r="E522" s="93">
        <v>46149</v>
      </c>
      <c r="F522" s="102" t="s">
        <v>1571</v>
      </c>
      <c r="G522" s="102" t="s">
        <v>1969</v>
      </c>
      <c r="H522" s="102" t="s">
        <v>1480</v>
      </c>
      <c r="I522">
        <v>70</v>
      </c>
      <c r="J522">
        <v>70</v>
      </c>
      <c r="K522">
        <v>70</v>
      </c>
      <c r="L522">
        <v>70</v>
      </c>
      <c r="M522" s="102" t="s">
        <v>1099</v>
      </c>
      <c r="N522" s="102" t="s">
        <v>1481</v>
      </c>
      <c r="O522" s="93">
        <v>46121</v>
      </c>
    </row>
    <row r="523" spans="1:15" x14ac:dyDescent="0.3">
      <c r="A523" s="102" t="s">
        <v>1953</v>
      </c>
      <c r="B523" t="s">
        <v>1954</v>
      </c>
      <c r="C523" s="93">
        <v>46149</v>
      </c>
      <c r="D523" s="93">
        <v>46149</v>
      </c>
      <c r="E523" s="93">
        <v>46149</v>
      </c>
      <c r="F523" s="102" t="s">
        <v>1571</v>
      </c>
      <c r="G523" s="102" t="s">
        <v>1955</v>
      </c>
      <c r="H523" s="102" t="s">
        <v>1480</v>
      </c>
      <c r="I523">
        <v>150</v>
      </c>
      <c r="J523">
        <v>150</v>
      </c>
      <c r="K523">
        <v>150</v>
      </c>
      <c r="L523">
        <v>150</v>
      </c>
      <c r="M523" s="102" t="s">
        <v>1099</v>
      </c>
      <c r="N523" s="102" t="s">
        <v>1481</v>
      </c>
      <c r="O523" s="93">
        <v>46129</v>
      </c>
    </row>
    <row r="524" spans="1:15" x14ac:dyDescent="0.3">
      <c r="A524" s="102" t="s">
        <v>1953</v>
      </c>
      <c r="B524" t="s">
        <v>1954</v>
      </c>
      <c r="C524" s="93">
        <v>46149</v>
      </c>
      <c r="D524" s="93">
        <v>46149</v>
      </c>
      <c r="E524" s="93">
        <v>46149</v>
      </c>
      <c r="F524" s="102" t="s">
        <v>1571</v>
      </c>
      <c r="G524" s="102" t="s">
        <v>1960</v>
      </c>
      <c r="H524" s="102" t="s">
        <v>1480</v>
      </c>
      <c r="I524">
        <v>70</v>
      </c>
      <c r="J524">
        <v>70</v>
      </c>
      <c r="K524">
        <v>70</v>
      </c>
      <c r="L524">
        <v>70</v>
      </c>
      <c r="M524" s="102" t="s">
        <v>1099</v>
      </c>
      <c r="N524" s="102" t="s">
        <v>1481</v>
      </c>
      <c r="O524" s="93">
        <v>46123</v>
      </c>
    </row>
    <row r="525" spans="1:15" x14ac:dyDescent="0.3">
      <c r="A525" s="102" t="s">
        <v>1953</v>
      </c>
      <c r="B525" t="s">
        <v>1954</v>
      </c>
      <c r="C525" s="93">
        <v>46149</v>
      </c>
      <c r="D525" s="93">
        <v>46149</v>
      </c>
      <c r="E525" s="93">
        <v>46149</v>
      </c>
      <c r="F525" s="102" t="s">
        <v>1571</v>
      </c>
      <c r="G525" s="102" t="s">
        <v>1965</v>
      </c>
      <c r="H525" s="102" t="s">
        <v>1480</v>
      </c>
      <c r="I525">
        <v>100</v>
      </c>
      <c r="J525">
        <v>100</v>
      </c>
      <c r="K525">
        <v>100</v>
      </c>
      <c r="L525">
        <v>100</v>
      </c>
      <c r="M525" s="102" t="s">
        <v>1099</v>
      </c>
      <c r="N525" s="102" t="s">
        <v>1481</v>
      </c>
      <c r="O525" s="93">
        <v>46126</v>
      </c>
    </row>
    <row r="526" spans="1:15" x14ac:dyDescent="0.3">
      <c r="A526" s="102" t="s">
        <v>1953</v>
      </c>
      <c r="B526" t="s">
        <v>1954</v>
      </c>
      <c r="C526" s="93">
        <v>46149</v>
      </c>
      <c r="D526" s="93">
        <v>46149</v>
      </c>
      <c r="E526" s="93">
        <v>46149</v>
      </c>
      <c r="F526" s="102" t="s">
        <v>1571</v>
      </c>
      <c r="G526" s="102" t="s">
        <v>1959</v>
      </c>
      <c r="H526" s="102" t="s">
        <v>1480</v>
      </c>
      <c r="I526">
        <v>70</v>
      </c>
      <c r="J526">
        <v>70</v>
      </c>
      <c r="K526">
        <v>70</v>
      </c>
      <c r="L526">
        <v>70</v>
      </c>
      <c r="M526" s="102" t="s">
        <v>1099</v>
      </c>
      <c r="N526" s="102" t="s">
        <v>1481</v>
      </c>
      <c r="O526" s="93">
        <v>46128</v>
      </c>
    </row>
    <row r="527" spans="1:15" x14ac:dyDescent="0.3">
      <c r="A527" s="102" t="s">
        <v>1953</v>
      </c>
      <c r="B527" t="s">
        <v>1954</v>
      </c>
      <c r="C527" s="93">
        <v>46149</v>
      </c>
      <c r="D527" s="93">
        <v>46149</v>
      </c>
      <c r="E527" s="93">
        <v>46149</v>
      </c>
      <c r="F527" s="102" t="s">
        <v>1571</v>
      </c>
      <c r="G527" s="102" t="s">
        <v>1958</v>
      </c>
      <c r="H527" s="102" t="s">
        <v>1480</v>
      </c>
      <c r="I527">
        <v>50</v>
      </c>
      <c r="J527">
        <v>50</v>
      </c>
      <c r="K527">
        <v>50</v>
      </c>
      <c r="L527">
        <v>50</v>
      </c>
      <c r="M527" s="102" t="s">
        <v>1099</v>
      </c>
      <c r="N527" s="102" t="s">
        <v>1481</v>
      </c>
      <c r="O527" s="93">
        <v>46127</v>
      </c>
    </row>
    <row r="528" spans="1:15" x14ac:dyDescent="0.3">
      <c r="A528" s="102" t="s">
        <v>1953</v>
      </c>
      <c r="B528" t="s">
        <v>1954</v>
      </c>
      <c r="C528" s="93">
        <v>46149</v>
      </c>
      <c r="D528" s="93">
        <v>46149</v>
      </c>
      <c r="E528" s="93">
        <v>46149</v>
      </c>
      <c r="F528" s="102" t="s">
        <v>1571</v>
      </c>
      <c r="G528" s="102" t="s">
        <v>1962</v>
      </c>
      <c r="H528" s="102" t="s">
        <v>1480</v>
      </c>
      <c r="I528">
        <v>1687.05</v>
      </c>
      <c r="J528">
        <v>1687.05</v>
      </c>
      <c r="K528">
        <v>1687.05</v>
      </c>
      <c r="L528">
        <v>1687.05</v>
      </c>
      <c r="M528" s="102" t="s">
        <v>1099</v>
      </c>
      <c r="N528" s="102" t="s">
        <v>1481</v>
      </c>
      <c r="O528" s="93">
        <v>46132</v>
      </c>
    </row>
    <row r="529" spans="1:15" x14ac:dyDescent="0.3">
      <c r="A529" s="102" t="s">
        <v>1953</v>
      </c>
      <c r="B529" t="s">
        <v>1954</v>
      </c>
      <c r="C529" s="93">
        <v>46149</v>
      </c>
      <c r="D529" s="93">
        <v>46149</v>
      </c>
      <c r="E529" s="93">
        <v>46149</v>
      </c>
      <c r="F529" s="102" t="s">
        <v>1571</v>
      </c>
      <c r="G529" s="102" t="s">
        <v>1966</v>
      </c>
      <c r="H529" s="102" t="s">
        <v>1480</v>
      </c>
      <c r="I529">
        <v>846.9</v>
      </c>
      <c r="J529">
        <v>846.9</v>
      </c>
      <c r="K529">
        <v>846.9</v>
      </c>
      <c r="L529">
        <v>846.9</v>
      </c>
      <c r="M529" s="102" t="s">
        <v>1099</v>
      </c>
      <c r="N529" s="102" t="s">
        <v>1481</v>
      </c>
      <c r="O529" s="93">
        <v>46142</v>
      </c>
    </row>
    <row r="530" spans="1:15" x14ac:dyDescent="0.3">
      <c r="A530" s="102" t="s">
        <v>1953</v>
      </c>
      <c r="B530" t="s">
        <v>1954</v>
      </c>
      <c r="C530" s="93">
        <v>46149</v>
      </c>
      <c r="D530" s="93">
        <v>46149</v>
      </c>
      <c r="E530" s="93">
        <v>46149</v>
      </c>
      <c r="F530" s="102" t="s">
        <v>1571</v>
      </c>
      <c r="G530" s="102" t="s">
        <v>1968</v>
      </c>
      <c r="H530" s="102" t="s">
        <v>1480</v>
      </c>
      <c r="I530">
        <v>165.9</v>
      </c>
      <c r="J530">
        <v>165.9</v>
      </c>
      <c r="K530">
        <v>165.9</v>
      </c>
      <c r="L530">
        <v>165.9</v>
      </c>
      <c r="M530" s="102" t="s">
        <v>1099</v>
      </c>
      <c r="N530" s="102" t="s">
        <v>1481</v>
      </c>
      <c r="O530" s="93">
        <v>46141</v>
      </c>
    </row>
    <row r="531" spans="1:15" x14ac:dyDescent="0.3">
      <c r="A531" s="102" t="s">
        <v>1953</v>
      </c>
      <c r="B531" t="s">
        <v>1954</v>
      </c>
      <c r="C531" s="93">
        <v>46149</v>
      </c>
      <c r="D531" s="93">
        <v>46149</v>
      </c>
      <c r="E531" s="93">
        <v>46149</v>
      </c>
      <c r="F531" s="102" t="s">
        <v>1571</v>
      </c>
      <c r="G531" s="102" t="s">
        <v>1572</v>
      </c>
      <c r="H531" s="102" t="s">
        <v>1480</v>
      </c>
      <c r="I531">
        <v>906.08</v>
      </c>
      <c r="J531">
        <v>886.08</v>
      </c>
      <c r="K531">
        <v>886.08</v>
      </c>
      <c r="L531">
        <v>906.08</v>
      </c>
      <c r="M531" s="102" t="s">
        <v>1099</v>
      </c>
      <c r="N531" s="102" t="s">
        <v>1481</v>
      </c>
      <c r="O531" s="93">
        <v>46140</v>
      </c>
    </row>
    <row r="532" spans="1:15" x14ac:dyDescent="0.3">
      <c r="A532" s="102" t="s">
        <v>1953</v>
      </c>
      <c r="B532" t="s">
        <v>1954</v>
      </c>
      <c r="C532" s="93">
        <v>46149</v>
      </c>
      <c r="D532" s="93">
        <v>46149</v>
      </c>
      <c r="E532" s="93">
        <v>46149</v>
      </c>
      <c r="F532" s="102" t="s">
        <v>1571</v>
      </c>
      <c r="G532" s="102" t="s">
        <v>1964</v>
      </c>
      <c r="H532" s="102" t="s">
        <v>1480</v>
      </c>
      <c r="I532">
        <v>580.05999999999995</v>
      </c>
      <c r="J532">
        <v>580.05999999999995</v>
      </c>
      <c r="K532">
        <v>580.05999999999995</v>
      </c>
      <c r="L532">
        <v>580.05999999999995</v>
      </c>
      <c r="M532" s="102" t="s">
        <v>1099</v>
      </c>
      <c r="N532" s="102" t="s">
        <v>1481</v>
      </c>
      <c r="O532" s="93">
        <v>46138</v>
      </c>
    </row>
    <row r="533" spans="1:15" x14ac:dyDescent="0.3">
      <c r="A533" s="102" t="s">
        <v>1953</v>
      </c>
      <c r="B533" t="s">
        <v>1954</v>
      </c>
      <c r="C533" s="93">
        <v>46149</v>
      </c>
      <c r="D533" s="93">
        <v>46149</v>
      </c>
      <c r="E533" s="93">
        <v>46149</v>
      </c>
      <c r="F533" s="102" t="s">
        <v>1571</v>
      </c>
      <c r="G533" s="102" t="s">
        <v>1963</v>
      </c>
      <c r="H533" s="102" t="s">
        <v>1480</v>
      </c>
      <c r="I533">
        <v>799</v>
      </c>
      <c r="J533">
        <v>799</v>
      </c>
      <c r="K533">
        <v>799</v>
      </c>
      <c r="L533">
        <v>799</v>
      </c>
      <c r="M533" s="102" t="s">
        <v>1099</v>
      </c>
      <c r="N533" s="102" t="s">
        <v>1481</v>
      </c>
      <c r="O533" s="93">
        <v>46136</v>
      </c>
    </row>
    <row r="534" spans="1:15" x14ac:dyDescent="0.3">
      <c r="A534" s="102" t="s">
        <v>1953</v>
      </c>
      <c r="B534" t="s">
        <v>1954</v>
      </c>
      <c r="C534" s="93">
        <v>46149</v>
      </c>
      <c r="D534" s="93">
        <v>46149</v>
      </c>
      <c r="E534" s="93">
        <v>46149</v>
      </c>
      <c r="F534" s="102" t="s">
        <v>1571</v>
      </c>
      <c r="G534" s="102" t="s">
        <v>1961</v>
      </c>
      <c r="H534" s="102" t="s">
        <v>1480</v>
      </c>
      <c r="I534">
        <v>100</v>
      </c>
      <c r="J534">
        <v>100</v>
      </c>
      <c r="K534">
        <v>100</v>
      </c>
      <c r="L534">
        <v>100</v>
      </c>
      <c r="M534" s="102" t="s">
        <v>1099</v>
      </c>
      <c r="N534" s="102" t="s">
        <v>1481</v>
      </c>
      <c r="O534" s="93">
        <v>46134</v>
      </c>
    </row>
    <row r="535" spans="1:15" x14ac:dyDescent="0.3">
      <c r="A535" s="102" t="s">
        <v>2035</v>
      </c>
      <c r="B535" t="s">
        <v>2036</v>
      </c>
      <c r="C535" s="93">
        <v>46231</v>
      </c>
      <c r="D535" s="93"/>
      <c r="E535" s="93"/>
      <c r="F535" s="102" t="s">
        <v>2037</v>
      </c>
      <c r="G535" s="102" t="s">
        <v>2352</v>
      </c>
      <c r="H535" s="102" t="s">
        <v>1480</v>
      </c>
      <c r="I535">
        <v>190</v>
      </c>
      <c r="J535">
        <v>190</v>
      </c>
      <c r="K535">
        <v>190</v>
      </c>
      <c r="L535">
        <v>0</v>
      </c>
      <c r="M535" s="102" t="s">
        <v>1099</v>
      </c>
      <c r="N535" s="102" t="s">
        <v>1481</v>
      </c>
      <c r="O535" s="93">
        <v>46204</v>
      </c>
    </row>
    <row r="536" spans="1:15" x14ac:dyDescent="0.3">
      <c r="A536" s="102" t="s">
        <v>2035</v>
      </c>
      <c r="B536" t="s">
        <v>2036</v>
      </c>
      <c r="C536" s="93">
        <v>46201</v>
      </c>
      <c r="D536" s="93">
        <v>46200</v>
      </c>
      <c r="E536" s="93">
        <v>46201</v>
      </c>
      <c r="F536" s="102" t="s">
        <v>2037</v>
      </c>
      <c r="G536" s="102" t="s">
        <v>2039</v>
      </c>
      <c r="H536" s="102" t="s">
        <v>1480</v>
      </c>
      <c r="I536">
        <v>190</v>
      </c>
      <c r="J536">
        <v>190</v>
      </c>
      <c r="K536">
        <v>190</v>
      </c>
      <c r="L536">
        <v>190</v>
      </c>
      <c r="M536" s="102" t="s">
        <v>1099</v>
      </c>
      <c r="N536" s="102" t="s">
        <v>1481</v>
      </c>
      <c r="O536" s="93">
        <v>46174</v>
      </c>
    </row>
    <row r="537" spans="1:15" x14ac:dyDescent="0.3">
      <c r="A537" s="102" t="s">
        <v>2035</v>
      </c>
      <c r="B537" t="s">
        <v>2036</v>
      </c>
      <c r="C537" s="93">
        <v>46170</v>
      </c>
      <c r="D537" s="93">
        <v>46165</v>
      </c>
      <c r="E537" s="93">
        <v>46165</v>
      </c>
      <c r="F537" s="102" t="s">
        <v>2037</v>
      </c>
      <c r="G537" s="102" t="s">
        <v>2040</v>
      </c>
      <c r="H537" s="102" t="s">
        <v>1480</v>
      </c>
      <c r="I537">
        <v>190</v>
      </c>
      <c r="J537">
        <v>190</v>
      </c>
      <c r="K537">
        <v>190</v>
      </c>
      <c r="L537">
        <v>190</v>
      </c>
      <c r="M537" s="102" t="s">
        <v>1099</v>
      </c>
      <c r="N537" s="102" t="s">
        <v>1481</v>
      </c>
      <c r="O537" s="93">
        <v>46143</v>
      </c>
    </row>
    <row r="538" spans="1:15" x14ac:dyDescent="0.3">
      <c r="A538" s="102" t="s">
        <v>2035</v>
      </c>
      <c r="B538" t="s">
        <v>2036</v>
      </c>
      <c r="C538" s="93">
        <v>46109</v>
      </c>
      <c r="D538" s="93">
        <v>46107</v>
      </c>
      <c r="E538" s="93">
        <v>46109</v>
      </c>
      <c r="F538" s="102" t="s">
        <v>2037</v>
      </c>
      <c r="G538" s="102" t="s">
        <v>2038</v>
      </c>
      <c r="H538" s="102" t="s">
        <v>1480</v>
      </c>
      <c r="I538">
        <v>190</v>
      </c>
      <c r="J538">
        <v>190</v>
      </c>
      <c r="K538">
        <v>190</v>
      </c>
      <c r="L538">
        <v>190</v>
      </c>
      <c r="M538" s="102" t="s">
        <v>1099</v>
      </c>
      <c r="N538" s="102" t="s">
        <v>1481</v>
      </c>
      <c r="O538" s="93">
        <v>46082</v>
      </c>
    </row>
    <row r="539" spans="1:15" x14ac:dyDescent="0.3">
      <c r="A539" s="102" t="s">
        <v>2035</v>
      </c>
      <c r="B539" t="s">
        <v>2036</v>
      </c>
      <c r="C539" s="93">
        <v>46050</v>
      </c>
      <c r="D539" s="93">
        <v>46050</v>
      </c>
      <c r="E539" s="93">
        <v>46050</v>
      </c>
      <c r="F539" s="102" t="s">
        <v>2037</v>
      </c>
      <c r="G539" s="102" t="s">
        <v>2042</v>
      </c>
      <c r="H539" s="102" t="s">
        <v>1480</v>
      </c>
      <c r="I539">
        <v>190</v>
      </c>
      <c r="J539">
        <v>190</v>
      </c>
      <c r="K539">
        <v>190</v>
      </c>
      <c r="L539">
        <v>190</v>
      </c>
      <c r="M539" s="102" t="s">
        <v>1099</v>
      </c>
      <c r="N539" s="102" t="s">
        <v>1481</v>
      </c>
      <c r="O539" s="93">
        <v>46023</v>
      </c>
    </row>
    <row r="540" spans="1:15" x14ac:dyDescent="0.3">
      <c r="A540" s="102" t="s">
        <v>2035</v>
      </c>
      <c r="B540" t="s">
        <v>2036</v>
      </c>
      <c r="C540" s="93">
        <v>46140</v>
      </c>
      <c r="D540" s="93">
        <v>46140</v>
      </c>
      <c r="E540" s="93">
        <v>46140</v>
      </c>
      <c r="F540" s="102" t="s">
        <v>2037</v>
      </c>
      <c r="G540" s="102" t="s">
        <v>2043</v>
      </c>
      <c r="H540" s="102" t="s">
        <v>1480</v>
      </c>
      <c r="I540">
        <v>190</v>
      </c>
      <c r="J540">
        <v>199</v>
      </c>
      <c r="K540">
        <v>199</v>
      </c>
      <c r="L540">
        <v>199</v>
      </c>
      <c r="M540" s="102" t="s">
        <v>1099</v>
      </c>
      <c r="N540" s="102" t="s">
        <v>1481</v>
      </c>
      <c r="O540" s="93">
        <v>46113</v>
      </c>
    </row>
    <row r="541" spans="1:15" x14ac:dyDescent="0.3">
      <c r="A541" s="102" t="s">
        <v>2035</v>
      </c>
      <c r="B541" t="s">
        <v>2036</v>
      </c>
      <c r="C541" s="93">
        <v>46081</v>
      </c>
      <c r="D541" s="93">
        <v>46081</v>
      </c>
      <c r="E541" s="93">
        <v>46081</v>
      </c>
      <c r="F541" s="102" t="s">
        <v>2037</v>
      </c>
      <c r="G541" s="102" t="s">
        <v>2041</v>
      </c>
      <c r="H541" s="102" t="s">
        <v>1480</v>
      </c>
      <c r="I541">
        <v>190</v>
      </c>
      <c r="J541">
        <v>190</v>
      </c>
      <c r="K541">
        <v>190</v>
      </c>
      <c r="L541">
        <v>190</v>
      </c>
      <c r="M541" s="102" t="s">
        <v>1099</v>
      </c>
      <c r="N541" s="102" t="s">
        <v>1481</v>
      </c>
      <c r="O541" s="93">
        <v>46054</v>
      </c>
    </row>
    <row r="542" spans="1:15" x14ac:dyDescent="0.3">
      <c r="A542" s="102" t="s">
        <v>2044</v>
      </c>
      <c r="B542" t="s">
        <v>1123</v>
      </c>
      <c r="C542" s="93">
        <v>46032</v>
      </c>
      <c r="D542" s="93">
        <v>46032</v>
      </c>
      <c r="E542" s="93">
        <v>46032</v>
      </c>
      <c r="F542" s="102" t="s">
        <v>2045</v>
      </c>
      <c r="G542" s="102" t="s">
        <v>2051</v>
      </c>
      <c r="H542" s="102" t="s">
        <v>1480</v>
      </c>
      <c r="I542">
        <v>48</v>
      </c>
      <c r="J542">
        <v>48</v>
      </c>
      <c r="K542">
        <v>48</v>
      </c>
      <c r="L542">
        <v>48</v>
      </c>
      <c r="M542" s="102" t="s">
        <v>1099</v>
      </c>
      <c r="N542" s="102" t="s">
        <v>1481</v>
      </c>
      <c r="O542" s="93">
        <v>46032</v>
      </c>
    </row>
    <row r="543" spans="1:15" x14ac:dyDescent="0.3">
      <c r="A543" s="102" t="s">
        <v>2044</v>
      </c>
      <c r="B543" t="s">
        <v>1123</v>
      </c>
      <c r="C543" s="93">
        <v>46089</v>
      </c>
      <c r="D543" s="93">
        <v>46089</v>
      </c>
      <c r="E543" s="93">
        <v>46089</v>
      </c>
      <c r="F543" s="102" t="s">
        <v>2045</v>
      </c>
      <c r="G543" s="102" t="s">
        <v>2072</v>
      </c>
      <c r="H543" s="102" t="s">
        <v>1480</v>
      </c>
      <c r="I543">
        <v>27</v>
      </c>
      <c r="J543">
        <v>27</v>
      </c>
      <c r="K543">
        <v>27</v>
      </c>
      <c r="L543">
        <v>27</v>
      </c>
      <c r="M543" s="102" t="s">
        <v>1099</v>
      </c>
      <c r="N543" s="102" t="s">
        <v>1481</v>
      </c>
      <c r="O543" s="93">
        <v>46089</v>
      </c>
    </row>
    <row r="544" spans="1:15" x14ac:dyDescent="0.3">
      <c r="A544" s="102" t="s">
        <v>2044</v>
      </c>
      <c r="B544" t="s">
        <v>1123</v>
      </c>
      <c r="C544" s="93">
        <v>46176</v>
      </c>
      <c r="D544" s="93">
        <v>46176</v>
      </c>
      <c r="E544" s="93">
        <v>46176</v>
      </c>
      <c r="F544" s="102" t="s">
        <v>2047</v>
      </c>
      <c r="G544" s="102" t="s">
        <v>2048</v>
      </c>
      <c r="H544" s="102" t="s">
        <v>1480</v>
      </c>
      <c r="I544">
        <v>407.92</v>
      </c>
      <c r="J544">
        <v>407.92</v>
      </c>
      <c r="K544">
        <v>407.92</v>
      </c>
      <c r="L544">
        <v>407.92</v>
      </c>
      <c r="M544" s="102" t="s">
        <v>1099</v>
      </c>
      <c r="N544" s="102" t="s">
        <v>1481</v>
      </c>
      <c r="O544" s="93">
        <v>46176</v>
      </c>
    </row>
    <row r="545" spans="1:15" x14ac:dyDescent="0.3">
      <c r="A545" s="102" t="s">
        <v>2044</v>
      </c>
      <c r="B545" t="s">
        <v>1123</v>
      </c>
      <c r="C545" s="93">
        <v>46159</v>
      </c>
      <c r="D545" s="93">
        <v>46159</v>
      </c>
      <c r="E545" s="93">
        <v>46159</v>
      </c>
      <c r="F545" s="102" t="s">
        <v>2045</v>
      </c>
      <c r="G545" s="102" t="s">
        <v>2075</v>
      </c>
      <c r="H545" s="102" t="s">
        <v>1480</v>
      </c>
      <c r="I545">
        <v>9</v>
      </c>
      <c r="J545">
        <v>9</v>
      </c>
      <c r="K545">
        <v>9</v>
      </c>
      <c r="L545">
        <v>9</v>
      </c>
      <c r="M545" s="102" t="s">
        <v>1099</v>
      </c>
      <c r="N545" s="102" t="s">
        <v>1481</v>
      </c>
      <c r="O545" s="93">
        <v>46159</v>
      </c>
    </row>
    <row r="546" spans="1:15" x14ac:dyDescent="0.3">
      <c r="A546" s="102" t="s">
        <v>2044</v>
      </c>
      <c r="B546" t="s">
        <v>1123</v>
      </c>
      <c r="C546" s="93">
        <v>46028</v>
      </c>
      <c r="D546" s="93">
        <v>46028</v>
      </c>
      <c r="E546" s="93">
        <v>46028</v>
      </c>
      <c r="F546" s="102" t="s">
        <v>2047</v>
      </c>
      <c r="G546" s="102" t="s">
        <v>2051</v>
      </c>
      <c r="H546" s="102" t="s">
        <v>1480</v>
      </c>
      <c r="I546">
        <v>515.35</v>
      </c>
      <c r="J546">
        <v>515.35</v>
      </c>
      <c r="K546">
        <v>515.35</v>
      </c>
      <c r="L546">
        <v>515.35</v>
      </c>
      <c r="M546" s="102" t="s">
        <v>1099</v>
      </c>
      <c r="N546" s="102" t="s">
        <v>1481</v>
      </c>
      <c r="O546" s="93">
        <v>46028</v>
      </c>
    </row>
    <row r="547" spans="1:15" x14ac:dyDescent="0.3">
      <c r="A547" s="102" t="s">
        <v>2044</v>
      </c>
      <c r="B547" t="s">
        <v>1123</v>
      </c>
      <c r="C547" s="93">
        <v>46088</v>
      </c>
      <c r="D547" s="93">
        <v>46088</v>
      </c>
      <c r="E547" s="93">
        <v>46088</v>
      </c>
      <c r="F547" s="102" t="s">
        <v>2047</v>
      </c>
      <c r="G547" s="102" t="s">
        <v>2064</v>
      </c>
      <c r="H547" s="102" t="s">
        <v>1480</v>
      </c>
      <c r="I547">
        <v>202.22</v>
      </c>
      <c r="J547">
        <v>202.22</v>
      </c>
      <c r="K547">
        <v>202.22</v>
      </c>
      <c r="L547">
        <v>202.22</v>
      </c>
      <c r="M547" s="102" t="s">
        <v>1099</v>
      </c>
      <c r="N547" s="102" t="s">
        <v>1481</v>
      </c>
      <c r="O547" s="93">
        <v>46088</v>
      </c>
    </row>
    <row r="548" spans="1:15" x14ac:dyDescent="0.3">
      <c r="A548" s="102" t="s">
        <v>2044</v>
      </c>
      <c r="B548" t="s">
        <v>1123</v>
      </c>
      <c r="C548" s="93">
        <v>46182</v>
      </c>
      <c r="D548" s="93">
        <v>46182</v>
      </c>
      <c r="E548" s="93">
        <v>46182</v>
      </c>
      <c r="F548" s="102" t="s">
        <v>2045</v>
      </c>
      <c r="G548" s="102" t="s">
        <v>2069</v>
      </c>
      <c r="H548" s="102" t="s">
        <v>1480</v>
      </c>
      <c r="I548">
        <v>108.62</v>
      </c>
      <c r="J548">
        <v>108.62</v>
      </c>
      <c r="K548">
        <v>108.62</v>
      </c>
      <c r="L548">
        <v>108.62</v>
      </c>
      <c r="M548" s="102" t="s">
        <v>1099</v>
      </c>
      <c r="N548" s="102" t="s">
        <v>1481</v>
      </c>
      <c r="O548" s="93">
        <v>46182</v>
      </c>
    </row>
    <row r="549" spans="1:15" x14ac:dyDescent="0.3">
      <c r="A549" s="102" t="s">
        <v>2044</v>
      </c>
      <c r="B549" t="s">
        <v>1123</v>
      </c>
      <c r="C549" s="93">
        <v>46179</v>
      </c>
      <c r="D549" s="93">
        <v>46179</v>
      </c>
      <c r="E549" s="93">
        <v>46179</v>
      </c>
      <c r="F549" s="102" t="s">
        <v>2047</v>
      </c>
      <c r="G549" s="102" t="s">
        <v>2071</v>
      </c>
      <c r="H549" s="102" t="s">
        <v>1480</v>
      </c>
      <c r="I549">
        <v>286.13</v>
      </c>
      <c r="J549">
        <v>286.13</v>
      </c>
      <c r="K549">
        <v>286.13</v>
      </c>
      <c r="L549">
        <v>286.13</v>
      </c>
      <c r="M549" s="102" t="s">
        <v>1099</v>
      </c>
      <c r="N549" s="102" t="s">
        <v>1481</v>
      </c>
      <c r="O549" s="93">
        <v>46179</v>
      </c>
    </row>
    <row r="550" spans="1:15" x14ac:dyDescent="0.3">
      <c r="A550" s="102" t="s">
        <v>2044</v>
      </c>
      <c r="B550" t="s">
        <v>1123</v>
      </c>
      <c r="C550" s="93">
        <v>46028</v>
      </c>
      <c r="D550" s="93">
        <v>46028</v>
      </c>
      <c r="E550" s="93">
        <v>46028</v>
      </c>
      <c r="F550" s="102" t="s">
        <v>2045</v>
      </c>
      <c r="G550" s="102" t="s">
        <v>2051</v>
      </c>
      <c r="H550" s="102" t="s">
        <v>1480</v>
      </c>
      <c r="I550">
        <v>83</v>
      </c>
      <c r="J550">
        <v>83</v>
      </c>
      <c r="K550">
        <v>83</v>
      </c>
      <c r="L550">
        <v>83</v>
      </c>
      <c r="M550" s="102" t="s">
        <v>1099</v>
      </c>
      <c r="N550" s="102" t="s">
        <v>1481</v>
      </c>
      <c r="O550" s="93">
        <v>46028</v>
      </c>
    </row>
    <row r="551" spans="1:15" x14ac:dyDescent="0.3">
      <c r="A551" s="102" t="s">
        <v>2044</v>
      </c>
      <c r="B551" t="s">
        <v>1123</v>
      </c>
      <c r="C551" s="93">
        <v>46182</v>
      </c>
      <c r="D551" s="93">
        <v>46182</v>
      </c>
      <c r="E551" s="93">
        <v>46182</v>
      </c>
      <c r="F551" s="102" t="s">
        <v>2045</v>
      </c>
      <c r="G551" s="102" t="s">
        <v>2070</v>
      </c>
      <c r="H551" s="102" t="s">
        <v>1480</v>
      </c>
      <c r="I551">
        <v>26</v>
      </c>
      <c r="J551">
        <v>26</v>
      </c>
      <c r="K551">
        <v>26</v>
      </c>
      <c r="L551">
        <v>26</v>
      </c>
      <c r="M551" s="102" t="s">
        <v>1099</v>
      </c>
      <c r="N551" s="102" t="s">
        <v>1481</v>
      </c>
      <c r="O551" s="93">
        <v>46182</v>
      </c>
    </row>
    <row r="552" spans="1:15" x14ac:dyDescent="0.3">
      <c r="A552" s="102" t="s">
        <v>2044</v>
      </c>
      <c r="B552" t="s">
        <v>1123</v>
      </c>
      <c r="C552" s="93">
        <v>46159</v>
      </c>
      <c r="D552" s="93">
        <v>46159</v>
      </c>
      <c r="E552" s="93">
        <v>46159</v>
      </c>
      <c r="F552" s="102" t="s">
        <v>2047</v>
      </c>
      <c r="G552" s="102" t="s">
        <v>2073</v>
      </c>
      <c r="H552" s="102" t="s">
        <v>1480</v>
      </c>
      <c r="I552">
        <v>402.63</v>
      </c>
      <c r="J552">
        <v>402.63</v>
      </c>
      <c r="K552">
        <v>402.63</v>
      </c>
      <c r="L552">
        <v>402.63</v>
      </c>
      <c r="M552" s="102" t="s">
        <v>1099</v>
      </c>
      <c r="N552" s="102" t="s">
        <v>1481</v>
      </c>
      <c r="O552" s="93">
        <v>46159</v>
      </c>
    </row>
    <row r="553" spans="1:15" x14ac:dyDescent="0.3">
      <c r="A553" s="102" t="s">
        <v>2044</v>
      </c>
      <c r="B553" t="s">
        <v>1123</v>
      </c>
      <c r="C553" s="93">
        <v>46102</v>
      </c>
      <c r="D553" s="93">
        <v>46102</v>
      </c>
      <c r="E553" s="93">
        <v>46102</v>
      </c>
      <c r="F553" s="102" t="s">
        <v>2047</v>
      </c>
      <c r="G553" s="102" t="s">
        <v>2057</v>
      </c>
      <c r="H553" s="102" t="s">
        <v>1480</v>
      </c>
      <c r="I553">
        <v>320.41000000000003</v>
      </c>
      <c r="J553">
        <v>320.41000000000003</v>
      </c>
      <c r="K553">
        <v>320.41000000000003</v>
      </c>
      <c r="L553">
        <v>320.41000000000003</v>
      </c>
      <c r="M553" s="102" t="s">
        <v>1099</v>
      </c>
      <c r="N553" s="102" t="s">
        <v>1481</v>
      </c>
      <c r="O553" s="93">
        <v>46102</v>
      </c>
    </row>
    <row r="554" spans="1:15" x14ac:dyDescent="0.3">
      <c r="A554" s="102" t="s">
        <v>2044</v>
      </c>
      <c r="B554" t="s">
        <v>1123</v>
      </c>
      <c r="C554" s="93">
        <v>46100</v>
      </c>
      <c r="D554" s="93">
        <v>46100</v>
      </c>
      <c r="E554" s="93">
        <v>46100</v>
      </c>
      <c r="F554" s="102" t="s">
        <v>2047</v>
      </c>
      <c r="G554" s="102" t="s">
        <v>2058</v>
      </c>
      <c r="H554" s="102" t="s">
        <v>1480</v>
      </c>
      <c r="I554">
        <v>548.97</v>
      </c>
      <c r="J554">
        <v>548.97</v>
      </c>
      <c r="K554">
        <v>548.97</v>
      </c>
      <c r="L554">
        <v>548.97</v>
      </c>
      <c r="M554" s="102" t="s">
        <v>1099</v>
      </c>
      <c r="N554" s="102" t="s">
        <v>1481</v>
      </c>
      <c r="O554" s="93">
        <v>46100</v>
      </c>
    </row>
    <row r="555" spans="1:15" x14ac:dyDescent="0.3">
      <c r="A555" s="102" t="s">
        <v>2044</v>
      </c>
      <c r="B555" t="s">
        <v>1123</v>
      </c>
      <c r="C555" s="93">
        <v>46177</v>
      </c>
      <c r="D555" s="93">
        <v>46177</v>
      </c>
      <c r="E555" s="93">
        <v>46177</v>
      </c>
      <c r="F555" s="102" t="s">
        <v>2045</v>
      </c>
      <c r="G555" s="102" t="s">
        <v>2049</v>
      </c>
      <c r="H555" s="102" t="s">
        <v>1480</v>
      </c>
      <c r="I555">
        <v>131.88999999999999</v>
      </c>
      <c r="J555">
        <v>131.88999999999999</v>
      </c>
      <c r="K555">
        <v>131.88999999999999</v>
      </c>
      <c r="L555">
        <v>131.88999999999999</v>
      </c>
      <c r="M555" s="102" t="s">
        <v>1099</v>
      </c>
      <c r="N555" s="102" t="s">
        <v>1481</v>
      </c>
      <c r="O555" s="93">
        <v>46177</v>
      </c>
    </row>
    <row r="556" spans="1:15" x14ac:dyDescent="0.3">
      <c r="A556" s="102" t="s">
        <v>2044</v>
      </c>
      <c r="B556" t="s">
        <v>1123</v>
      </c>
      <c r="C556" s="93">
        <v>46059</v>
      </c>
      <c r="D556" s="93">
        <v>46059</v>
      </c>
      <c r="E556" s="93">
        <v>46059</v>
      </c>
      <c r="F556" s="102" t="s">
        <v>2045</v>
      </c>
      <c r="G556" s="102" t="s">
        <v>2046</v>
      </c>
      <c r="H556" s="102" t="s">
        <v>1480</v>
      </c>
      <c r="I556">
        <v>7.99</v>
      </c>
      <c r="J556">
        <v>7.99</v>
      </c>
      <c r="K556">
        <v>7.99</v>
      </c>
      <c r="L556">
        <v>7.99</v>
      </c>
      <c r="M556" s="102" t="s">
        <v>1099</v>
      </c>
      <c r="N556" s="102" t="s">
        <v>1481</v>
      </c>
      <c r="O556" s="93">
        <v>46059</v>
      </c>
    </row>
    <row r="557" spans="1:15" x14ac:dyDescent="0.3">
      <c r="A557" s="102" t="s">
        <v>2044</v>
      </c>
      <c r="B557" t="s">
        <v>1123</v>
      </c>
      <c r="C557" s="93">
        <v>46059</v>
      </c>
      <c r="D557" s="93">
        <v>46059</v>
      </c>
      <c r="E557" s="93">
        <v>46059</v>
      </c>
      <c r="F557" s="102" t="s">
        <v>2047</v>
      </c>
      <c r="G557" s="102" t="s">
        <v>2046</v>
      </c>
      <c r="H557" s="102" t="s">
        <v>1480</v>
      </c>
      <c r="I557">
        <v>185.91</v>
      </c>
      <c r="J557">
        <v>185.91</v>
      </c>
      <c r="K557">
        <v>185.91</v>
      </c>
      <c r="L557">
        <v>185.91</v>
      </c>
      <c r="M557" s="102" t="s">
        <v>1099</v>
      </c>
      <c r="N557" s="102" t="s">
        <v>1481</v>
      </c>
      <c r="O557" s="93">
        <v>46059</v>
      </c>
    </row>
    <row r="558" spans="1:15" x14ac:dyDescent="0.3">
      <c r="A558" s="102" t="s">
        <v>2044</v>
      </c>
      <c r="B558" t="s">
        <v>1123</v>
      </c>
      <c r="C558" s="93">
        <v>46059</v>
      </c>
      <c r="D558" s="93">
        <v>46059</v>
      </c>
      <c r="E558" s="93">
        <v>46059</v>
      </c>
      <c r="F558" s="102" t="s">
        <v>2047</v>
      </c>
      <c r="G558" s="102" t="s">
        <v>2046</v>
      </c>
      <c r="H558" s="102" t="s">
        <v>1480</v>
      </c>
      <c r="I558">
        <v>67.849999999999994</v>
      </c>
      <c r="J558">
        <v>67.849999999999994</v>
      </c>
      <c r="K558">
        <v>67.849999999999994</v>
      </c>
      <c r="L558">
        <v>67.849999999999994</v>
      </c>
      <c r="M558" s="102" t="s">
        <v>1099</v>
      </c>
      <c r="N558" s="102" t="s">
        <v>1481</v>
      </c>
      <c r="O558" s="93">
        <v>46059</v>
      </c>
    </row>
    <row r="559" spans="1:15" x14ac:dyDescent="0.3">
      <c r="A559" s="102" t="s">
        <v>2044</v>
      </c>
      <c r="B559" t="s">
        <v>1123</v>
      </c>
      <c r="C559" s="93">
        <v>46046</v>
      </c>
      <c r="D559" s="93">
        <v>46046</v>
      </c>
      <c r="E559" s="93">
        <v>46046</v>
      </c>
      <c r="F559" s="102" t="s">
        <v>2047</v>
      </c>
      <c r="G559" s="102" t="s">
        <v>2051</v>
      </c>
      <c r="H559" s="102" t="s">
        <v>1480</v>
      </c>
      <c r="I559">
        <v>91.86</v>
      </c>
      <c r="J559">
        <v>91.86</v>
      </c>
      <c r="K559">
        <v>91.86</v>
      </c>
      <c r="L559">
        <v>91.86</v>
      </c>
      <c r="M559" s="102" t="s">
        <v>1099</v>
      </c>
      <c r="N559" s="102" t="s">
        <v>1481</v>
      </c>
      <c r="O559" s="93">
        <v>46046</v>
      </c>
    </row>
    <row r="560" spans="1:15" x14ac:dyDescent="0.3">
      <c r="A560" s="102" t="s">
        <v>2044</v>
      </c>
      <c r="B560" t="s">
        <v>1123</v>
      </c>
      <c r="C560" s="93">
        <v>46046</v>
      </c>
      <c r="D560" s="93">
        <v>46046</v>
      </c>
      <c r="E560" s="93">
        <v>46046</v>
      </c>
      <c r="F560" s="102" t="s">
        <v>2045</v>
      </c>
      <c r="G560" s="102" t="s">
        <v>2051</v>
      </c>
      <c r="H560" s="102" t="s">
        <v>1480</v>
      </c>
      <c r="I560">
        <v>95.23</v>
      </c>
      <c r="J560">
        <v>95.23</v>
      </c>
      <c r="K560">
        <v>95.23</v>
      </c>
      <c r="L560">
        <v>95.23</v>
      </c>
      <c r="M560" s="102" t="s">
        <v>1099</v>
      </c>
      <c r="N560" s="102" t="s">
        <v>1481</v>
      </c>
      <c r="O560" s="93">
        <v>46046</v>
      </c>
    </row>
    <row r="561" spans="1:15" x14ac:dyDescent="0.3">
      <c r="A561" s="102" t="s">
        <v>2044</v>
      </c>
      <c r="B561" t="s">
        <v>1123</v>
      </c>
      <c r="C561" s="93">
        <v>46066</v>
      </c>
      <c r="D561" s="93">
        <v>46066</v>
      </c>
      <c r="E561" s="93">
        <v>46066</v>
      </c>
      <c r="F561" s="102" t="s">
        <v>2047</v>
      </c>
      <c r="G561" s="102" t="s">
        <v>2046</v>
      </c>
      <c r="H561" s="102" t="s">
        <v>1480</v>
      </c>
      <c r="I561">
        <v>567.71</v>
      </c>
      <c r="J561">
        <v>567.71</v>
      </c>
      <c r="K561">
        <v>567.71</v>
      </c>
      <c r="L561">
        <v>567.71</v>
      </c>
      <c r="M561" s="102" t="s">
        <v>1099</v>
      </c>
      <c r="N561" s="102" t="s">
        <v>1481</v>
      </c>
      <c r="O561" s="93">
        <v>46066</v>
      </c>
    </row>
    <row r="562" spans="1:15" x14ac:dyDescent="0.3">
      <c r="A562" s="102" t="s">
        <v>2044</v>
      </c>
      <c r="B562" t="s">
        <v>1123</v>
      </c>
      <c r="C562" s="93">
        <v>46046</v>
      </c>
      <c r="D562" s="93">
        <v>46046</v>
      </c>
      <c r="E562" s="93">
        <v>46046</v>
      </c>
      <c r="F562" s="102" t="s">
        <v>2045</v>
      </c>
      <c r="G562" s="102" t="s">
        <v>2051</v>
      </c>
      <c r="H562" s="102" t="s">
        <v>1480</v>
      </c>
      <c r="I562">
        <v>56</v>
      </c>
      <c r="J562">
        <v>56</v>
      </c>
      <c r="K562">
        <v>56</v>
      </c>
      <c r="L562">
        <v>56</v>
      </c>
      <c r="M562" s="102" t="s">
        <v>1099</v>
      </c>
      <c r="N562" s="102" t="s">
        <v>1481</v>
      </c>
      <c r="O562" s="93">
        <v>46046</v>
      </c>
    </row>
    <row r="563" spans="1:15" x14ac:dyDescent="0.3">
      <c r="A563" s="102" t="s">
        <v>2044</v>
      </c>
      <c r="B563" t="s">
        <v>1123</v>
      </c>
      <c r="C563" s="93">
        <v>46068</v>
      </c>
      <c r="D563" s="93">
        <v>46068</v>
      </c>
      <c r="E563" s="93">
        <v>46068</v>
      </c>
      <c r="F563" s="102" t="s">
        <v>2047</v>
      </c>
      <c r="G563" s="102" t="s">
        <v>2046</v>
      </c>
      <c r="H563" s="102" t="s">
        <v>1480</v>
      </c>
      <c r="I563">
        <v>447.82</v>
      </c>
      <c r="J563">
        <v>447.82</v>
      </c>
      <c r="K563">
        <v>447.82</v>
      </c>
      <c r="L563">
        <v>447.82</v>
      </c>
      <c r="M563" s="102" t="s">
        <v>1099</v>
      </c>
      <c r="N563" s="102" t="s">
        <v>1481</v>
      </c>
      <c r="O563" s="93">
        <v>46068</v>
      </c>
    </row>
    <row r="564" spans="1:15" x14ac:dyDescent="0.3">
      <c r="A564" s="102" t="s">
        <v>2044</v>
      </c>
      <c r="B564" t="s">
        <v>1123</v>
      </c>
      <c r="C564" s="93">
        <v>46018</v>
      </c>
      <c r="D564" s="93">
        <v>46018</v>
      </c>
      <c r="E564" s="93">
        <v>46018</v>
      </c>
      <c r="F564" s="102" t="s">
        <v>2060</v>
      </c>
      <c r="G564" s="102" t="s">
        <v>2061</v>
      </c>
      <c r="H564" s="102" t="s">
        <v>1480</v>
      </c>
      <c r="I564">
        <v>1603.65</v>
      </c>
      <c r="J564">
        <v>1603.65</v>
      </c>
      <c r="K564">
        <v>1603.65</v>
      </c>
      <c r="L564">
        <v>1603.65</v>
      </c>
      <c r="M564" s="102" t="s">
        <v>1099</v>
      </c>
      <c r="N564" s="102" t="s">
        <v>1481</v>
      </c>
      <c r="O564" s="93">
        <v>46018</v>
      </c>
    </row>
    <row r="565" spans="1:15" x14ac:dyDescent="0.3">
      <c r="A565" s="102" t="s">
        <v>2044</v>
      </c>
      <c r="B565" t="s">
        <v>1123</v>
      </c>
      <c r="C565" s="93">
        <v>46069</v>
      </c>
      <c r="D565" s="93">
        <v>46069</v>
      </c>
      <c r="E565" s="93">
        <v>46069</v>
      </c>
      <c r="F565" s="102" t="s">
        <v>2045</v>
      </c>
      <c r="G565" s="102" t="s">
        <v>2046</v>
      </c>
      <c r="H565" s="102" t="s">
        <v>1480</v>
      </c>
      <c r="I565">
        <v>43.69</v>
      </c>
      <c r="J565">
        <v>43.69</v>
      </c>
      <c r="K565">
        <v>43.69</v>
      </c>
      <c r="L565">
        <v>43.69</v>
      </c>
      <c r="M565" s="102" t="s">
        <v>1099</v>
      </c>
      <c r="N565" s="102" t="s">
        <v>1481</v>
      </c>
      <c r="O565" s="93">
        <v>46069</v>
      </c>
    </row>
    <row r="566" spans="1:15" x14ac:dyDescent="0.3">
      <c r="A566" s="102" t="s">
        <v>2044</v>
      </c>
      <c r="B566" t="s">
        <v>1123</v>
      </c>
      <c r="C566" s="93">
        <v>46194</v>
      </c>
      <c r="D566" s="93">
        <v>46194</v>
      </c>
      <c r="E566" s="93">
        <v>46194</v>
      </c>
      <c r="F566" s="102" t="s">
        <v>2045</v>
      </c>
      <c r="G566" s="102" t="s">
        <v>2054</v>
      </c>
      <c r="H566" s="102" t="s">
        <v>1480</v>
      </c>
      <c r="I566">
        <v>112.48</v>
      </c>
      <c r="J566">
        <v>112.48</v>
      </c>
      <c r="K566">
        <v>112.48</v>
      </c>
      <c r="L566">
        <v>112.48</v>
      </c>
      <c r="M566" s="102" t="s">
        <v>1099</v>
      </c>
      <c r="N566" s="102" t="s">
        <v>1481</v>
      </c>
      <c r="O566" s="93">
        <v>46194</v>
      </c>
    </row>
    <row r="567" spans="1:15" x14ac:dyDescent="0.3">
      <c r="A567" s="102" t="s">
        <v>2044</v>
      </c>
      <c r="B567" t="s">
        <v>1123</v>
      </c>
      <c r="C567" s="93">
        <v>46194</v>
      </c>
      <c r="D567" s="93">
        <v>46194</v>
      </c>
      <c r="E567" s="93">
        <v>46194</v>
      </c>
      <c r="F567" s="102" t="s">
        <v>2047</v>
      </c>
      <c r="G567" s="102" t="s">
        <v>2055</v>
      </c>
      <c r="H567" s="102" t="s">
        <v>1480</v>
      </c>
      <c r="I567">
        <v>232.16</v>
      </c>
      <c r="J567">
        <v>232.16</v>
      </c>
      <c r="K567">
        <v>232.16</v>
      </c>
      <c r="L567">
        <v>232.16</v>
      </c>
      <c r="M567" s="102" t="s">
        <v>1099</v>
      </c>
      <c r="N567" s="102" t="s">
        <v>1481</v>
      </c>
      <c r="O567" s="93">
        <v>46194</v>
      </c>
    </row>
    <row r="568" spans="1:15" x14ac:dyDescent="0.3">
      <c r="A568" s="102" t="s">
        <v>2044</v>
      </c>
      <c r="B568" t="s">
        <v>1123</v>
      </c>
      <c r="C568" s="93">
        <v>46195</v>
      </c>
      <c r="D568" s="93">
        <v>46195</v>
      </c>
      <c r="E568" s="93">
        <v>46195</v>
      </c>
      <c r="F568" s="102" t="s">
        <v>2045</v>
      </c>
      <c r="G568" s="102" t="s">
        <v>2062</v>
      </c>
      <c r="H568" s="102" t="s">
        <v>1480</v>
      </c>
      <c r="I568">
        <v>127</v>
      </c>
      <c r="J568">
        <v>127</v>
      </c>
      <c r="K568">
        <v>127</v>
      </c>
      <c r="L568">
        <v>127</v>
      </c>
      <c r="M568" s="102" t="s">
        <v>1099</v>
      </c>
      <c r="N568" s="102" t="s">
        <v>1481</v>
      </c>
      <c r="O568" s="93">
        <v>46195</v>
      </c>
    </row>
    <row r="569" spans="1:15" x14ac:dyDescent="0.3">
      <c r="A569" s="102" t="s">
        <v>2044</v>
      </c>
      <c r="B569" t="s">
        <v>1123</v>
      </c>
      <c r="C569" s="93">
        <v>46059</v>
      </c>
      <c r="D569" s="93">
        <v>46059</v>
      </c>
      <c r="E569" s="93">
        <v>46059</v>
      </c>
      <c r="F569" s="102" t="s">
        <v>2045</v>
      </c>
      <c r="G569" s="102" t="s">
        <v>2046</v>
      </c>
      <c r="H569" s="102" t="s">
        <v>1480</v>
      </c>
      <c r="I569">
        <v>124.22</v>
      </c>
      <c r="J569">
        <v>124.22</v>
      </c>
      <c r="K569">
        <v>124.22</v>
      </c>
      <c r="L569">
        <v>124.22</v>
      </c>
      <c r="M569" s="102" t="s">
        <v>1099</v>
      </c>
      <c r="N569" s="102" t="s">
        <v>1481</v>
      </c>
      <c r="O569" s="93">
        <v>46059</v>
      </c>
    </row>
    <row r="570" spans="1:15" x14ac:dyDescent="0.3">
      <c r="A570" s="102" t="s">
        <v>2044</v>
      </c>
      <c r="B570" t="s">
        <v>1123</v>
      </c>
      <c r="C570" s="93">
        <v>46192</v>
      </c>
      <c r="D570" s="93">
        <v>46192</v>
      </c>
      <c r="E570" s="93">
        <v>46192</v>
      </c>
      <c r="F570" s="102" t="s">
        <v>2045</v>
      </c>
      <c r="G570" s="102" t="s">
        <v>2059</v>
      </c>
      <c r="H570" s="102" t="s">
        <v>1480</v>
      </c>
      <c r="I570">
        <v>21</v>
      </c>
      <c r="J570">
        <v>21</v>
      </c>
      <c r="K570">
        <v>21</v>
      </c>
      <c r="L570">
        <v>21</v>
      </c>
      <c r="M570" s="102" t="s">
        <v>1099</v>
      </c>
      <c r="N570" s="102" t="s">
        <v>1488</v>
      </c>
      <c r="O570" s="93">
        <v>46192</v>
      </c>
    </row>
    <row r="571" spans="1:15" x14ac:dyDescent="0.3">
      <c r="A571" s="102" t="s">
        <v>2044</v>
      </c>
      <c r="B571" t="s">
        <v>1123</v>
      </c>
      <c r="C571" s="93">
        <v>46192</v>
      </c>
      <c r="D571" s="93">
        <v>46192</v>
      </c>
      <c r="E571" s="93">
        <v>46192</v>
      </c>
      <c r="F571" s="102" t="s">
        <v>2045</v>
      </c>
      <c r="G571" s="102" t="s">
        <v>2050</v>
      </c>
      <c r="H571" s="102" t="s">
        <v>1480</v>
      </c>
      <c r="I571">
        <v>79.11</v>
      </c>
      <c r="J571">
        <v>79.11</v>
      </c>
      <c r="K571">
        <v>79.11</v>
      </c>
      <c r="L571">
        <v>79.11</v>
      </c>
      <c r="M571" s="102" t="s">
        <v>1099</v>
      </c>
      <c r="N571" s="102" t="s">
        <v>1488</v>
      </c>
      <c r="O571" s="93">
        <v>46192</v>
      </c>
    </row>
    <row r="572" spans="1:15" x14ac:dyDescent="0.3">
      <c r="A572" s="102" t="s">
        <v>2044</v>
      </c>
      <c r="B572" t="s">
        <v>1123</v>
      </c>
      <c r="C572" s="93">
        <v>46144</v>
      </c>
      <c r="D572" s="93">
        <v>46144</v>
      </c>
      <c r="E572" s="93">
        <v>46144</v>
      </c>
      <c r="F572" s="102" t="s">
        <v>2047</v>
      </c>
      <c r="G572" s="102" t="s">
        <v>2067</v>
      </c>
      <c r="H572" s="102" t="s">
        <v>1480</v>
      </c>
      <c r="I572">
        <v>265.39</v>
      </c>
      <c r="J572">
        <v>265.39</v>
      </c>
      <c r="K572">
        <v>265.39</v>
      </c>
      <c r="L572">
        <v>265.39</v>
      </c>
      <c r="M572" s="102" t="s">
        <v>1099</v>
      </c>
      <c r="N572" s="102" t="s">
        <v>1481</v>
      </c>
      <c r="O572" s="93">
        <v>46144</v>
      </c>
    </row>
    <row r="573" spans="1:15" x14ac:dyDescent="0.3">
      <c r="A573" s="102" t="s">
        <v>2044</v>
      </c>
      <c r="B573" t="s">
        <v>1123</v>
      </c>
      <c r="C573" s="93">
        <v>46145</v>
      </c>
      <c r="D573" s="93">
        <v>46145</v>
      </c>
      <c r="E573" s="93">
        <v>46145</v>
      </c>
      <c r="F573" s="102" t="s">
        <v>2045</v>
      </c>
      <c r="G573" s="102" t="s">
        <v>2068</v>
      </c>
      <c r="H573" s="102" t="s">
        <v>1480</v>
      </c>
      <c r="I573">
        <v>67.5</v>
      </c>
      <c r="J573">
        <v>67.5</v>
      </c>
      <c r="K573">
        <v>67.5</v>
      </c>
      <c r="L573">
        <v>67.5</v>
      </c>
      <c r="M573" s="102" t="s">
        <v>1099</v>
      </c>
      <c r="N573" s="102" t="s">
        <v>1481</v>
      </c>
      <c r="O573" s="93">
        <v>46145</v>
      </c>
    </row>
    <row r="574" spans="1:15" x14ac:dyDescent="0.3">
      <c r="A574" s="102" t="s">
        <v>2044</v>
      </c>
      <c r="B574" t="s">
        <v>1123</v>
      </c>
      <c r="C574" s="93">
        <v>46129</v>
      </c>
      <c r="D574" s="93">
        <v>46129</v>
      </c>
      <c r="E574" s="93">
        <v>46129</v>
      </c>
      <c r="F574" s="102" t="s">
        <v>2047</v>
      </c>
      <c r="G574" s="102" t="s">
        <v>2056</v>
      </c>
      <c r="H574" s="102" t="s">
        <v>1480</v>
      </c>
      <c r="I574">
        <v>316.27</v>
      </c>
      <c r="J574">
        <v>316.27</v>
      </c>
      <c r="K574">
        <v>316.27</v>
      </c>
      <c r="L574">
        <v>316.27</v>
      </c>
      <c r="M574" s="102" t="s">
        <v>1099</v>
      </c>
      <c r="N574" s="102" t="s">
        <v>1481</v>
      </c>
      <c r="O574" s="93">
        <v>46129</v>
      </c>
    </row>
    <row r="575" spans="1:15" x14ac:dyDescent="0.3">
      <c r="A575" s="102" t="s">
        <v>2044</v>
      </c>
      <c r="B575" t="s">
        <v>1123</v>
      </c>
      <c r="C575" s="93">
        <v>46131</v>
      </c>
      <c r="D575" s="93">
        <v>46131</v>
      </c>
      <c r="E575" s="93">
        <v>46131</v>
      </c>
      <c r="F575" s="102" t="s">
        <v>2045</v>
      </c>
      <c r="G575" s="102" t="s">
        <v>2074</v>
      </c>
      <c r="H575" s="102" t="s">
        <v>1480</v>
      </c>
      <c r="I575">
        <v>9</v>
      </c>
      <c r="J575">
        <v>9</v>
      </c>
      <c r="K575">
        <v>9</v>
      </c>
      <c r="L575">
        <v>9</v>
      </c>
      <c r="M575" s="102" t="s">
        <v>1099</v>
      </c>
      <c r="N575" s="102" t="s">
        <v>1481</v>
      </c>
      <c r="O575" s="93">
        <v>46131</v>
      </c>
    </row>
    <row r="576" spans="1:15" x14ac:dyDescent="0.3">
      <c r="A576" s="102" t="s">
        <v>2044</v>
      </c>
      <c r="B576" t="s">
        <v>1123</v>
      </c>
      <c r="C576" s="93">
        <v>46138</v>
      </c>
      <c r="D576" s="93">
        <v>46142</v>
      </c>
      <c r="E576" s="93">
        <v>46142</v>
      </c>
      <c r="F576" s="102" t="s">
        <v>2060</v>
      </c>
      <c r="G576" s="102" t="s">
        <v>2065</v>
      </c>
      <c r="H576" s="102" t="s">
        <v>1480</v>
      </c>
      <c r="I576">
        <v>304.2</v>
      </c>
      <c r="J576">
        <v>304.2</v>
      </c>
      <c r="K576">
        <v>304.2</v>
      </c>
      <c r="L576">
        <v>304.2</v>
      </c>
      <c r="M576" s="102" t="s">
        <v>1099</v>
      </c>
      <c r="N576" s="102" t="s">
        <v>1488</v>
      </c>
      <c r="O576" s="93">
        <v>46138</v>
      </c>
    </row>
    <row r="577" spans="1:15" x14ac:dyDescent="0.3">
      <c r="A577" s="102" t="s">
        <v>2044</v>
      </c>
      <c r="B577" t="s">
        <v>1123</v>
      </c>
      <c r="C577" s="93">
        <v>46143</v>
      </c>
      <c r="D577" s="93">
        <v>46143</v>
      </c>
      <c r="E577" s="93">
        <v>46143</v>
      </c>
      <c r="F577" s="102" t="s">
        <v>2045</v>
      </c>
      <c r="G577" s="102" t="s">
        <v>2063</v>
      </c>
      <c r="H577" s="102" t="s">
        <v>1480</v>
      </c>
      <c r="I577">
        <v>118.35</v>
      </c>
      <c r="J577">
        <v>118.35</v>
      </c>
      <c r="K577">
        <v>118.35</v>
      </c>
      <c r="L577">
        <v>118.35</v>
      </c>
      <c r="M577" s="102" t="s">
        <v>1099</v>
      </c>
      <c r="N577" s="102" t="s">
        <v>1481</v>
      </c>
      <c r="O577" s="93">
        <v>46143</v>
      </c>
    </row>
    <row r="578" spans="1:15" x14ac:dyDescent="0.3">
      <c r="A578" s="102" t="s">
        <v>2044</v>
      </c>
      <c r="B578" t="s">
        <v>1123</v>
      </c>
      <c r="C578" s="93">
        <v>46115</v>
      </c>
      <c r="D578" s="93">
        <v>46115</v>
      </c>
      <c r="E578" s="93">
        <v>46115</v>
      </c>
      <c r="F578" s="102" t="s">
        <v>2047</v>
      </c>
      <c r="G578" s="102" t="s">
        <v>2056</v>
      </c>
      <c r="H578" s="102" t="s">
        <v>1480</v>
      </c>
      <c r="I578">
        <v>621.95000000000005</v>
      </c>
      <c r="J578">
        <v>621.95000000000005</v>
      </c>
      <c r="K578">
        <v>621.95000000000005</v>
      </c>
      <c r="L578">
        <v>621.95000000000005</v>
      </c>
      <c r="M578" s="102" t="s">
        <v>1099</v>
      </c>
      <c r="N578" s="102" t="s">
        <v>1481</v>
      </c>
      <c r="O578" s="93">
        <v>46115</v>
      </c>
    </row>
    <row r="579" spans="1:15" x14ac:dyDescent="0.3">
      <c r="A579" s="102" t="s">
        <v>2044</v>
      </c>
      <c r="B579" t="s">
        <v>1123</v>
      </c>
      <c r="C579" s="93">
        <v>46142</v>
      </c>
      <c r="D579" s="93">
        <v>46142</v>
      </c>
      <c r="E579" s="93">
        <v>46142</v>
      </c>
      <c r="F579" s="102" t="s">
        <v>2047</v>
      </c>
      <c r="G579" s="102" t="s">
        <v>2066</v>
      </c>
      <c r="H579" s="102" t="s">
        <v>1480</v>
      </c>
      <c r="I579">
        <v>665.13</v>
      </c>
      <c r="J579">
        <v>665.13</v>
      </c>
      <c r="K579">
        <v>665.13</v>
      </c>
      <c r="L579">
        <v>665.13</v>
      </c>
      <c r="M579" s="102" t="s">
        <v>1099</v>
      </c>
      <c r="N579" s="102" t="s">
        <v>1481</v>
      </c>
      <c r="O579" s="93">
        <v>46142</v>
      </c>
    </row>
    <row r="580" spans="1:15" x14ac:dyDescent="0.3">
      <c r="A580" s="102" t="s">
        <v>2044</v>
      </c>
      <c r="B580" t="s">
        <v>1123</v>
      </c>
      <c r="C580" s="93">
        <v>46173</v>
      </c>
      <c r="D580" s="93">
        <v>46173</v>
      </c>
      <c r="E580" s="93">
        <v>46173</v>
      </c>
      <c r="F580" s="102" t="s">
        <v>2045</v>
      </c>
      <c r="G580" s="102" t="s">
        <v>2052</v>
      </c>
      <c r="H580" s="102" t="s">
        <v>1480</v>
      </c>
      <c r="I580">
        <v>30</v>
      </c>
      <c r="J580">
        <v>30</v>
      </c>
      <c r="K580">
        <v>30</v>
      </c>
      <c r="L580">
        <v>30</v>
      </c>
      <c r="M580" s="102" t="s">
        <v>1099</v>
      </c>
      <c r="N580" s="102" t="s">
        <v>1481</v>
      </c>
      <c r="O580" s="93">
        <v>46173</v>
      </c>
    </row>
    <row r="581" spans="1:15" x14ac:dyDescent="0.3">
      <c r="A581" s="102" t="s">
        <v>2044</v>
      </c>
      <c r="B581" t="s">
        <v>1123</v>
      </c>
      <c r="C581" s="93">
        <v>46173</v>
      </c>
      <c r="D581" s="93">
        <v>46173</v>
      </c>
      <c r="E581" s="93">
        <v>46173</v>
      </c>
      <c r="F581" s="102" t="s">
        <v>2047</v>
      </c>
      <c r="G581" s="102" t="s">
        <v>2052</v>
      </c>
      <c r="H581" s="102" t="s">
        <v>1480</v>
      </c>
      <c r="I581">
        <v>463.36</v>
      </c>
      <c r="J581">
        <v>463.36</v>
      </c>
      <c r="K581">
        <v>463.36</v>
      </c>
      <c r="L581">
        <v>463.36</v>
      </c>
      <c r="M581" s="102" t="s">
        <v>1099</v>
      </c>
      <c r="N581" s="102" t="s">
        <v>1481</v>
      </c>
      <c r="O581" s="93">
        <v>46173</v>
      </c>
    </row>
    <row r="582" spans="1:15" x14ac:dyDescent="0.3">
      <c r="A582" s="102" t="s">
        <v>2044</v>
      </c>
      <c r="B582" t="s">
        <v>1123</v>
      </c>
      <c r="C582" s="93">
        <v>46122</v>
      </c>
      <c r="D582" s="93">
        <v>46122</v>
      </c>
      <c r="E582" s="93">
        <v>46122</v>
      </c>
      <c r="F582" s="102" t="s">
        <v>1978</v>
      </c>
      <c r="G582" s="102" t="s">
        <v>2053</v>
      </c>
      <c r="H582" s="102" t="s">
        <v>1480</v>
      </c>
      <c r="I582">
        <v>40</v>
      </c>
      <c r="J582">
        <v>40</v>
      </c>
      <c r="K582">
        <v>40</v>
      </c>
      <c r="L582">
        <v>40</v>
      </c>
      <c r="M582" s="102" t="s">
        <v>1099</v>
      </c>
      <c r="N582" s="102" t="s">
        <v>1481</v>
      </c>
      <c r="O582" s="93">
        <v>46122</v>
      </c>
    </row>
    <row r="583" spans="1:15" x14ac:dyDescent="0.3">
      <c r="A583" s="102" t="s">
        <v>2076</v>
      </c>
      <c r="B583" t="s">
        <v>2077</v>
      </c>
      <c r="C583" s="93">
        <v>46046</v>
      </c>
      <c r="D583" s="93">
        <v>46046</v>
      </c>
      <c r="E583" s="93">
        <v>46046</v>
      </c>
      <c r="F583" s="102" t="s">
        <v>2081</v>
      </c>
      <c r="G583" s="102" t="s">
        <v>2079</v>
      </c>
      <c r="H583" s="102" t="s">
        <v>1480</v>
      </c>
      <c r="I583">
        <v>43</v>
      </c>
      <c r="J583">
        <v>43</v>
      </c>
      <c r="K583">
        <v>43</v>
      </c>
      <c r="L583">
        <v>43</v>
      </c>
      <c r="M583" s="102" t="s">
        <v>1099</v>
      </c>
      <c r="N583" s="102" t="s">
        <v>1481</v>
      </c>
      <c r="O583" s="93">
        <v>46046</v>
      </c>
    </row>
    <row r="584" spans="1:15" x14ac:dyDescent="0.3">
      <c r="A584" s="102" t="s">
        <v>2076</v>
      </c>
      <c r="B584" t="s">
        <v>2077</v>
      </c>
      <c r="C584" s="93">
        <v>46202</v>
      </c>
      <c r="D584" s="93">
        <v>46200</v>
      </c>
      <c r="E584" s="93">
        <v>46200</v>
      </c>
      <c r="F584" s="102" t="s">
        <v>2283</v>
      </c>
      <c r="G584" s="102" t="s">
        <v>2284</v>
      </c>
      <c r="H584" s="102" t="s">
        <v>1480</v>
      </c>
      <c r="I584">
        <v>153</v>
      </c>
      <c r="J584">
        <v>11</v>
      </c>
      <c r="K584">
        <v>11</v>
      </c>
      <c r="L584">
        <v>153</v>
      </c>
      <c r="M584" s="102" t="s">
        <v>1099</v>
      </c>
      <c r="N584" s="102" t="s">
        <v>1481</v>
      </c>
      <c r="O584" s="93">
        <v>46200</v>
      </c>
    </row>
    <row r="585" spans="1:15" x14ac:dyDescent="0.3">
      <c r="A585" s="102" t="s">
        <v>2076</v>
      </c>
      <c r="B585" t="s">
        <v>2077</v>
      </c>
      <c r="C585" s="93">
        <v>46030</v>
      </c>
      <c r="D585" s="93">
        <v>46030</v>
      </c>
      <c r="E585" s="93">
        <v>46030</v>
      </c>
      <c r="F585" s="102" t="s">
        <v>2078</v>
      </c>
      <c r="G585" s="102" t="s">
        <v>2079</v>
      </c>
      <c r="H585" s="102" t="s">
        <v>1480</v>
      </c>
      <c r="I585">
        <v>78</v>
      </c>
      <c r="J585">
        <v>78</v>
      </c>
      <c r="K585">
        <v>78</v>
      </c>
      <c r="L585">
        <v>78</v>
      </c>
      <c r="M585" s="102" t="s">
        <v>1099</v>
      </c>
      <c r="N585" s="102" t="s">
        <v>1481</v>
      </c>
      <c r="O585" s="93">
        <v>46030</v>
      </c>
    </row>
    <row r="586" spans="1:15" x14ac:dyDescent="0.3">
      <c r="A586" s="102" t="s">
        <v>2076</v>
      </c>
      <c r="B586" t="s">
        <v>2077</v>
      </c>
      <c r="C586" s="93">
        <v>46088</v>
      </c>
      <c r="D586" s="93">
        <v>46090</v>
      </c>
      <c r="E586" s="93">
        <v>46090</v>
      </c>
      <c r="F586" s="102" t="s">
        <v>1490</v>
      </c>
      <c r="G586" s="102" t="s">
        <v>2080</v>
      </c>
      <c r="H586" s="102" t="s">
        <v>1480</v>
      </c>
      <c r="I586">
        <v>6</v>
      </c>
      <c r="J586">
        <v>6</v>
      </c>
      <c r="K586">
        <v>6</v>
      </c>
      <c r="L586">
        <v>6</v>
      </c>
      <c r="M586" s="102" t="s">
        <v>1099</v>
      </c>
      <c r="N586" s="102" t="s">
        <v>1481</v>
      </c>
      <c r="O586" s="93">
        <v>46046</v>
      </c>
    </row>
    <row r="587" spans="1:15" x14ac:dyDescent="0.3">
      <c r="A587" s="102" t="s">
        <v>2076</v>
      </c>
      <c r="B587" t="s">
        <v>2077</v>
      </c>
      <c r="C587" s="93">
        <v>46197</v>
      </c>
      <c r="D587" s="93">
        <v>46197</v>
      </c>
      <c r="E587" s="93">
        <v>46197</v>
      </c>
      <c r="F587" s="102" t="s">
        <v>2047</v>
      </c>
      <c r="G587" s="102" t="s">
        <v>2083</v>
      </c>
      <c r="H587" s="102" t="s">
        <v>1480</v>
      </c>
      <c r="I587">
        <v>60</v>
      </c>
      <c r="J587">
        <v>60</v>
      </c>
      <c r="K587">
        <v>60</v>
      </c>
      <c r="L587">
        <v>60</v>
      </c>
      <c r="M587" s="102" t="s">
        <v>1099</v>
      </c>
      <c r="N587" s="102" t="s">
        <v>1481</v>
      </c>
      <c r="O587" s="93">
        <v>46197</v>
      </c>
    </row>
    <row r="588" spans="1:15" x14ac:dyDescent="0.3">
      <c r="A588" s="102" t="s">
        <v>2076</v>
      </c>
      <c r="B588" t="s">
        <v>2077</v>
      </c>
      <c r="C588" s="93">
        <v>46066</v>
      </c>
      <c r="D588" s="93">
        <v>46066</v>
      </c>
      <c r="E588" s="93">
        <v>46066</v>
      </c>
      <c r="F588" s="102" t="s">
        <v>2081</v>
      </c>
      <c r="G588" s="102" t="s">
        <v>2082</v>
      </c>
      <c r="H588" s="102" t="s">
        <v>1480</v>
      </c>
      <c r="I588">
        <v>31.7</v>
      </c>
      <c r="J588">
        <v>31.7</v>
      </c>
      <c r="K588">
        <v>31.7</v>
      </c>
      <c r="L588">
        <v>31.7</v>
      </c>
      <c r="M588" s="102" t="s">
        <v>1099</v>
      </c>
      <c r="N588" s="102" t="s">
        <v>1481</v>
      </c>
      <c r="O588" s="93">
        <v>46066</v>
      </c>
    </row>
    <row r="589" spans="1:15" x14ac:dyDescent="0.3">
      <c r="A589" s="102" t="s">
        <v>2076</v>
      </c>
      <c r="B589" t="s">
        <v>2077</v>
      </c>
      <c r="C589" s="93">
        <v>46119</v>
      </c>
      <c r="D589" s="93">
        <v>46119</v>
      </c>
      <c r="E589" s="93">
        <v>46119</v>
      </c>
      <c r="F589" s="102" t="s">
        <v>1490</v>
      </c>
      <c r="G589" s="102" t="s">
        <v>1591</v>
      </c>
      <c r="H589" s="102" t="s">
        <v>1480</v>
      </c>
      <c r="I589">
        <v>788.89</v>
      </c>
      <c r="J589">
        <v>6</v>
      </c>
      <c r="K589">
        <v>6</v>
      </c>
      <c r="L589">
        <v>788.89</v>
      </c>
      <c r="M589" s="102" t="s">
        <v>1099</v>
      </c>
      <c r="N589" s="102" t="s">
        <v>1481</v>
      </c>
      <c r="O589" s="93">
        <v>46099</v>
      </c>
    </row>
    <row r="590" spans="1:15" x14ac:dyDescent="0.3">
      <c r="A590" s="102" t="s">
        <v>2076</v>
      </c>
      <c r="B590" t="s">
        <v>2077</v>
      </c>
      <c r="C590" s="93">
        <v>46046</v>
      </c>
      <c r="D590" s="93">
        <v>46046</v>
      </c>
      <c r="E590" s="93">
        <v>46046</v>
      </c>
      <c r="F590" s="102" t="s">
        <v>2078</v>
      </c>
      <c r="G590" s="102" t="s">
        <v>2079</v>
      </c>
      <c r="H590" s="102" t="s">
        <v>1480</v>
      </c>
      <c r="I590">
        <v>24</v>
      </c>
      <c r="J590">
        <v>24</v>
      </c>
      <c r="K590">
        <v>24</v>
      </c>
      <c r="L590">
        <v>24</v>
      </c>
      <c r="M590" s="102" t="s">
        <v>1099</v>
      </c>
      <c r="N590" s="102" t="s">
        <v>1481</v>
      </c>
      <c r="O590" s="93">
        <v>46046</v>
      </c>
    </row>
    <row r="591" spans="1:15" x14ac:dyDescent="0.3">
      <c r="A591" s="102" t="s">
        <v>2084</v>
      </c>
      <c r="B591" t="s">
        <v>1942</v>
      </c>
      <c r="C591" s="93">
        <v>46119</v>
      </c>
      <c r="D591" s="93">
        <v>46119</v>
      </c>
      <c r="E591" s="93">
        <v>46119</v>
      </c>
      <c r="F591" s="102" t="s">
        <v>1490</v>
      </c>
      <c r="G591" s="102" t="s">
        <v>2086</v>
      </c>
      <c r="H591" s="102" t="s">
        <v>1480</v>
      </c>
      <c r="I591">
        <v>179.23</v>
      </c>
      <c r="J591">
        <v>100.23</v>
      </c>
      <c r="K591">
        <v>100.23</v>
      </c>
      <c r="L591">
        <v>179.23</v>
      </c>
      <c r="M591" s="102" t="s">
        <v>1099</v>
      </c>
      <c r="N591" s="102" t="s">
        <v>1481</v>
      </c>
      <c r="O591" s="93">
        <v>46085</v>
      </c>
    </row>
    <row r="592" spans="1:15" x14ac:dyDescent="0.3">
      <c r="A592" s="102" t="s">
        <v>2084</v>
      </c>
      <c r="B592" t="s">
        <v>1942</v>
      </c>
      <c r="C592" s="93">
        <v>46058</v>
      </c>
      <c r="D592" s="93">
        <v>46060</v>
      </c>
      <c r="E592" s="93">
        <v>46060</v>
      </c>
      <c r="F592" s="102" t="s">
        <v>1571</v>
      </c>
      <c r="G592" s="102" t="s">
        <v>2003</v>
      </c>
      <c r="H592" s="102" t="s">
        <v>1480</v>
      </c>
      <c r="I592">
        <v>469.09</v>
      </c>
      <c r="J592">
        <v>260</v>
      </c>
      <c r="K592">
        <v>260</v>
      </c>
      <c r="L592">
        <v>469.09</v>
      </c>
      <c r="M592" s="102" t="s">
        <v>1099</v>
      </c>
      <c r="N592" s="102" t="s">
        <v>1481</v>
      </c>
      <c r="O592" s="93">
        <v>46036</v>
      </c>
    </row>
    <row r="593" spans="1:15" x14ac:dyDescent="0.3">
      <c r="A593" s="102" t="s">
        <v>2084</v>
      </c>
      <c r="B593" t="s">
        <v>1942</v>
      </c>
      <c r="C593" s="93">
        <v>46149</v>
      </c>
      <c r="D593" s="93">
        <v>46148</v>
      </c>
      <c r="E593" s="93">
        <v>46148</v>
      </c>
      <c r="F593" s="102" t="s">
        <v>1490</v>
      </c>
      <c r="G593" s="102" t="s">
        <v>2089</v>
      </c>
      <c r="H593" s="102" t="s">
        <v>1480</v>
      </c>
      <c r="I593">
        <v>492.86</v>
      </c>
      <c r="J593">
        <v>200.46</v>
      </c>
      <c r="K593">
        <v>200.46</v>
      </c>
      <c r="L593">
        <v>492.86</v>
      </c>
      <c r="M593" s="102" t="s">
        <v>1099</v>
      </c>
      <c r="N593" s="102" t="s">
        <v>1481</v>
      </c>
      <c r="O593" s="93">
        <v>46119</v>
      </c>
    </row>
    <row r="594" spans="1:15" x14ac:dyDescent="0.3">
      <c r="A594" s="102" t="s">
        <v>2084</v>
      </c>
      <c r="B594" t="s">
        <v>1942</v>
      </c>
      <c r="C594" s="93">
        <v>46210</v>
      </c>
      <c r="D594" s="93"/>
      <c r="E594" s="93"/>
      <c r="F594" s="102" t="s">
        <v>1490</v>
      </c>
      <c r="G594" s="102" t="s">
        <v>1590</v>
      </c>
      <c r="H594" s="102" t="s">
        <v>1480</v>
      </c>
      <c r="I594">
        <v>461.77</v>
      </c>
      <c r="J594">
        <v>100.23</v>
      </c>
      <c r="K594">
        <v>100.23</v>
      </c>
      <c r="L594">
        <v>0</v>
      </c>
      <c r="M594" s="102" t="s">
        <v>1099</v>
      </c>
      <c r="N594" s="102" t="s">
        <v>1481</v>
      </c>
      <c r="O594" s="93">
        <v>46190</v>
      </c>
    </row>
    <row r="595" spans="1:15" x14ac:dyDescent="0.3">
      <c r="A595" s="102" t="s">
        <v>2084</v>
      </c>
      <c r="B595" t="s">
        <v>1942</v>
      </c>
      <c r="C595" s="93">
        <v>46092</v>
      </c>
      <c r="D595" s="93">
        <v>46127</v>
      </c>
      <c r="E595" s="93">
        <v>46127</v>
      </c>
      <c r="F595" s="102" t="s">
        <v>1571</v>
      </c>
      <c r="G595" s="102" t="s">
        <v>2090</v>
      </c>
      <c r="H595" s="102" t="s">
        <v>1480</v>
      </c>
      <c r="I595">
        <v>260</v>
      </c>
      <c r="J595">
        <v>260</v>
      </c>
      <c r="K595">
        <v>260</v>
      </c>
      <c r="L595">
        <v>260</v>
      </c>
      <c r="M595" s="102" t="s">
        <v>1099</v>
      </c>
      <c r="N595" s="102" t="s">
        <v>1481</v>
      </c>
      <c r="O595" s="93">
        <v>46092</v>
      </c>
    </row>
    <row r="596" spans="1:15" x14ac:dyDescent="0.3">
      <c r="A596" s="102" t="s">
        <v>2084</v>
      </c>
      <c r="B596" t="s">
        <v>1942</v>
      </c>
      <c r="C596" s="93">
        <v>46086</v>
      </c>
      <c r="D596" s="93">
        <v>46086</v>
      </c>
      <c r="E596" s="93">
        <v>46086</v>
      </c>
      <c r="F596" s="102" t="s">
        <v>1571</v>
      </c>
      <c r="G596" s="102" t="s">
        <v>2022</v>
      </c>
      <c r="H596" s="102" t="s">
        <v>1480</v>
      </c>
      <c r="I596">
        <v>495.6</v>
      </c>
      <c r="J596">
        <v>260</v>
      </c>
      <c r="K596">
        <v>260</v>
      </c>
      <c r="L596">
        <v>495.6</v>
      </c>
      <c r="M596" s="102" t="s">
        <v>1099</v>
      </c>
      <c r="N596" s="102" t="s">
        <v>1481</v>
      </c>
      <c r="O596" s="93">
        <v>46065</v>
      </c>
    </row>
    <row r="597" spans="1:15" x14ac:dyDescent="0.3">
      <c r="A597" s="102" t="s">
        <v>2084</v>
      </c>
      <c r="B597" t="s">
        <v>1942</v>
      </c>
      <c r="C597" s="93">
        <v>46119</v>
      </c>
      <c r="D597" s="93">
        <v>46119</v>
      </c>
      <c r="E597" s="93">
        <v>46119</v>
      </c>
      <c r="F597" s="102" t="s">
        <v>1490</v>
      </c>
      <c r="G597" s="102" t="s">
        <v>2087</v>
      </c>
      <c r="H597" s="102" t="s">
        <v>1480</v>
      </c>
      <c r="I597">
        <v>19531.71</v>
      </c>
      <c r="J597">
        <v>102.86</v>
      </c>
      <c r="K597">
        <v>102.86</v>
      </c>
      <c r="L597">
        <v>19531.71</v>
      </c>
      <c r="M597" s="102" t="s">
        <v>1099</v>
      </c>
      <c r="N597" s="102" t="s">
        <v>1481</v>
      </c>
      <c r="O597" s="93">
        <v>46074</v>
      </c>
    </row>
    <row r="598" spans="1:15" x14ac:dyDescent="0.3">
      <c r="A598" s="102" t="s">
        <v>2084</v>
      </c>
      <c r="B598" t="s">
        <v>1942</v>
      </c>
      <c r="C598" s="93">
        <v>46197</v>
      </c>
      <c r="D598" s="93">
        <v>46204</v>
      </c>
      <c r="E598" s="93">
        <v>46204</v>
      </c>
      <c r="F598" s="102" t="s">
        <v>1571</v>
      </c>
      <c r="G598" s="102" t="s">
        <v>2335</v>
      </c>
      <c r="H598" s="102" t="s">
        <v>1480</v>
      </c>
      <c r="I598">
        <v>190</v>
      </c>
      <c r="J598">
        <v>140</v>
      </c>
      <c r="K598">
        <v>140</v>
      </c>
      <c r="L598">
        <v>190</v>
      </c>
      <c r="M598" s="102" t="s">
        <v>1099</v>
      </c>
      <c r="N598" s="102" t="s">
        <v>1481</v>
      </c>
      <c r="O598" s="93">
        <v>46197</v>
      </c>
    </row>
    <row r="599" spans="1:15" x14ac:dyDescent="0.3">
      <c r="A599" s="102" t="s">
        <v>2084</v>
      </c>
      <c r="B599" t="s">
        <v>1942</v>
      </c>
      <c r="C599" s="93">
        <v>46180</v>
      </c>
      <c r="D599" s="93">
        <v>46180</v>
      </c>
      <c r="E599" s="93">
        <v>46180</v>
      </c>
      <c r="F599" s="102" t="s">
        <v>1490</v>
      </c>
      <c r="G599" s="102" t="s">
        <v>1585</v>
      </c>
      <c r="H599" s="102" t="s">
        <v>1480</v>
      </c>
      <c r="I599">
        <v>1403.41</v>
      </c>
      <c r="J599">
        <v>100.23</v>
      </c>
      <c r="K599">
        <v>100.23</v>
      </c>
      <c r="L599">
        <v>1403.41</v>
      </c>
      <c r="M599" s="102" t="s">
        <v>1099</v>
      </c>
      <c r="N599" s="102" t="s">
        <v>1481</v>
      </c>
      <c r="O599" s="93">
        <v>46162</v>
      </c>
    </row>
    <row r="600" spans="1:15" x14ac:dyDescent="0.3">
      <c r="A600" s="102" t="s">
        <v>2084</v>
      </c>
      <c r="B600" t="s">
        <v>1942</v>
      </c>
      <c r="C600" s="93">
        <v>46060</v>
      </c>
      <c r="D600" s="93">
        <v>46060</v>
      </c>
      <c r="E600" s="93">
        <v>46060</v>
      </c>
      <c r="F600" s="102" t="s">
        <v>1490</v>
      </c>
      <c r="G600" s="102" t="s">
        <v>2085</v>
      </c>
      <c r="H600" s="102" t="s">
        <v>1480</v>
      </c>
      <c r="I600">
        <v>12700.61</v>
      </c>
      <c r="J600">
        <v>103.49</v>
      </c>
      <c r="K600">
        <v>103.492</v>
      </c>
      <c r="L600">
        <v>12700.61</v>
      </c>
      <c r="M600" s="102" t="s">
        <v>1099</v>
      </c>
      <c r="N600" s="102" t="s">
        <v>1481</v>
      </c>
      <c r="O600" s="93">
        <v>46010</v>
      </c>
    </row>
    <row r="601" spans="1:15" x14ac:dyDescent="0.3">
      <c r="A601" s="102" t="s">
        <v>2084</v>
      </c>
      <c r="B601" t="s">
        <v>1942</v>
      </c>
      <c r="C601" s="93">
        <v>46180</v>
      </c>
      <c r="D601" s="93">
        <v>46180</v>
      </c>
      <c r="E601" s="93">
        <v>46180</v>
      </c>
      <c r="F601" s="102" t="s">
        <v>1490</v>
      </c>
      <c r="G601" s="102" t="s">
        <v>1582</v>
      </c>
      <c r="H601" s="102" t="s">
        <v>1480</v>
      </c>
      <c r="I601">
        <v>2822.89</v>
      </c>
      <c r="J601">
        <v>300.69</v>
      </c>
      <c r="K601">
        <v>300.69</v>
      </c>
      <c r="L601">
        <v>2822.89</v>
      </c>
      <c r="M601" s="102" t="s">
        <v>1099</v>
      </c>
      <c r="N601" s="102" t="s">
        <v>1481</v>
      </c>
      <c r="O601" s="93">
        <v>46146</v>
      </c>
    </row>
    <row r="602" spans="1:15" x14ac:dyDescent="0.3">
      <c r="A602" s="102" t="s">
        <v>2084</v>
      </c>
      <c r="B602" t="s">
        <v>1942</v>
      </c>
      <c r="C602" s="93">
        <v>46149</v>
      </c>
      <c r="D602" s="93">
        <v>46149</v>
      </c>
      <c r="E602" s="93">
        <v>46149</v>
      </c>
      <c r="F602" s="102" t="s">
        <v>1571</v>
      </c>
      <c r="G602" s="102" t="s">
        <v>1956</v>
      </c>
      <c r="H602" s="102" t="s">
        <v>1480</v>
      </c>
      <c r="I602">
        <v>190</v>
      </c>
      <c r="J602">
        <v>140</v>
      </c>
      <c r="K602">
        <v>140</v>
      </c>
      <c r="L602">
        <v>190</v>
      </c>
      <c r="M602" s="102" t="s">
        <v>1099</v>
      </c>
      <c r="N602" s="102" t="s">
        <v>1481</v>
      </c>
      <c r="O602" s="93">
        <v>46125</v>
      </c>
    </row>
    <row r="603" spans="1:15" x14ac:dyDescent="0.3">
      <c r="A603" s="102" t="s">
        <v>2084</v>
      </c>
      <c r="B603" t="s">
        <v>1942</v>
      </c>
      <c r="C603" s="93">
        <v>46119</v>
      </c>
      <c r="D603" s="93">
        <v>46119</v>
      </c>
      <c r="E603" s="93">
        <v>46119</v>
      </c>
      <c r="F603" s="102" t="s">
        <v>1490</v>
      </c>
      <c r="G603" s="102" t="s">
        <v>1924</v>
      </c>
      <c r="H603" s="102" t="s">
        <v>1480</v>
      </c>
      <c r="I603">
        <v>623.85</v>
      </c>
      <c r="J603">
        <v>100.23</v>
      </c>
      <c r="K603">
        <v>100.23</v>
      </c>
      <c r="L603">
        <v>623.85</v>
      </c>
      <c r="M603" s="102" t="s">
        <v>1099</v>
      </c>
      <c r="N603" s="102" t="s">
        <v>1481</v>
      </c>
      <c r="O603" s="93">
        <v>46094</v>
      </c>
    </row>
    <row r="604" spans="1:15" x14ac:dyDescent="0.3">
      <c r="A604" s="102" t="s">
        <v>2084</v>
      </c>
      <c r="B604" t="s">
        <v>1942</v>
      </c>
      <c r="C604" s="93">
        <v>46088</v>
      </c>
      <c r="D604" s="93">
        <v>46090</v>
      </c>
      <c r="E604" s="93">
        <v>46090</v>
      </c>
      <c r="F604" s="102" t="s">
        <v>1490</v>
      </c>
      <c r="G604" s="102" t="s">
        <v>1908</v>
      </c>
      <c r="H604" s="102" t="s">
        <v>1480</v>
      </c>
      <c r="I604">
        <v>4512.28</v>
      </c>
      <c r="J604">
        <v>100.23</v>
      </c>
      <c r="K604">
        <v>100.23</v>
      </c>
      <c r="L604">
        <v>4512.28</v>
      </c>
      <c r="M604" s="102" t="s">
        <v>1099</v>
      </c>
      <c r="N604" s="102" t="s">
        <v>1481</v>
      </c>
      <c r="O604" s="93">
        <v>46046</v>
      </c>
    </row>
    <row r="605" spans="1:15" x14ac:dyDescent="0.3">
      <c r="A605" s="102" t="s">
        <v>2084</v>
      </c>
      <c r="B605" t="s">
        <v>1942</v>
      </c>
      <c r="C605" s="93">
        <v>46210</v>
      </c>
      <c r="D605" s="93"/>
      <c r="E605" s="93"/>
      <c r="F605" s="102" t="s">
        <v>1490</v>
      </c>
      <c r="G605" s="102" t="s">
        <v>1581</v>
      </c>
      <c r="H605" s="102" t="s">
        <v>1480</v>
      </c>
      <c r="I605">
        <v>546.97</v>
      </c>
      <c r="J605">
        <v>300.69</v>
      </c>
      <c r="K605">
        <v>300.69</v>
      </c>
      <c r="L605">
        <v>0</v>
      </c>
      <c r="M605" s="102" t="s">
        <v>1099</v>
      </c>
      <c r="N605" s="102" t="s">
        <v>1481</v>
      </c>
      <c r="O605" s="93">
        <v>46176</v>
      </c>
    </row>
    <row r="606" spans="1:15" x14ac:dyDescent="0.3">
      <c r="A606" s="102" t="s">
        <v>2084</v>
      </c>
      <c r="B606" t="s">
        <v>1942</v>
      </c>
      <c r="C606" s="93">
        <v>46210</v>
      </c>
      <c r="D606" s="93"/>
      <c r="E606" s="93"/>
      <c r="F606" s="102" t="s">
        <v>1490</v>
      </c>
      <c r="G606" s="102" t="s">
        <v>1583</v>
      </c>
      <c r="H606" s="102" t="s">
        <v>1480</v>
      </c>
      <c r="I606">
        <v>285.94</v>
      </c>
      <c r="J606">
        <v>80.989999999999995</v>
      </c>
      <c r="K606">
        <v>80.989999999999995</v>
      </c>
      <c r="L606">
        <v>0</v>
      </c>
      <c r="M606" s="102" t="s">
        <v>1099</v>
      </c>
      <c r="N606" s="102" t="s">
        <v>1481</v>
      </c>
      <c r="O606" s="93">
        <v>46164</v>
      </c>
    </row>
    <row r="607" spans="1:15" x14ac:dyDescent="0.3">
      <c r="A607" s="102" t="s">
        <v>2084</v>
      </c>
      <c r="B607" t="s">
        <v>1942</v>
      </c>
      <c r="C607" s="93">
        <v>46088</v>
      </c>
      <c r="D607" s="93">
        <v>46090</v>
      </c>
      <c r="E607" s="93">
        <v>46090</v>
      </c>
      <c r="F607" s="102" t="s">
        <v>1490</v>
      </c>
      <c r="G607" s="102" t="s">
        <v>1587</v>
      </c>
      <c r="H607" s="102" t="s">
        <v>1480</v>
      </c>
      <c r="I607">
        <v>388.73</v>
      </c>
      <c r="J607">
        <v>100.23</v>
      </c>
      <c r="K607">
        <v>100.23</v>
      </c>
      <c r="L607">
        <v>388.73</v>
      </c>
      <c r="M607" s="102" t="s">
        <v>1099</v>
      </c>
      <c r="N607" s="102" t="s">
        <v>1481</v>
      </c>
      <c r="O607" s="93">
        <v>46055</v>
      </c>
    </row>
    <row r="608" spans="1:15" x14ac:dyDescent="0.3">
      <c r="A608" s="102" t="s">
        <v>2084</v>
      </c>
      <c r="B608" t="s">
        <v>1942</v>
      </c>
      <c r="C608" s="93">
        <v>46241</v>
      </c>
      <c r="D608" s="93"/>
      <c r="E608" s="93"/>
      <c r="F608" s="102" t="s">
        <v>1490</v>
      </c>
      <c r="G608" s="102" t="s">
        <v>2327</v>
      </c>
      <c r="H608" s="102" t="s">
        <v>1480</v>
      </c>
      <c r="I608">
        <v>2502</v>
      </c>
      <c r="J608">
        <v>477.2</v>
      </c>
      <c r="K608">
        <v>477.2</v>
      </c>
      <c r="L608">
        <v>0</v>
      </c>
      <c r="M608" s="102" t="s">
        <v>1099</v>
      </c>
      <c r="N608" s="102" t="s">
        <v>1481</v>
      </c>
      <c r="O608" s="93">
        <v>46204</v>
      </c>
    </row>
    <row r="609" spans="1:15" x14ac:dyDescent="0.3">
      <c r="A609" s="102" t="s">
        <v>2084</v>
      </c>
      <c r="B609" t="s">
        <v>1942</v>
      </c>
      <c r="C609" s="93">
        <v>46176</v>
      </c>
      <c r="D609" s="93">
        <v>46204</v>
      </c>
      <c r="E609" s="93">
        <v>46204</v>
      </c>
      <c r="F609" s="102" t="s">
        <v>1571</v>
      </c>
      <c r="G609" s="102" t="s">
        <v>2339</v>
      </c>
      <c r="H609" s="102" t="s">
        <v>1480</v>
      </c>
      <c r="I609">
        <v>140</v>
      </c>
      <c r="J609">
        <v>140</v>
      </c>
      <c r="K609">
        <v>140</v>
      </c>
      <c r="L609">
        <v>140</v>
      </c>
      <c r="M609" s="102" t="s">
        <v>1099</v>
      </c>
      <c r="N609" s="102" t="s">
        <v>1481</v>
      </c>
      <c r="O609" s="93">
        <v>46176</v>
      </c>
    </row>
    <row r="610" spans="1:15" x14ac:dyDescent="0.3">
      <c r="A610" s="102" t="s">
        <v>2084</v>
      </c>
      <c r="B610" t="s">
        <v>1942</v>
      </c>
      <c r="C610" s="93">
        <v>46060</v>
      </c>
      <c r="D610" s="93">
        <v>46060</v>
      </c>
      <c r="E610" s="93">
        <v>46060</v>
      </c>
      <c r="F610" s="102" t="s">
        <v>1490</v>
      </c>
      <c r="G610" s="102" t="s">
        <v>1588</v>
      </c>
      <c r="H610" s="102" t="s">
        <v>1480</v>
      </c>
      <c r="I610">
        <v>487.28</v>
      </c>
      <c r="J610">
        <v>120.28</v>
      </c>
      <c r="K610">
        <v>120.28</v>
      </c>
      <c r="L610">
        <v>487.28</v>
      </c>
      <c r="M610" s="102" t="s">
        <v>1099</v>
      </c>
      <c r="N610" s="102" t="s">
        <v>1481</v>
      </c>
      <c r="O610" s="93">
        <v>46024</v>
      </c>
    </row>
    <row r="611" spans="1:15" x14ac:dyDescent="0.3">
      <c r="A611" s="102" t="s">
        <v>2084</v>
      </c>
      <c r="B611" t="s">
        <v>1942</v>
      </c>
      <c r="C611" s="93">
        <v>46149</v>
      </c>
      <c r="D611" s="93">
        <v>46148</v>
      </c>
      <c r="E611" s="93">
        <v>46148</v>
      </c>
      <c r="F611" s="102" t="s">
        <v>1490</v>
      </c>
      <c r="G611" s="102" t="s">
        <v>2088</v>
      </c>
      <c r="H611" s="102" t="s">
        <v>1480</v>
      </c>
      <c r="I611">
        <v>9146.9500000000007</v>
      </c>
      <c r="J611">
        <v>103.72</v>
      </c>
      <c r="K611">
        <v>103.72</v>
      </c>
      <c r="L611">
        <v>9146.9500000000007</v>
      </c>
      <c r="M611" s="102" t="s">
        <v>1099</v>
      </c>
      <c r="N611" s="102" t="s">
        <v>1481</v>
      </c>
      <c r="O611" s="93">
        <v>46104</v>
      </c>
    </row>
    <row r="612" spans="1:15" x14ac:dyDescent="0.3">
      <c r="A612" s="102" t="s">
        <v>2091</v>
      </c>
      <c r="B612" t="s">
        <v>2092</v>
      </c>
      <c r="C612" s="93">
        <v>46093</v>
      </c>
      <c r="D612" s="93">
        <v>46080</v>
      </c>
      <c r="E612" s="93">
        <v>46080</v>
      </c>
      <c r="F612" s="102" t="s">
        <v>2093</v>
      </c>
      <c r="G612" s="102" t="s">
        <v>2099</v>
      </c>
      <c r="H612" s="102" t="s">
        <v>1480</v>
      </c>
      <c r="I612">
        <v>330.3</v>
      </c>
      <c r="J612">
        <v>330.3</v>
      </c>
      <c r="K612">
        <v>330.3</v>
      </c>
      <c r="L612">
        <v>330.3</v>
      </c>
      <c r="M612" s="102" t="s">
        <v>1099</v>
      </c>
      <c r="N612" s="102" t="s">
        <v>1481</v>
      </c>
      <c r="O612" s="93">
        <v>46078</v>
      </c>
    </row>
    <row r="613" spans="1:15" x14ac:dyDescent="0.3">
      <c r="A613" s="102" t="s">
        <v>2091</v>
      </c>
      <c r="B613" t="s">
        <v>2092</v>
      </c>
      <c r="C613" s="93">
        <v>46034</v>
      </c>
      <c r="D613" s="93">
        <v>46020</v>
      </c>
      <c r="E613" s="93">
        <v>46020</v>
      </c>
      <c r="F613" s="102" t="s">
        <v>2093</v>
      </c>
      <c r="G613" s="102" t="s">
        <v>2096</v>
      </c>
      <c r="H613" s="102" t="s">
        <v>1480</v>
      </c>
      <c r="I613">
        <v>330.3</v>
      </c>
      <c r="J613">
        <v>330.3</v>
      </c>
      <c r="K613">
        <v>330.3</v>
      </c>
      <c r="L613">
        <v>330.3</v>
      </c>
      <c r="M613" s="102" t="s">
        <v>1099</v>
      </c>
      <c r="N613" s="102" t="s">
        <v>1481</v>
      </c>
      <c r="O613" s="93">
        <v>46016</v>
      </c>
    </row>
    <row r="614" spans="1:15" x14ac:dyDescent="0.3">
      <c r="A614" s="102" t="s">
        <v>2091</v>
      </c>
      <c r="B614" t="s">
        <v>2092</v>
      </c>
      <c r="C614" s="93">
        <v>46154</v>
      </c>
      <c r="D614" s="93">
        <v>46143</v>
      </c>
      <c r="E614" s="93">
        <v>46143</v>
      </c>
      <c r="F614" s="102" t="s">
        <v>2093</v>
      </c>
      <c r="G614" s="102" t="s">
        <v>2097</v>
      </c>
      <c r="H614" s="102" t="s">
        <v>1480</v>
      </c>
      <c r="I614">
        <v>330.3</v>
      </c>
      <c r="J614">
        <v>330.3</v>
      </c>
      <c r="K614">
        <v>330.3</v>
      </c>
      <c r="L614">
        <v>330.3</v>
      </c>
      <c r="M614" s="102" t="s">
        <v>1099</v>
      </c>
      <c r="N614" s="102" t="s">
        <v>1481</v>
      </c>
      <c r="O614" s="93">
        <v>46142</v>
      </c>
    </row>
    <row r="615" spans="1:15" x14ac:dyDescent="0.3">
      <c r="A615" s="102" t="s">
        <v>2091</v>
      </c>
      <c r="B615" t="s">
        <v>2092</v>
      </c>
      <c r="C615" s="93">
        <v>46124</v>
      </c>
      <c r="D615" s="93">
        <v>46107</v>
      </c>
      <c r="E615" s="93">
        <v>46107</v>
      </c>
      <c r="F615" s="102" t="s">
        <v>2093</v>
      </c>
      <c r="G615" s="102" t="s">
        <v>2095</v>
      </c>
      <c r="H615" s="102" t="s">
        <v>1480</v>
      </c>
      <c r="I615">
        <v>330.3</v>
      </c>
      <c r="J615">
        <v>330.3</v>
      </c>
      <c r="K615">
        <v>330.3</v>
      </c>
      <c r="L615">
        <v>330.3</v>
      </c>
      <c r="M615" s="102" t="s">
        <v>1099</v>
      </c>
      <c r="N615" s="102" t="s">
        <v>1481</v>
      </c>
      <c r="O615" s="93">
        <v>46112</v>
      </c>
    </row>
    <row r="616" spans="1:15" x14ac:dyDescent="0.3">
      <c r="A616" s="102" t="s">
        <v>2091</v>
      </c>
      <c r="B616" t="s">
        <v>2092</v>
      </c>
      <c r="C616" s="93">
        <v>46185</v>
      </c>
      <c r="D616" s="93">
        <v>46184</v>
      </c>
      <c r="E616" s="93">
        <v>46184</v>
      </c>
      <c r="F616" s="102" t="s">
        <v>2093</v>
      </c>
      <c r="G616" s="102" t="s">
        <v>2098</v>
      </c>
      <c r="H616" s="102" t="s">
        <v>1480</v>
      </c>
      <c r="I616">
        <v>330.3</v>
      </c>
      <c r="J616">
        <v>330.3</v>
      </c>
      <c r="K616">
        <v>330.3</v>
      </c>
      <c r="L616">
        <v>330.3</v>
      </c>
      <c r="M616" s="102" t="s">
        <v>1099</v>
      </c>
      <c r="N616" s="102" t="s">
        <v>1481</v>
      </c>
      <c r="O616" s="93">
        <v>46173</v>
      </c>
    </row>
    <row r="617" spans="1:15" x14ac:dyDescent="0.3">
      <c r="A617" s="102" t="s">
        <v>2091</v>
      </c>
      <c r="B617" t="s">
        <v>2092</v>
      </c>
      <c r="C617" s="93">
        <v>46215</v>
      </c>
      <c r="D617" s="93">
        <v>46200</v>
      </c>
      <c r="E617" s="93">
        <v>46200</v>
      </c>
      <c r="F617" s="102" t="s">
        <v>2093</v>
      </c>
      <c r="G617" s="102" t="s">
        <v>2353</v>
      </c>
      <c r="H617" s="102" t="s">
        <v>1480</v>
      </c>
      <c r="I617">
        <v>330.3</v>
      </c>
      <c r="J617">
        <v>330.3</v>
      </c>
      <c r="K617">
        <v>330.3</v>
      </c>
      <c r="L617">
        <v>330.3</v>
      </c>
      <c r="M617" s="102" t="s">
        <v>1099</v>
      </c>
      <c r="N617" s="102" t="s">
        <v>1481</v>
      </c>
      <c r="O617" s="93">
        <v>46203</v>
      </c>
    </row>
    <row r="618" spans="1:15" x14ac:dyDescent="0.3">
      <c r="A618" s="102" t="s">
        <v>2091</v>
      </c>
      <c r="B618" t="s">
        <v>2092</v>
      </c>
      <c r="C618" s="93">
        <v>46065</v>
      </c>
      <c r="D618" s="93">
        <v>46050</v>
      </c>
      <c r="E618" s="93">
        <v>46050</v>
      </c>
      <c r="F618" s="102" t="s">
        <v>2093</v>
      </c>
      <c r="G618" s="102" t="s">
        <v>2094</v>
      </c>
      <c r="H618" s="102" t="s">
        <v>1480</v>
      </c>
      <c r="I618">
        <v>330.3</v>
      </c>
      <c r="J618">
        <v>330.3</v>
      </c>
      <c r="K618">
        <v>330.3</v>
      </c>
      <c r="L618">
        <v>330.3</v>
      </c>
      <c r="M618" s="102" t="s">
        <v>1099</v>
      </c>
      <c r="N618" s="102" t="s">
        <v>1481</v>
      </c>
      <c r="O618" s="93">
        <v>46048</v>
      </c>
    </row>
    <row r="619" spans="1:15" x14ac:dyDescent="0.3">
      <c r="A619" s="102" t="s">
        <v>2100</v>
      </c>
      <c r="B619" t="s">
        <v>1126</v>
      </c>
      <c r="C619" s="93">
        <v>46117</v>
      </c>
      <c r="D619" s="93">
        <v>46109</v>
      </c>
      <c r="E619" s="93">
        <v>46109</v>
      </c>
      <c r="F619" s="102" t="s">
        <v>1683</v>
      </c>
      <c r="G619" s="102" t="s">
        <v>1687</v>
      </c>
      <c r="H619" s="102" t="s">
        <v>1693</v>
      </c>
      <c r="I619">
        <v>500</v>
      </c>
      <c r="J619">
        <v>54.47</v>
      </c>
      <c r="K619">
        <v>54.466000000000001</v>
      </c>
      <c r="L619">
        <v>500</v>
      </c>
      <c r="M619" s="102" t="s">
        <v>1099</v>
      </c>
      <c r="N619" s="102" t="s">
        <v>1481</v>
      </c>
      <c r="O619" s="93">
        <v>46113</v>
      </c>
    </row>
    <row r="620" spans="1:15" x14ac:dyDescent="0.3">
      <c r="A620" s="102" t="s">
        <v>2100</v>
      </c>
      <c r="B620" t="s">
        <v>1126</v>
      </c>
      <c r="C620" s="93">
        <v>46177</v>
      </c>
      <c r="D620" s="93">
        <v>46177</v>
      </c>
      <c r="E620" s="93">
        <v>46177</v>
      </c>
      <c r="F620" s="102" t="s">
        <v>133</v>
      </c>
      <c r="G620" s="102" t="s">
        <v>2107</v>
      </c>
      <c r="H620" s="102" t="s">
        <v>1688</v>
      </c>
      <c r="I620">
        <v>500</v>
      </c>
      <c r="J620">
        <v>500</v>
      </c>
      <c r="K620">
        <v>500</v>
      </c>
      <c r="L620">
        <v>500</v>
      </c>
      <c r="M620" s="102" t="s">
        <v>1099</v>
      </c>
      <c r="N620" s="102" t="s">
        <v>1481</v>
      </c>
      <c r="O620" s="93">
        <v>46177</v>
      </c>
    </row>
    <row r="621" spans="1:15" x14ac:dyDescent="0.3">
      <c r="A621" s="102" t="s">
        <v>2100</v>
      </c>
      <c r="B621" t="s">
        <v>1126</v>
      </c>
      <c r="C621" s="93">
        <v>46177</v>
      </c>
      <c r="D621" s="93">
        <v>46177</v>
      </c>
      <c r="E621" s="93">
        <v>46177</v>
      </c>
      <c r="F621" s="102" t="s">
        <v>133</v>
      </c>
      <c r="G621" s="102" t="s">
        <v>2107</v>
      </c>
      <c r="H621" s="102" t="s">
        <v>1693</v>
      </c>
      <c r="I621">
        <v>1000</v>
      </c>
      <c r="J621">
        <v>1000</v>
      </c>
      <c r="K621">
        <v>1000</v>
      </c>
      <c r="L621">
        <v>1000</v>
      </c>
      <c r="M621" s="102" t="s">
        <v>1099</v>
      </c>
      <c r="N621" s="102" t="s">
        <v>1481</v>
      </c>
      <c r="O621" s="93">
        <v>46177</v>
      </c>
    </row>
    <row r="622" spans="1:15" x14ac:dyDescent="0.3">
      <c r="A622" s="102" t="s">
        <v>2100</v>
      </c>
      <c r="B622" t="s">
        <v>1126</v>
      </c>
      <c r="C622" s="93">
        <v>46177</v>
      </c>
      <c r="D622" s="93">
        <v>46177</v>
      </c>
      <c r="E622" s="93">
        <v>46177</v>
      </c>
      <c r="F622" s="102" t="s">
        <v>126</v>
      </c>
      <c r="G622" s="102" t="s">
        <v>2107</v>
      </c>
      <c r="H622" s="102" t="s">
        <v>1480</v>
      </c>
      <c r="I622">
        <v>500</v>
      </c>
      <c r="J622">
        <v>500</v>
      </c>
      <c r="K622">
        <v>500</v>
      </c>
      <c r="L622">
        <v>500</v>
      </c>
      <c r="M622" s="102" t="s">
        <v>1099</v>
      </c>
      <c r="N622" s="102" t="s">
        <v>1481</v>
      </c>
      <c r="O622" s="93">
        <v>46177</v>
      </c>
    </row>
    <row r="623" spans="1:15" x14ac:dyDescent="0.3">
      <c r="A623" s="102" t="s">
        <v>2100</v>
      </c>
      <c r="B623" t="s">
        <v>1126</v>
      </c>
      <c r="C623" s="93">
        <v>46117</v>
      </c>
      <c r="D623" s="93">
        <v>46117</v>
      </c>
      <c r="E623" s="93">
        <v>46117</v>
      </c>
      <c r="F623" s="102" t="s">
        <v>1683</v>
      </c>
      <c r="G623" s="102" t="s">
        <v>1687</v>
      </c>
      <c r="H623" s="102" t="s">
        <v>1688</v>
      </c>
      <c r="I623">
        <v>2254.02</v>
      </c>
      <c r="J623">
        <v>245.53</v>
      </c>
      <c r="K623">
        <v>245.53399999999999</v>
      </c>
      <c r="L623">
        <v>2254.02</v>
      </c>
      <c r="M623" s="102" t="s">
        <v>1099</v>
      </c>
      <c r="N623" s="102" t="s">
        <v>1481</v>
      </c>
      <c r="O623" s="93">
        <v>46113</v>
      </c>
    </row>
    <row r="624" spans="1:15" x14ac:dyDescent="0.3">
      <c r="A624" s="102" t="s">
        <v>2100</v>
      </c>
      <c r="B624" t="s">
        <v>1126</v>
      </c>
      <c r="C624" s="93">
        <v>46053</v>
      </c>
      <c r="D624" s="93">
        <v>46053</v>
      </c>
      <c r="E624" s="93">
        <v>46053</v>
      </c>
      <c r="F624" s="102" t="s">
        <v>133</v>
      </c>
      <c r="G624" s="102" t="s">
        <v>2104</v>
      </c>
      <c r="H624" s="102" t="s">
        <v>1480</v>
      </c>
      <c r="I624">
        <v>100</v>
      </c>
      <c r="J624">
        <v>100</v>
      </c>
      <c r="K624">
        <v>100</v>
      </c>
      <c r="L624">
        <v>100</v>
      </c>
      <c r="M624" s="102" t="s">
        <v>1099</v>
      </c>
      <c r="N624" s="102" t="s">
        <v>1481</v>
      </c>
      <c r="O624" s="93">
        <v>46053</v>
      </c>
    </row>
    <row r="625" spans="1:15" x14ac:dyDescent="0.3">
      <c r="A625" s="102" t="s">
        <v>2100</v>
      </c>
      <c r="B625" t="s">
        <v>1126</v>
      </c>
      <c r="C625" s="93">
        <v>46139</v>
      </c>
      <c r="D625" s="93">
        <v>46139</v>
      </c>
      <c r="E625" s="93">
        <v>46139</v>
      </c>
      <c r="F625" s="102" t="s">
        <v>2101</v>
      </c>
      <c r="G625" s="102" t="s">
        <v>2103</v>
      </c>
      <c r="H625" s="102" t="s">
        <v>1480</v>
      </c>
      <c r="I625">
        <v>3690</v>
      </c>
      <c r="J625">
        <v>3690</v>
      </c>
      <c r="K625">
        <v>3690</v>
      </c>
      <c r="L625">
        <v>3690</v>
      </c>
      <c r="M625" s="102" t="s">
        <v>1099</v>
      </c>
      <c r="N625" s="102" t="s">
        <v>1488</v>
      </c>
      <c r="O625" s="93">
        <v>46139</v>
      </c>
    </row>
    <row r="626" spans="1:15" x14ac:dyDescent="0.3">
      <c r="A626" s="102" t="s">
        <v>2100</v>
      </c>
      <c r="B626" t="s">
        <v>1126</v>
      </c>
      <c r="C626" s="93">
        <v>46053</v>
      </c>
      <c r="D626" s="93">
        <v>46053</v>
      </c>
      <c r="E626" s="93">
        <v>46053</v>
      </c>
      <c r="F626" s="102" t="s">
        <v>126</v>
      </c>
      <c r="G626" s="102" t="s">
        <v>2104</v>
      </c>
      <c r="H626" s="102" t="s">
        <v>1480</v>
      </c>
      <c r="I626">
        <v>100</v>
      </c>
      <c r="J626">
        <v>100</v>
      </c>
      <c r="K626">
        <v>100</v>
      </c>
      <c r="L626">
        <v>100</v>
      </c>
      <c r="M626" s="102" t="s">
        <v>1099</v>
      </c>
      <c r="N626" s="102" t="s">
        <v>1481</v>
      </c>
      <c r="O626" s="93">
        <v>46053</v>
      </c>
    </row>
    <row r="627" spans="1:15" x14ac:dyDescent="0.3">
      <c r="A627" s="102" t="s">
        <v>2100</v>
      </c>
      <c r="B627" t="s">
        <v>1126</v>
      </c>
      <c r="C627" s="93">
        <v>46020</v>
      </c>
      <c r="D627" s="93">
        <v>46020</v>
      </c>
      <c r="E627" s="93">
        <v>46020</v>
      </c>
      <c r="F627" s="102" t="s">
        <v>126</v>
      </c>
      <c r="G627" s="102" t="s">
        <v>2102</v>
      </c>
      <c r="H627" s="102" t="s">
        <v>1480</v>
      </c>
      <c r="I627">
        <v>150</v>
      </c>
      <c r="J627">
        <v>150</v>
      </c>
      <c r="K627">
        <v>150</v>
      </c>
      <c r="L627">
        <v>150</v>
      </c>
      <c r="M627" s="102" t="s">
        <v>1099</v>
      </c>
      <c r="N627" s="102" t="s">
        <v>1481</v>
      </c>
      <c r="O627" s="93">
        <v>46020</v>
      </c>
    </row>
    <row r="628" spans="1:15" x14ac:dyDescent="0.3">
      <c r="A628" s="102" t="s">
        <v>2100</v>
      </c>
      <c r="B628" t="s">
        <v>1126</v>
      </c>
      <c r="C628" s="93">
        <v>46020</v>
      </c>
      <c r="D628" s="93">
        <v>46020</v>
      </c>
      <c r="E628" s="93">
        <v>46020</v>
      </c>
      <c r="F628" s="102" t="s">
        <v>2101</v>
      </c>
      <c r="G628" s="102" t="s">
        <v>2102</v>
      </c>
      <c r="H628" s="102" t="s">
        <v>1480</v>
      </c>
      <c r="I628">
        <v>3840</v>
      </c>
      <c r="J628">
        <v>3840</v>
      </c>
      <c r="K628">
        <v>3840</v>
      </c>
      <c r="L628">
        <v>3840</v>
      </c>
      <c r="M628" s="102" t="s">
        <v>1099</v>
      </c>
      <c r="N628" s="102" t="s">
        <v>1481</v>
      </c>
      <c r="O628" s="93">
        <v>46020</v>
      </c>
    </row>
    <row r="629" spans="1:15" x14ac:dyDescent="0.3">
      <c r="A629" s="102" t="s">
        <v>2100</v>
      </c>
      <c r="B629" t="s">
        <v>1126</v>
      </c>
      <c r="C629" s="93">
        <v>46057</v>
      </c>
      <c r="D629" s="93">
        <v>46032</v>
      </c>
      <c r="E629" s="93">
        <v>46032</v>
      </c>
      <c r="F629" s="102" t="s">
        <v>2105</v>
      </c>
      <c r="G629" s="102" t="s">
        <v>2106</v>
      </c>
      <c r="H629" s="102" t="s">
        <v>1480</v>
      </c>
      <c r="I629">
        <v>811.78</v>
      </c>
      <c r="J629">
        <v>811.78</v>
      </c>
      <c r="K629">
        <v>811.78</v>
      </c>
      <c r="L629">
        <v>811.78</v>
      </c>
      <c r="M629" s="102" t="s">
        <v>1099</v>
      </c>
      <c r="N629" s="102" t="s">
        <v>1481</v>
      </c>
      <c r="O629" s="93">
        <v>46027</v>
      </c>
    </row>
    <row r="630" spans="1:15" x14ac:dyDescent="0.3">
      <c r="A630" s="102" t="s">
        <v>2108</v>
      </c>
      <c r="B630" t="s">
        <v>2109</v>
      </c>
      <c r="C630" s="93">
        <v>46105</v>
      </c>
      <c r="D630" s="93">
        <v>46105</v>
      </c>
      <c r="E630" s="93">
        <v>46105</v>
      </c>
      <c r="F630" s="102" t="s">
        <v>2111</v>
      </c>
      <c r="G630" s="102" t="s">
        <v>2112</v>
      </c>
      <c r="H630" s="102" t="s">
        <v>1688</v>
      </c>
      <c r="I630">
        <v>852.22</v>
      </c>
      <c r="J630">
        <v>852.22</v>
      </c>
      <c r="K630">
        <v>852.22</v>
      </c>
      <c r="L630">
        <v>852.22</v>
      </c>
      <c r="M630" s="102" t="s">
        <v>1099</v>
      </c>
      <c r="N630" s="102" t="s">
        <v>1488</v>
      </c>
      <c r="O630" s="93">
        <v>46105</v>
      </c>
    </row>
    <row r="631" spans="1:15" x14ac:dyDescent="0.3">
      <c r="A631" s="102" t="s">
        <v>2108</v>
      </c>
      <c r="B631" t="s">
        <v>2109</v>
      </c>
      <c r="C631" s="93">
        <v>46111</v>
      </c>
      <c r="D631" s="93">
        <v>46113</v>
      </c>
      <c r="E631" s="93">
        <v>46113</v>
      </c>
      <c r="F631" s="102" t="s">
        <v>2110</v>
      </c>
      <c r="G631" s="102" t="s">
        <v>1148</v>
      </c>
      <c r="H631" s="102" t="s">
        <v>1480</v>
      </c>
      <c r="I631">
        <v>964.58</v>
      </c>
      <c r="J631">
        <v>964.58</v>
      </c>
      <c r="K631">
        <v>964.58</v>
      </c>
      <c r="L631">
        <v>964.58</v>
      </c>
      <c r="M631" s="102" t="s">
        <v>1099</v>
      </c>
      <c r="N631" s="102" t="s">
        <v>1488</v>
      </c>
      <c r="O631" s="93">
        <v>46111</v>
      </c>
    </row>
    <row r="632" spans="1:15" x14ac:dyDescent="0.3">
      <c r="A632" s="102" t="s">
        <v>2108</v>
      </c>
      <c r="B632" t="s">
        <v>2109</v>
      </c>
      <c r="C632" s="93">
        <v>46459</v>
      </c>
      <c r="D632" s="93"/>
      <c r="E632" s="93"/>
      <c r="F632" s="102" t="s">
        <v>1487</v>
      </c>
      <c r="G632" s="102" t="s">
        <v>1561</v>
      </c>
      <c r="H632" s="102" t="s">
        <v>1480</v>
      </c>
      <c r="I632">
        <v>4851.8100000000004</v>
      </c>
      <c r="J632">
        <v>4851.8100000000004</v>
      </c>
      <c r="K632">
        <v>4851.8100000000004</v>
      </c>
      <c r="L632">
        <v>0</v>
      </c>
      <c r="M632" s="102" t="s">
        <v>1099</v>
      </c>
      <c r="N632" s="102" t="s">
        <v>1488</v>
      </c>
      <c r="O632" s="93">
        <v>46108</v>
      </c>
    </row>
    <row r="633" spans="1:15" x14ac:dyDescent="0.3">
      <c r="A633" s="102" t="s">
        <v>2108</v>
      </c>
      <c r="B633" t="s">
        <v>2109</v>
      </c>
      <c r="C633" s="93">
        <v>46112</v>
      </c>
      <c r="D633" s="93">
        <v>46112</v>
      </c>
      <c r="E633" s="93">
        <v>46112</v>
      </c>
      <c r="F633" s="102" t="s">
        <v>2111</v>
      </c>
      <c r="G633" s="102" t="s">
        <v>2112</v>
      </c>
      <c r="H633" s="102" t="s">
        <v>1693</v>
      </c>
      <c r="I633">
        <v>595.66</v>
      </c>
      <c r="J633">
        <v>595.66</v>
      </c>
      <c r="K633">
        <v>595.66</v>
      </c>
      <c r="L633">
        <v>595.66</v>
      </c>
      <c r="M633" s="102" t="s">
        <v>1099</v>
      </c>
      <c r="N633" s="102" t="s">
        <v>1488</v>
      </c>
      <c r="O633" s="93">
        <v>46105</v>
      </c>
    </row>
    <row r="634" spans="1:15" x14ac:dyDescent="0.3">
      <c r="A634" s="102" t="s">
        <v>2108</v>
      </c>
      <c r="B634" t="s">
        <v>2109</v>
      </c>
      <c r="C634" s="93">
        <v>46108</v>
      </c>
      <c r="D634" s="93">
        <v>46108</v>
      </c>
      <c r="E634" s="93">
        <v>46108</v>
      </c>
      <c r="F634" s="102" t="s">
        <v>1487</v>
      </c>
      <c r="G634" s="102" t="s">
        <v>1561</v>
      </c>
      <c r="H634" s="102" t="s">
        <v>1480</v>
      </c>
      <c r="I634">
        <v>964.58</v>
      </c>
      <c r="J634">
        <v>964.58</v>
      </c>
      <c r="K634">
        <v>964.58</v>
      </c>
      <c r="L634">
        <v>964.58</v>
      </c>
      <c r="M634" s="102" t="s">
        <v>1099</v>
      </c>
      <c r="N634" s="102" t="s">
        <v>1488</v>
      </c>
      <c r="O634" s="93">
        <v>46108</v>
      </c>
    </row>
    <row r="635" spans="1:15" x14ac:dyDescent="0.3">
      <c r="A635" s="102" t="s">
        <v>2108</v>
      </c>
      <c r="B635" t="s">
        <v>2109</v>
      </c>
      <c r="C635" s="93">
        <v>46459</v>
      </c>
      <c r="F635" s="102" t="s">
        <v>1487</v>
      </c>
      <c r="G635" s="102" t="s">
        <v>1561</v>
      </c>
      <c r="H635" s="102" t="s">
        <v>1480</v>
      </c>
      <c r="I635">
        <v>1862.11</v>
      </c>
      <c r="J635">
        <v>1862.11</v>
      </c>
      <c r="K635">
        <v>1862.11</v>
      </c>
      <c r="L635">
        <v>0</v>
      </c>
      <c r="M635" s="102" t="s">
        <v>1099</v>
      </c>
      <c r="N635" s="102" t="s">
        <v>1488</v>
      </c>
      <c r="O635" s="93">
        <v>46108</v>
      </c>
    </row>
    <row r="636" spans="1:15" x14ac:dyDescent="0.3">
      <c r="A636" s="102" t="s">
        <v>2113</v>
      </c>
      <c r="B636" t="s">
        <v>2114</v>
      </c>
      <c r="C636" s="93">
        <v>46842</v>
      </c>
      <c r="D636" s="93"/>
      <c r="E636" s="93"/>
      <c r="F636" s="102" t="s">
        <v>2115</v>
      </c>
      <c r="G636" s="102" t="s">
        <v>2116</v>
      </c>
      <c r="H636" s="102" t="s">
        <v>2118</v>
      </c>
      <c r="I636">
        <v>36824.379999999997</v>
      </c>
      <c r="J636">
        <v>5012.3900000000003</v>
      </c>
      <c r="K636">
        <v>5012.3879999999999</v>
      </c>
      <c r="L636">
        <v>0</v>
      </c>
      <c r="M636" s="102" t="s">
        <v>1099</v>
      </c>
      <c r="N636" s="102" t="s">
        <v>1481</v>
      </c>
      <c r="O636" s="93">
        <v>46188</v>
      </c>
    </row>
    <row r="637" spans="1:15" x14ac:dyDescent="0.3">
      <c r="A637" s="102" t="s">
        <v>2113</v>
      </c>
      <c r="B637" t="s">
        <v>2114</v>
      </c>
      <c r="C637" s="93">
        <v>46629</v>
      </c>
      <c r="D637" s="93"/>
      <c r="E637" s="93"/>
      <c r="F637" s="102" t="s">
        <v>2115</v>
      </c>
      <c r="G637" s="102" t="s">
        <v>2116</v>
      </c>
      <c r="H637" s="102" t="s">
        <v>2117</v>
      </c>
      <c r="I637">
        <v>34295.660000000003</v>
      </c>
      <c r="J637">
        <v>4668.1899999999996</v>
      </c>
      <c r="K637">
        <v>4668.1890000000003</v>
      </c>
      <c r="L637">
        <v>0</v>
      </c>
      <c r="M637" s="102" t="s">
        <v>1099</v>
      </c>
      <c r="N637" s="102" t="s">
        <v>1481</v>
      </c>
      <c r="O637" s="93">
        <v>46188</v>
      </c>
    </row>
    <row r="638" spans="1:15" x14ac:dyDescent="0.3">
      <c r="A638" s="102" t="s">
        <v>2113</v>
      </c>
      <c r="B638" t="s">
        <v>2114</v>
      </c>
      <c r="C638" s="93">
        <v>46476</v>
      </c>
      <c r="D638" s="93"/>
      <c r="E638" s="93"/>
      <c r="F638" s="102" t="s">
        <v>2115</v>
      </c>
      <c r="G638" s="102" t="s">
        <v>2116</v>
      </c>
      <c r="H638" s="102" t="s">
        <v>2119</v>
      </c>
      <c r="I638">
        <v>32478.13</v>
      </c>
      <c r="J638">
        <v>4420.79</v>
      </c>
      <c r="K638">
        <v>4420.7939999999999</v>
      </c>
      <c r="L638">
        <v>0</v>
      </c>
      <c r="M638" s="102" t="s">
        <v>1099</v>
      </c>
      <c r="N638" s="102" t="s">
        <v>1481</v>
      </c>
      <c r="O638" s="93">
        <v>46188</v>
      </c>
    </row>
    <row r="639" spans="1:15" x14ac:dyDescent="0.3">
      <c r="A639" s="102" t="s">
        <v>2113</v>
      </c>
      <c r="B639" t="s">
        <v>2114</v>
      </c>
      <c r="C639" s="93">
        <v>46264</v>
      </c>
      <c r="D639" s="93"/>
      <c r="E639" s="93"/>
      <c r="F639" s="102" t="s">
        <v>2115</v>
      </c>
      <c r="G639" s="102" t="s">
        <v>2116</v>
      </c>
      <c r="H639" s="102" t="s">
        <v>2121</v>
      </c>
      <c r="I639">
        <v>29960.63</v>
      </c>
      <c r="J639">
        <v>4078.12</v>
      </c>
      <c r="K639">
        <v>4078.1219999999998</v>
      </c>
      <c r="L639">
        <v>0</v>
      </c>
      <c r="M639" s="102" t="s">
        <v>1099</v>
      </c>
      <c r="N639" s="102" t="s">
        <v>1481</v>
      </c>
      <c r="O639" s="93">
        <v>46188</v>
      </c>
    </row>
    <row r="640" spans="1:15" x14ac:dyDescent="0.3">
      <c r="A640" s="102" t="s">
        <v>2113</v>
      </c>
      <c r="B640" t="s">
        <v>2114</v>
      </c>
      <c r="C640" s="93">
        <v>46629</v>
      </c>
      <c r="D640" s="93"/>
      <c r="E640" s="93"/>
      <c r="F640" s="102" t="s">
        <v>1490</v>
      </c>
      <c r="G640" s="102" t="s">
        <v>2123</v>
      </c>
      <c r="H640" s="102" t="s">
        <v>2117</v>
      </c>
      <c r="I640">
        <v>10445.06</v>
      </c>
      <c r="J640">
        <v>823.49</v>
      </c>
      <c r="K640">
        <v>823.48599999999999</v>
      </c>
      <c r="L640">
        <v>0</v>
      </c>
      <c r="M640" s="102" t="s">
        <v>1099</v>
      </c>
      <c r="N640" s="102" t="s">
        <v>1481</v>
      </c>
      <c r="O640" s="93">
        <v>46176</v>
      </c>
    </row>
    <row r="641" spans="1:15" x14ac:dyDescent="0.3">
      <c r="A641" s="102" t="s">
        <v>2113</v>
      </c>
      <c r="B641" t="s">
        <v>2114</v>
      </c>
      <c r="C641" s="93">
        <v>46476</v>
      </c>
      <c r="D641" s="93"/>
      <c r="E641" s="93"/>
      <c r="F641" s="102" t="s">
        <v>1490</v>
      </c>
      <c r="G641" s="102" t="s">
        <v>2123</v>
      </c>
      <c r="H641" s="102" t="s">
        <v>2119</v>
      </c>
      <c r="I641">
        <v>9889.09</v>
      </c>
      <c r="J641">
        <v>779.65</v>
      </c>
      <c r="K641">
        <v>779.654</v>
      </c>
      <c r="L641">
        <v>0</v>
      </c>
      <c r="M641" s="102" t="s">
        <v>1099</v>
      </c>
      <c r="N641" s="102" t="s">
        <v>1481</v>
      </c>
      <c r="O641" s="93">
        <v>46176</v>
      </c>
    </row>
    <row r="642" spans="1:15" x14ac:dyDescent="0.3">
      <c r="A642" s="102" t="s">
        <v>2113</v>
      </c>
      <c r="B642" t="s">
        <v>2114</v>
      </c>
      <c r="C642" s="93">
        <v>46629</v>
      </c>
      <c r="D642" s="93"/>
      <c r="E642" s="93"/>
      <c r="F642" s="102" t="s">
        <v>2115</v>
      </c>
      <c r="G642" s="102" t="s">
        <v>2120</v>
      </c>
      <c r="H642" s="102" t="s">
        <v>2117</v>
      </c>
      <c r="I642">
        <v>6500.96</v>
      </c>
      <c r="J642">
        <v>689.43</v>
      </c>
      <c r="K642">
        <v>689.43299999999999</v>
      </c>
      <c r="L642">
        <v>0</v>
      </c>
      <c r="M642" s="102" t="s">
        <v>1099</v>
      </c>
      <c r="N642" s="102" t="s">
        <v>1481</v>
      </c>
      <c r="O642" s="93">
        <v>46185</v>
      </c>
    </row>
    <row r="643" spans="1:15" x14ac:dyDescent="0.3">
      <c r="A643" s="102" t="s">
        <v>2113</v>
      </c>
      <c r="B643" t="s">
        <v>2114</v>
      </c>
      <c r="C643" s="93">
        <v>46842</v>
      </c>
      <c r="D643" s="93"/>
      <c r="E643" s="93"/>
      <c r="F643" s="102" t="s">
        <v>2115</v>
      </c>
      <c r="G643" s="102" t="s">
        <v>2120</v>
      </c>
      <c r="H643" s="102" t="s">
        <v>2118</v>
      </c>
      <c r="I643">
        <v>6984.79</v>
      </c>
      <c r="J643">
        <v>740.74</v>
      </c>
      <c r="K643">
        <v>740.74400000000003</v>
      </c>
      <c r="L643">
        <v>0</v>
      </c>
      <c r="M643" s="102" t="s">
        <v>1099</v>
      </c>
      <c r="N643" s="102" t="s">
        <v>1481</v>
      </c>
      <c r="O643" s="93">
        <v>46185</v>
      </c>
    </row>
    <row r="644" spans="1:15" x14ac:dyDescent="0.3">
      <c r="A644" s="102" t="s">
        <v>2113</v>
      </c>
      <c r="B644" t="s">
        <v>2114</v>
      </c>
      <c r="C644" s="93">
        <v>46165</v>
      </c>
      <c r="D644" s="93">
        <v>46165</v>
      </c>
      <c r="E644" s="93">
        <v>46165</v>
      </c>
      <c r="F644" s="102" t="s">
        <v>1490</v>
      </c>
      <c r="G644" s="102" t="s">
        <v>2123</v>
      </c>
      <c r="H644" s="102" t="s">
        <v>2122</v>
      </c>
      <c r="I644">
        <v>8722.4699999999993</v>
      </c>
      <c r="J644">
        <v>687.68</v>
      </c>
      <c r="K644">
        <v>687.678</v>
      </c>
      <c r="L644">
        <v>8722.4699999999993</v>
      </c>
      <c r="M644" s="102" t="s">
        <v>1099</v>
      </c>
      <c r="N644" s="102" t="s">
        <v>1481</v>
      </c>
      <c r="O644" s="93">
        <v>46176</v>
      </c>
    </row>
    <row r="645" spans="1:15" x14ac:dyDescent="0.3">
      <c r="A645" s="102" t="s">
        <v>2113</v>
      </c>
      <c r="B645" t="s">
        <v>2114</v>
      </c>
      <c r="C645" s="93">
        <v>46476</v>
      </c>
      <c r="D645" s="93"/>
      <c r="E645" s="93"/>
      <c r="F645" s="102" t="s">
        <v>2115</v>
      </c>
      <c r="G645" s="102" t="s">
        <v>2120</v>
      </c>
      <c r="H645" s="102" t="s">
        <v>2119</v>
      </c>
      <c r="I645">
        <v>6153.45</v>
      </c>
      <c r="J645">
        <v>652.58000000000004</v>
      </c>
      <c r="K645">
        <v>652.57899999999995</v>
      </c>
      <c r="L645">
        <v>0</v>
      </c>
      <c r="M645" s="102" t="s">
        <v>1099</v>
      </c>
      <c r="N645" s="102" t="s">
        <v>1481</v>
      </c>
      <c r="O645" s="93">
        <v>46185</v>
      </c>
    </row>
    <row r="646" spans="1:15" x14ac:dyDescent="0.3">
      <c r="A646" s="102" t="s">
        <v>2113</v>
      </c>
      <c r="B646" t="s">
        <v>2114</v>
      </c>
      <c r="C646" s="93">
        <v>46264</v>
      </c>
      <c r="D646" s="93"/>
      <c r="E646" s="93"/>
      <c r="F646" s="102" t="s">
        <v>2115</v>
      </c>
      <c r="G646" s="102" t="s">
        <v>2120</v>
      </c>
      <c r="H646" s="102" t="s">
        <v>2121</v>
      </c>
      <c r="I646">
        <v>5671.88</v>
      </c>
      <c r="J646">
        <v>601.51</v>
      </c>
      <c r="K646">
        <v>601.50800000000004</v>
      </c>
      <c r="L646">
        <v>0</v>
      </c>
      <c r="M646" s="102" t="s">
        <v>1099</v>
      </c>
      <c r="N646" s="102" t="s">
        <v>1481</v>
      </c>
      <c r="O646" s="93">
        <v>46185</v>
      </c>
    </row>
    <row r="647" spans="1:15" x14ac:dyDescent="0.3">
      <c r="A647" s="102" t="s">
        <v>2113</v>
      </c>
      <c r="B647" t="s">
        <v>2114</v>
      </c>
      <c r="C647" s="93">
        <v>46842</v>
      </c>
      <c r="D647" s="93"/>
      <c r="E647" s="93"/>
      <c r="F647" s="102" t="s">
        <v>1490</v>
      </c>
      <c r="G647" s="102" t="s">
        <v>2123</v>
      </c>
      <c r="H647" s="102" t="s">
        <v>2118</v>
      </c>
      <c r="I647">
        <v>11219</v>
      </c>
      <c r="J647">
        <v>884.5</v>
      </c>
      <c r="K647">
        <v>884.50300000000004</v>
      </c>
      <c r="L647">
        <v>0</v>
      </c>
      <c r="M647" s="102" t="s">
        <v>1099</v>
      </c>
      <c r="N647" s="102" t="s">
        <v>1481</v>
      </c>
      <c r="O647" s="93">
        <v>46176</v>
      </c>
    </row>
    <row r="648" spans="1:15" x14ac:dyDescent="0.3">
      <c r="A648" s="102" t="s">
        <v>2113</v>
      </c>
      <c r="B648" t="s">
        <v>2114</v>
      </c>
      <c r="C648" s="93">
        <v>46151</v>
      </c>
      <c r="D648" s="93">
        <v>46143</v>
      </c>
      <c r="E648" s="93">
        <v>46143</v>
      </c>
      <c r="F648" s="102" t="s">
        <v>2115</v>
      </c>
      <c r="G648" s="102" t="s">
        <v>2116</v>
      </c>
      <c r="H648" s="102" t="s">
        <v>2122</v>
      </c>
      <c r="I648">
        <v>28500</v>
      </c>
      <c r="J648">
        <v>3879.31</v>
      </c>
      <c r="K648">
        <v>3879.3069999999998</v>
      </c>
      <c r="L648">
        <v>28500</v>
      </c>
      <c r="M648" s="102" t="s">
        <v>1099</v>
      </c>
      <c r="N648" s="102" t="s">
        <v>1481</v>
      </c>
      <c r="O648" s="93">
        <v>46188</v>
      </c>
    </row>
    <row r="649" spans="1:15" x14ac:dyDescent="0.3">
      <c r="A649" s="102" t="s">
        <v>2113</v>
      </c>
      <c r="B649" t="s">
        <v>2114</v>
      </c>
      <c r="C649" s="93">
        <v>46182</v>
      </c>
      <c r="D649" s="93">
        <v>46182</v>
      </c>
      <c r="E649" s="93">
        <v>46182</v>
      </c>
      <c r="F649" s="102" t="s">
        <v>2115</v>
      </c>
      <c r="G649" s="102" t="s">
        <v>2120</v>
      </c>
      <c r="H649" s="102" t="s">
        <v>2122</v>
      </c>
      <c r="I649">
        <v>5451.3</v>
      </c>
      <c r="J649">
        <v>578.12</v>
      </c>
      <c r="K649">
        <v>578.11599999999999</v>
      </c>
      <c r="L649">
        <v>5451.3</v>
      </c>
      <c r="M649" s="102" t="s">
        <v>1099</v>
      </c>
      <c r="N649" s="102" t="s">
        <v>1481</v>
      </c>
      <c r="O649" s="93">
        <v>46185</v>
      </c>
    </row>
    <row r="650" spans="1:15" x14ac:dyDescent="0.3">
      <c r="A650" s="102" t="s">
        <v>2113</v>
      </c>
      <c r="B650" t="s">
        <v>2114</v>
      </c>
      <c r="C650" s="93">
        <v>46264</v>
      </c>
      <c r="D650" s="93"/>
      <c r="E650" s="93"/>
      <c r="F650" s="102" t="s">
        <v>1490</v>
      </c>
      <c r="G650" s="102" t="s">
        <v>2123</v>
      </c>
      <c r="H650" s="102" t="s">
        <v>2121</v>
      </c>
      <c r="I650">
        <v>9118.61</v>
      </c>
      <c r="J650">
        <v>718.91</v>
      </c>
      <c r="K650">
        <v>718.90899999999999</v>
      </c>
      <c r="L650">
        <v>0</v>
      </c>
      <c r="M650" s="102" t="s">
        <v>1099</v>
      </c>
      <c r="N650" s="102" t="s">
        <v>1481</v>
      </c>
      <c r="O650" s="93">
        <v>46176</v>
      </c>
    </row>
    <row r="651" spans="1:15" x14ac:dyDescent="0.3">
      <c r="A651" s="102" t="s">
        <v>2124</v>
      </c>
      <c r="B651" t="s">
        <v>2125</v>
      </c>
      <c r="C651" s="93">
        <v>45992</v>
      </c>
      <c r="D651" s="93">
        <v>45992</v>
      </c>
      <c r="E651" s="93">
        <v>45992</v>
      </c>
      <c r="F651" s="102" t="s">
        <v>1568</v>
      </c>
      <c r="G651" s="102" t="s">
        <v>1569</v>
      </c>
      <c r="H651" s="102" t="s">
        <v>1480</v>
      </c>
      <c r="I651">
        <v>2707.18</v>
      </c>
      <c r="J651">
        <v>2707.18</v>
      </c>
      <c r="K651">
        <v>2707.18</v>
      </c>
      <c r="L651">
        <v>2707.18</v>
      </c>
      <c r="M651" s="102" t="s">
        <v>1099</v>
      </c>
      <c r="N651" s="102" t="s">
        <v>1481</v>
      </c>
      <c r="O651" s="93">
        <v>45992</v>
      </c>
    </row>
    <row r="652" spans="1:15" x14ac:dyDescent="0.3">
      <c r="A652" s="102" t="s">
        <v>2354</v>
      </c>
      <c r="B652" t="s">
        <v>2355</v>
      </c>
      <c r="C652" s="93">
        <v>46206</v>
      </c>
      <c r="D652" s="93">
        <v>46206</v>
      </c>
      <c r="E652" s="93">
        <v>46206</v>
      </c>
      <c r="F652" s="102" t="s">
        <v>2133</v>
      </c>
      <c r="G652" s="102" t="s">
        <v>2356</v>
      </c>
      <c r="H652" s="102" t="s">
        <v>1480</v>
      </c>
      <c r="I652">
        <v>500</v>
      </c>
      <c r="J652">
        <v>500</v>
      </c>
      <c r="K652">
        <v>500</v>
      </c>
      <c r="L652">
        <v>500</v>
      </c>
      <c r="M652" s="102" t="s">
        <v>1099</v>
      </c>
      <c r="N652" s="102" t="s">
        <v>1481</v>
      </c>
      <c r="O652" s="93">
        <v>46206</v>
      </c>
    </row>
    <row r="653" spans="1:15" x14ac:dyDescent="0.3">
      <c r="A653" s="102" t="s">
        <v>2354</v>
      </c>
      <c r="B653" t="s">
        <v>2355</v>
      </c>
      <c r="C653" s="93">
        <v>46206</v>
      </c>
      <c r="D653" s="93">
        <v>46206</v>
      </c>
      <c r="E653" s="93">
        <v>46206</v>
      </c>
      <c r="F653" s="102" t="s">
        <v>2133</v>
      </c>
      <c r="G653" s="102" t="s">
        <v>2357</v>
      </c>
      <c r="H653" s="102" t="s">
        <v>1480</v>
      </c>
      <c r="I653">
        <v>500</v>
      </c>
      <c r="J653">
        <v>500</v>
      </c>
      <c r="K653">
        <v>500</v>
      </c>
      <c r="L653">
        <v>500</v>
      </c>
      <c r="M653" s="102" t="s">
        <v>1099</v>
      </c>
      <c r="N653" s="102" t="s">
        <v>1481</v>
      </c>
      <c r="O653" s="93">
        <v>46206</v>
      </c>
    </row>
    <row r="654" spans="1:15" x14ac:dyDescent="0.3">
      <c r="A654" s="102" t="s">
        <v>2285</v>
      </c>
      <c r="B654" t="s">
        <v>2286</v>
      </c>
      <c r="C654" s="93">
        <v>46199</v>
      </c>
      <c r="D654" s="93">
        <v>46199</v>
      </c>
      <c r="E654" s="93">
        <v>46199</v>
      </c>
      <c r="F654" s="102" t="s">
        <v>2287</v>
      </c>
      <c r="G654" s="102" t="s">
        <v>2288</v>
      </c>
      <c r="H654" s="102" t="s">
        <v>1480</v>
      </c>
      <c r="I654">
        <v>26.18</v>
      </c>
      <c r="J654">
        <v>26.18</v>
      </c>
      <c r="K654">
        <v>26.18</v>
      </c>
      <c r="L654">
        <v>26.18</v>
      </c>
      <c r="M654" s="102" t="s">
        <v>1099</v>
      </c>
      <c r="N654" s="102" t="s">
        <v>1481</v>
      </c>
      <c r="O654" s="93">
        <v>46199</v>
      </c>
    </row>
    <row r="655" spans="1:15" x14ac:dyDescent="0.3">
      <c r="A655" s="102" t="s">
        <v>2126</v>
      </c>
      <c r="B655" t="s">
        <v>2127</v>
      </c>
      <c r="C655" s="93">
        <v>46020</v>
      </c>
      <c r="D655" s="93">
        <v>46020</v>
      </c>
      <c r="E655" s="93">
        <v>46020</v>
      </c>
      <c r="F655" s="102" t="s">
        <v>2128</v>
      </c>
      <c r="G655" s="102" t="s">
        <v>2130</v>
      </c>
      <c r="H655" s="102" t="s">
        <v>1480</v>
      </c>
      <c r="I655">
        <v>123.2</v>
      </c>
      <c r="J655">
        <v>123.2</v>
      </c>
      <c r="K655">
        <v>123.2</v>
      </c>
      <c r="L655">
        <v>123.2</v>
      </c>
      <c r="M655" s="102" t="s">
        <v>1099</v>
      </c>
      <c r="N655" s="102" t="s">
        <v>1481</v>
      </c>
      <c r="O655" s="93">
        <v>46020</v>
      </c>
    </row>
    <row r="656" spans="1:15" x14ac:dyDescent="0.3">
      <c r="A656" s="102" t="s">
        <v>2126</v>
      </c>
      <c r="B656" t="s">
        <v>2127</v>
      </c>
      <c r="C656" s="93">
        <v>46020</v>
      </c>
      <c r="D656" s="93">
        <v>46020</v>
      </c>
      <c r="E656" s="93">
        <v>46020</v>
      </c>
      <c r="F656" s="102" t="s">
        <v>2128</v>
      </c>
      <c r="G656" s="102" t="s">
        <v>2129</v>
      </c>
      <c r="H656" s="102" t="s">
        <v>1480</v>
      </c>
      <c r="I656">
        <v>1273.3</v>
      </c>
      <c r="J656">
        <v>1273.3</v>
      </c>
      <c r="K656">
        <v>1273.3</v>
      </c>
      <c r="L656">
        <v>1273.3</v>
      </c>
      <c r="M656" s="102" t="s">
        <v>1099</v>
      </c>
      <c r="N656" s="102" t="s">
        <v>1481</v>
      </c>
      <c r="O656" s="93">
        <v>46020</v>
      </c>
    </row>
    <row r="657" spans="1:15" x14ac:dyDescent="0.3">
      <c r="A657" s="102" t="s">
        <v>2131</v>
      </c>
      <c r="B657" t="s">
        <v>2132</v>
      </c>
      <c r="C657" s="93">
        <v>46047</v>
      </c>
      <c r="D657" s="93">
        <v>46048</v>
      </c>
      <c r="E657" s="93">
        <v>46048</v>
      </c>
      <c r="F657" s="102" t="s">
        <v>2138</v>
      </c>
      <c r="G657" s="102" t="s">
        <v>2139</v>
      </c>
      <c r="H657" s="102" t="s">
        <v>1480</v>
      </c>
      <c r="I657">
        <v>66.05</v>
      </c>
      <c r="J657">
        <v>66.05</v>
      </c>
      <c r="K657">
        <v>66.05</v>
      </c>
      <c r="L657">
        <v>66.05</v>
      </c>
      <c r="M657" s="102" t="s">
        <v>1099</v>
      </c>
      <c r="N657" s="102" t="s">
        <v>1481</v>
      </c>
      <c r="O657" s="93">
        <v>46022</v>
      </c>
    </row>
    <row r="658" spans="1:15" x14ac:dyDescent="0.3">
      <c r="A658" s="102" t="s">
        <v>2131</v>
      </c>
      <c r="B658" t="s">
        <v>2132</v>
      </c>
      <c r="C658" s="93">
        <v>46087</v>
      </c>
      <c r="D658" s="93">
        <v>46087</v>
      </c>
      <c r="E658" s="93">
        <v>46087</v>
      </c>
      <c r="F658" s="102" t="s">
        <v>2133</v>
      </c>
      <c r="G658" s="102" t="s">
        <v>2134</v>
      </c>
      <c r="H658" s="102" t="s">
        <v>1480</v>
      </c>
      <c r="I658">
        <v>8.43</v>
      </c>
      <c r="J658">
        <v>8.43</v>
      </c>
      <c r="K658">
        <v>8.43</v>
      </c>
      <c r="L658">
        <v>8.43</v>
      </c>
      <c r="M658" s="102" t="s">
        <v>1099</v>
      </c>
      <c r="N658" s="102" t="s">
        <v>1481</v>
      </c>
      <c r="O658" s="93">
        <v>46087</v>
      </c>
    </row>
    <row r="659" spans="1:15" x14ac:dyDescent="0.3">
      <c r="A659" s="102" t="s">
        <v>2131</v>
      </c>
      <c r="B659" t="s">
        <v>2132</v>
      </c>
      <c r="C659" s="93">
        <v>46142</v>
      </c>
      <c r="D659" s="93">
        <v>46128</v>
      </c>
      <c r="E659" s="93">
        <v>46128</v>
      </c>
      <c r="F659" s="102" t="s">
        <v>1700</v>
      </c>
      <c r="G659" s="102" t="s">
        <v>2140</v>
      </c>
      <c r="H659" s="102" t="s">
        <v>1480</v>
      </c>
      <c r="I659">
        <v>752.97</v>
      </c>
      <c r="J659">
        <v>752.97</v>
      </c>
      <c r="K659">
        <v>752.97</v>
      </c>
      <c r="L659">
        <v>752.97</v>
      </c>
      <c r="M659" s="102" t="s">
        <v>1099</v>
      </c>
      <c r="N659" s="102" t="s">
        <v>1481</v>
      </c>
      <c r="O659" s="93">
        <v>46128</v>
      </c>
    </row>
    <row r="660" spans="1:15" x14ac:dyDescent="0.3">
      <c r="A660" s="102" t="s">
        <v>2131</v>
      </c>
      <c r="B660" t="s">
        <v>2132</v>
      </c>
      <c r="C660" s="93">
        <v>46459</v>
      </c>
      <c r="D660" s="93"/>
      <c r="E660" s="93"/>
      <c r="F660" s="102" t="s">
        <v>1487</v>
      </c>
      <c r="G660" s="102" t="s">
        <v>1561</v>
      </c>
      <c r="H660" s="102" t="s">
        <v>1480</v>
      </c>
      <c r="I660">
        <v>733.08</v>
      </c>
      <c r="J660">
        <v>733.08</v>
      </c>
      <c r="K660">
        <v>733.08</v>
      </c>
      <c r="L660">
        <v>0</v>
      </c>
      <c r="M660" s="102" t="s">
        <v>1099</v>
      </c>
      <c r="N660" s="102" t="s">
        <v>1488</v>
      </c>
      <c r="O660" s="93">
        <v>46108</v>
      </c>
    </row>
    <row r="661" spans="1:15" x14ac:dyDescent="0.3">
      <c r="A661" s="102" t="s">
        <v>2131</v>
      </c>
      <c r="B661" t="s">
        <v>2132</v>
      </c>
      <c r="C661" s="93">
        <v>46143</v>
      </c>
      <c r="D661" s="93">
        <v>46148</v>
      </c>
      <c r="E661" s="93">
        <v>46148</v>
      </c>
      <c r="F661" s="102" t="s">
        <v>2135</v>
      </c>
      <c r="G661" s="102" t="s">
        <v>2136</v>
      </c>
      <c r="H661" s="102" t="s">
        <v>1480</v>
      </c>
      <c r="I661">
        <v>486.25</v>
      </c>
      <c r="J661">
        <v>486.25</v>
      </c>
      <c r="K661">
        <v>486.25</v>
      </c>
      <c r="L661">
        <v>486.25</v>
      </c>
      <c r="M661" s="102" t="s">
        <v>1099</v>
      </c>
      <c r="N661" s="102" t="s">
        <v>1481</v>
      </c>
      <c r="O661" s="93">
        <v>46120</v>
      </c>
    </row>
    <row r="662" spans="1:15" x14ac:dyDescent="0.3">
      <c r="A662" s="102" t="s">
        <v>2131</v>
      </c>
      <c r="B662" t="s">
        <v>2132</v>
      </c>
      <c r="C662" s="93">
        <v>46139</v>
      </c>
      <c r="D662" s="93">
        <v>46139</v>
      </c>
      <c r="E662" s="93">
        <v>46139</v>
      </c>
      <c r="F662" s="102" t="s">
        <v>2128</v>
      </c>
      <c r="G662" s="102" t="s">
        <v>2137</v>
      </c>
      <c r="H662" s="102" t="s">
        <v>1480</v>
      </c>
      <c r="I662">
        <v>2518.2600000000002</v>
      </c>
      <c r="J662">
        <v>2518.2600000000002</v>
      </c>
      <c r="K662">
        <v>2518.2600000000002</v>
      </c>
      <c r="L662">
        <v>2518.2600000000002</v>
      </c>
      <c r="M662" s="102" t="s">
        <v>1099</v>
      </c>
      <c r="N662" s="102" t="s">
        <v>1488</v>
      </c>
      <c r="O662" s="93">
        <v>46139</v>
      </c>
    </row>
    <row r="663" spans="1:15" x14ac:dyDescent="0.3">
      <c r="A663" s="102" t="s">
        <v>2141</v>
      </c>
      <c r="B663" t="s">
        <v>1942</v>
      </c>
      <c r="C663" s="93">
        <v>46105</v>
      </c>
      <c r="D663" s="93">
        <v>46101</v>
      </c>
      <c r="E663" s="93">
        <v>46101</v>
      </c>
      <c r="F663" s="102" t="s">
        <v>2143</v>
      </c>
      <c r="G663" s="102" t="s">
        <v>2144</v>
      </c>
      <c r="H663" s="102" t="s">
        <v>1630</v>
      </c>
      <c r="I663">
        <v>3375</v>
      </c>
      <c r="J663">
        <v>3375</v>
      </c>
      <c r="K663">
        <v>3375</v>
      </c>
      <c r="L663">
        <v>3375</v>
      </c>
      <c r="M663" s="102" t="s">
        <v>1099</v>
      </c>
      <c r="N663" s="102" t="s">
        <v>1481</v>
      </c>
      <c r="O663" s="93">
        <v>46078</v>
      </c>
    </row>
    <row r="664" spans="1:15" x14ac:dyDescent="0.3">
      <c r="A664" s="102" t="s">
        <v>2141</v>
      </c>
      <c r="B664" t="s">
        <v>1942</v>
      </c>
      <c r="C664" s="93">
        <v>46136</v>
      </c>
      <c r="D664" s="93">
        <v>46136</v>
      </c>
      <c r="E664" s="93">
        <v>46136</v>
      </c>
      <c r="F664" s="102" t="s">
        <v>2143</v>
      </c>
      <c r="G664" s="102" t="s">
        <v>2144</v>
      </c>
      <c r="H664" s="102" t="s">
        <v>1626</v>
      </c>
      <c r="I664">
        <v>3375</v>
      </c>
      <c r="J664">
        <v>3375</v>
      </c>
      <c r="K664">
        <v>3375</v>
      </c>
      <c r="L664">
        <v>3375</v>
      </c>
      <c r="M664" s="102" t="s">
        <v>1099</v>
      </c>
      <c r="N664" s="102" t="s">
        <v>1481</v>
      </c>
      <c r="O664" s="93">
        <v>46078</v>
      </c>
    </row>
    <row r="665" spans="1:15" x14ac:dyDescent="0.3">
      <c r="A665" s="102" t="s">
        <v>2141</v>
      </c>
      <c r="B665" t="s">
        <v>1942</v>
      </c>
      <c r="C665" s="93">
        <v>46203</v>
      </c>
      <c r="D665" s="93">
        <v>46204</v>
      </c>
      <c r="E665" s="93">
        <v>46204</v>
      </c>
      <c r="F665" s="102" t="s">
        <v>1571</v>
      </c>
      <c r="G665" s="102" t="s">
        <v>2331</v>
      </c>
      <c r="H665" s="102" t="s">
        <v>1480</v>
      </c>
      <c r="I665">
        <v>226</v>
      </c>
      <c r="J665">
        <v>76</v>
      </c>
      <c r="K665">
        <v>76</v>
      </c>
      <c r="L665">
        <v>226</v>
      </c>
      <c r="M665" s="102" t="s">
        <v>1099</v>
      </c>
      <c r="N665" s="102" t="s">
        <v>1481</v>
      </c>
      <c r="O665" s="93">
        <v>46203</v>
      </c>
    </row>
    <row r="666" spans="1:15" x14ac:dyDescent="0.3">
      <c r="A666" s="102" t="s">
        <v>2141</v>
      </c>
      <c r="B666" t="s">
        <v>1942</v>
      </c>
      <c r="C666" s="93">
        <v>46078</v>
      </c>
      <c r="D666" s="93">
        <v>46078</v>
      </c>
      <c r="E666" s="93">
        <v>46078</v>
      </c>
      <c r="F666" s="102" t="s">
        <v>2143</v>
      </c>
      <c r="G666" s="102" t="s">
        <v>2144</v>
      </c>
      <c r="H666" s="102" t="s">
        <v>1629</v>
      </c>
      <c r="I666">
        <v>2000</v>
      </c>
      <c r="J666">
        <v>2000</v>
      </c>
      <c r="K666">
        <v>2000</v>
      </c>
      <c r="L666">
        <v>2000</v>
      </c>
      <c r="M666" s="102" t="s">
        <v>1099</v>
      </c>
      <c r="N666" s="102" t="s">
        <v>1481</v>
      </c>
      <c r="O666" s="93">
        <v>46078</v>
      </c>
    </row>
    <row r="667" spans="1:15" x14ac:dyDescent="0.3">
      <c r="A667" s="102" t="s">
        <v>2141</v>
      </c>
      <c r="B667" t="s">
        <v>1942</v>
      </c>
      <c r="C667" s="93">
        <v>46119</v>
      </c>
      <c r="D667" s="93">
        <v>46119</v>
      </c>
      <c r="E667" s="93">
        <v>46119</v>
      </c>
      <c r="F667" s="102" t="s">
        <v>1490</v>
      </c>
      <c r="G667" s="102" t="s">
        <v>2086</v>
      </c>
      <c r="H667" s="102" t="s">
        <v>1480</v>
      </c>
      <c r="I667">
        <v>179.23</v>
      </c>
      <c r="J667">
        <v>23</v>
      </c>
      <c r="K667">
        <v>23</v>
      </c>
      <c r="L667">
        <v>179.23</v>
      </c>
      <c r="M667" s="102" t="s">
        <v>1099</v>
      </c>
      <c r="N667" s="102" t="s">
        <v>1481</v>
      </c>
      <c r="O667" s="93">
        <v>46085</v>
      </c>
    </row>
    <row r="668" spans="1:15" x14ac:dyDescent="0.3">
      <c r="A668" s="102" t="s">
        <v>2141</v>
      </c>
      <c r="B668" t="s">
        <v>1942</v>
      </c>
      <c r="C668" s="93">
        <v>46149</v>
      </c>
      <c r="D668" s="93">
        <v>46148</v>
      </c>
      <c r="E668" s="93">
        <v>46148</v>
      </c>
      <c r="F668" s="102" t="s">
        <v>1490</v>
      </c>
      <c r="G668" s="102" t="s">
        <v>2145</v>
      </c>
      <c r="H668" s="102" t="s">
        <v>1480</v>
      </c>
      <c r="I668">
        <v>307</v>
      </c>
      <c r="J668">
        <v>307</v>
      </c>
      <c r="K668">
        <v>307</v>
      </c>
      <c r="L668">
        <v>307</v>
      </c>
      <c r="M668" s="102" t="s">
        <v>1099</v>
      </c>
      <c r="N668" s="102" t="s">
        <v>1481</v>
      </c>
      <c r="O668" s="93">
        <v>46122</v>
      </c>
    </row>
    <row r="669" spans="1:15" x14ac:dyDescent="0.3">
      <c r="A669" s="102" t="s">
        <v>2141</v>
      </c>
      <c r="B669" t="s">
        <v>1942</v>
      </c>
      <c r="C669" s="93">
        <v>46029</v>
      </c>
      <c r="D669" s="93">
        <v>46030</v>
      </c>
      <c r="E669" s="93">
        <v>46030</v>
      </c>
      <c r="F669" s="102" t="s">
        <v>1490</v>
      </c>
      <c r="G669" s="102" t="s">
        <v>2142</v>
      </c>
      <c r="H669" s="102" t="s">
        <v>1480</v>
      </c>
      <c r="I669">
        <v>15409.39</v>
      </c>
      <c r="J669">
        <v>15409.39</v>
      </c>
      <c r="K669">
        <v>15409.39</v>
      </c>
      <c r="L669">
        <v>15409.39</v>
      </c>
      <c r="M669" s="102" t="s">
        <v>1099</v>
      </c>
      <c r="N669" s="102" t="s">
        <v>1481</v>
      </c>
      <c r="O669" s="93">
        <v>46029</v>
      </c>
    </row>
    <row r="670" spans="1:15" x14ac:dyDescent="0.3">
      <c r="A670" s="102" t="s">
        <v>2146</v>
      </c>
      <c r="B670" t="s">
        <v>2147</v>
      </c>
      <c r="C670" s="93">
        <v>46165</v>
      </c>
      <c r="D670" s="93">
        <v>46165</v>
      </c>
      <c r="E670" s="93">
        <v>46165</v>
      </c>
      <c r="F670" s="102" t="s">
        <v>1490</v>
      </c>
      <c r="G670" s="102" t="s">
        <v>2123</v>
      </c>
      <c r="H670" s="102" t="s">
        <v>2122</v>
      </c>
      <c r="I670">
        <v>8722.4699999999993</v>
      </c>
      <c r="J670">
        <v>8034.79</v>
      </c>
      <c r="K670">
        <v>8034.7920000000004</v>
      </c>
      <c r="L670">
        <v>8722.4699999999993</v>
      </c>
      <c r="M670" s="102" t="s">
        <v>1099</v>
      </c>
      <c r="N670" s="102" t="s">
        <v>1481</v>
      </c>
      <c r="O670" s="93">
        <v>46176</v>
      </c>
    </row>
    <row r="671" spans="1:15" x14ac:dyDescent="0.3">
      <c r="A671" s="102" t="s">
        <v>2146</v>
      </c>
      <c r="B671" t="s">
        <v>2147</v>
      </c>
      <c r="C671" s="93">
        <v>46476</v>
      </c>
      <c r="D671" s="93"/>
      <c r="E671" s="93"/>
      <c r="F671" s="102" t="s">
        <v>1490</v>
      </c>
      <c r="G671" s="102" t="s">
        <v>2123</v>
      </c>
      <c r="H671" s="102" t="s">
        <v>2119</v>
      </c>
      <c r="I671">
        <v>9889.09</v>
      </c>
      <c r="J671">
        <v>9109.44</v>
      </c>
      <c r="K671">
        <v>9109.4359999999997</v>
      </c>
      <c r="L671">
        <v>0</v>
      </c>
      <c r="M671" s="102" t="s">
        <v>1099</v>
      </c>
      <c r="N671" s="102" t="s">
        <v>1481</v>
      </c>
      <c r="O671" s="93">
        <v>46176</v>
      </c>
    </row>
    <row r="672" spans="1:15" x14ac:dyDescent="0.3">
      <c r="A672" s="102" t="s">
        <v>2146</v>
      </c>
      <c r="B672" t="s">
        <v>2147</v>
      </c>
      <c r="C672" s="93">
        <v>46264</v>
      </c>
      <c r="D672" s="93"/>
      <c r="E672" s="93"/>
      <c r="F672" s="102" t="s">
        <v>1490</v>
      </c>
      <c r="G672" s="102" t="s">
        <v>2123</v>
      </c>
      <c r="H672" s="102" t="s">
        <v>2121</v>
      </c>
      <c r="I672">
        <v>9118.61</v>
      </c>
      <c r="J672">
        <v>8399.7000000000007</v>
      </c>
      <c r="K672">
        <v>8399.7009999999991</v>
      </c>
      <c r="L672">
        <v>0</v>
      </c>
      <c r="M672" s="102" t="s">
        <v>1099</v>
      </c>
      <c r="N672" s="102" t="s">
        <v>1481</v>
      </c>
      <c r="O672" s="93">
        <v>46176</v>
      </c>
    </row>
    <row r="673" spans="1:15" x14ac:dyDescent="0.3">
      <c r="A673" s="102" t="s">
        <v>2146</v>
      </c>
      <c r="B673" t="s">
        <v>2147</v>
      </c>
      <c r="C673" s="93">
        <v>46190</v>
      </c>
      <c r="D673" s="93">
        <v>46186</v>
      </c>
      <c r="E673" s="93">
        <v>46186</v>
      </c>
      <c r="F673" s="102" t="s">
        <v>2148</v>
      </c>
      <c r="G673" s="102" t="s">
        <v>2149</v>
      </c>
      <c r="H673" s="102" t="s">
        <v>1626</v>
      </c>
      <c r="I673">
        <v>15000</v>
      </c>
      <c r="J673">
        <v>15000</v>
      </c>
      <c r="K673">
        <v>15000</v>
      </c>
      <c r="L673">
        <v>15000</v>
      </c>
      <c r="M673" s="102" t="s">
        <v>1099</v>
      </c>
      <c r="N673" s="102" t="s">
        <v>1488</v>
      </c>
      <c r="O673" s="93">
        <v>46134</v>
      </c>
    </row>
    <row r="674" spans="1:15" x14ac:dyDescent="0.3">
      <c r="A674" s="102" t="s">
        <v>2146</v>
      </c>
      <c r="B674" t="s">
        <v>2147</v>
      </c>
      <c r="C674" s="93">
        <v>46134</v>
      </c>
      <c r="D674" s="93">
        <v>46134</v>
      </c>
      <c r="E674" s="93">
        <v>46134</v>
      </c>
      <c r="F674" s="102" t="s">
        <v>2148</v>
      </c>
      <c r="G674" s="102" t="s">
        <v>2149</v>
      </c>
      <c r="H674" s="102" t="s">
        <v>1629</v>
      </c>
      <c r="I674">
        <v>20000</v>
      </c>
      <c r="J674">
        <v>20000</v>
      </c>
      <c r="K674">
        <v>20000</v>
      </c>
      <c r="L674">
        <v>20000</v>
      </c>
      <c r="M674" s="102" t="s">
        <v>1099</v>
      </c>
      <c r="N674" s="102" t="s">
        <v>1488</v>
      </c>
      <c r="O674" s="93">
        <v>46134</v>
      </c>
    </row>
    <row r="675" spans="1:15" x14ac:dyDescent="0.3">
      <c r="A675" s="102" t="s">
        <v>2146</v>
      </c>
      <c r="B675" t="s">
        <v>2147</v>
      </c>
      <c r="C675" s="93">
        <v>46159</v>
      </c>
      <c r="D675" s="93">
        <v>46160</v>
      </c>
      <c r="E675" s="93">
        <v>46160</v>
      </c>
      <c r="F675" s="102" t="s">
        <v>2148</v>
      </c>
      <c r="G675" s="102" t="s">
        <v>2149</v>
      </c>
      <c r="H675" s="102" t="s">
        <v>1630</v>
      </c>
      <c r="I675">
        <v>15000</v>
      </c>
      <c r="J675">
        <v>15000</v>
      </c>
      <c r="K675">
        <v>15000</v>
      </c>
      <c r="L675">
        <v>15000</v>
      </c>
      <c r="M675" s="102" t="s">
        <v>1099</v>
      </c>
      <c r="N675" s="102" t="s">
        <v>1488</v>
      </c>
      <c r="O675" s="93">
        <v>46134</v>
      </c>
    </row>
    <row r="676" spans="1:15" x14ac:dyDescent="0.3">
      <c r="A676" s="102" t="s">
        <v>2146</v>
      </c>
      <c r="B676" t="s">
        <v>2147</v>
      </c>
      <c r="C676" s="93">
        <v>46629</v>
      </c>
      <c r="D676" s="93"/>
      <c r="E676" s="93"/>
      <c r="F676" s="102" t="s">
        <v>1490</v>
      </c>
      <c r="G676" s="102" t="s">
        <v>2123</v>
      </c>
      <c r="H676" s="102" t="s">
        <v>2117</v>
      </c>
      <c r="I676">
        <v>10445.06</v>
      </c>
      <c r="J676">
        <v>9621.57</v>
      </c>
      <c r="K676">
        <v>9621.5740000000005</v>
      </c>
      <c r="L676">
        <v>0</v>
      </c>
      <c r="M676" s="102" t="s">
        <v>1099</v>
      </c>
      <c r="N676" s="102" t="s">
        <v>1481</v>
      </c>
      <c r="O676" s="93">
        <v>46176</v>
      </c>
    </row>
    <row r="677" spans="1:15" x14ac:dyDescent="0.3">
      <c r="A677" s="102" t="s">
        <v>2146</v>
      </c>
      <c r="B677" t="s">
        <v>2147</v>
      </c>
      <c r="C677" s="93">
        <v>46842</v>
      </c>
      <c r="F677" s="102" t="s">
        <v>1490</v>
      </c>
      <c r="G677" s="102" t="s">
        <v>2123</v>
      </c>
      <c r="H677" s="102" t="s">
        <v>2118</v>
      </c>
      <c r="I677">
        <v>11219</v>
      </c>
      <c r="J677">
        <v>10334.5</v>
      </c>
      <c r="K677">
        <v>10334.496999999999</v>
      </c>
      <c r="L677">
        <v>0</v>
      </c>
      <c r="M677" s="102" t="s">
        <v>1099</v>
      </c>
      <c r="N677" s="102" t="s">
        <v>1481</v>
      </c>
      <c r="O677" s="93">
        <v>46176</v>
      </c>
    </row>
    <row r="678" spans="1:15" x14ac:dyDescent="0.3">
      <c r="A678" s="102" t="s">
        <v>2146</v>
      </c>
      <c r="B678" t="s">
        <v>2147</v>
      </c>
      <c r="C678" s="93">
        <v>46264</v>
      </c>
      <c r="D678" s="93"/>
      <c r="E678" s="93"/>
      <c r="F678" s="102" t="s">
        <v>2115</v>
      </c>
      <c r="G678" s="102" t="s">
        <v>2116</v>
      </c>
      <c r="H678" s="102" t="s">
        <v>2121</v>
      </c>
      <c r="I678">
        <v>29960.63</v>
      </c>
      <c r="J678">
        <v>25882.51</v>
      </c>
      <c r="K678">
        <v>25882.508000000002</v>
      </c>
      <c r="L678">
        <v>0</v>
      </c>
      <c r="M678" s="102" t="s">
        <v>1099</v>
      </c>
      <c r="N678" s="102" t="s">
        <v>1481</v>
      </c>
      <c r="O678" s="93">
        <v>46188</v>
      </c>
    </row>
    <row r="679" spans="1:15" x14ac:dyDescent="0.3">
      <c r="A679" s="102" t="s">
        <v>2146</v>
      </c>
      <c r="B679" t="s">
        <v>2147</v>
      </c>
      <c r="C679" s="93">
        <v>46842</v>
      </c>
      <c r="F679" s="102" t="s">
        <v>2115</v>
      </c>
      <c r="G679" s="102" t="s">
        <v>2120</v>
      </c>
      <c r="H679" s="102" t="s">
        <v>2118</v>
      </c>
      <c r="I679">
        <v>6984.79</v>
      </c>
      <c r="J679">
        <v>6244.05</v>
      </c>
      <c r="K679">
        <v>6244.0460000000003</v>
      </c>
      <c r="L679">
        <v>0</v>
      </c>
      <c r="M679" s="102" t="s">
        <v>1099</v>
      </c>
      <c r="N679" s="102" t="s">
        <v>1481</v>
      </c>
      <c r="O679" s="93">
        <v>46185</v>
      </c>
    </row>
    <row r="680" spans="1:15" x14ac:dyDescent="0.3">
      <c r="A680" s="102" t="s">
        <v>2146</v>
      </c>
      <c r="B680" t="s">
        <v>2147</v>
      </c>
      <c r="C680" s="93">
        <v>46264</v>
      </c>
      <c r="F680" s="102" t="s">
        <v>2115</v>
      </c>
      <c r="G680" s="102" t="s">
        <v>2120</v>
      </c>
      <c r="H680" s="102" t="s">
        <v>2121</v>
      </c>
      <c r="I680">
        <v>5671.88</v>
      </c>
      <c r="J680">
        <v>5070.37</v>
      </c>
      <c r="K680">
        <v>5070.3720000000003</v>
      </c>
      <c r="L680">
        <v>0</v>
      </c>
      <c r="M680" s="102" t="s">
        <v>1099</v>
      </c>
      <c r="N680" s="102" t="s">
        <v>1481</v>
      </c>
      <c r="O680" s="93">
        <v>46185</v>
      </c>
    </row>
    <row r="681" spans="1:15" x14ac:dyDescent="0.3">
      <c r="A681" s="102" t="s">
        <v>2146</v>
      </c>
      <c r="B681" t="s">
        <v>2147</v>
      </c>
      <c r="C681" s="93">
        <v>46182</v>
      </c>
      <c r="D681" s="93">
        <v>46182</v>
      </c>
      <c r="E681" s="93">
        <v>46182</v>
      </c>
      <c r="F681" s="102" t="s">
        <v>2115</v>
      </c>
      <c r="G681" s="102" t="s">
        <v>2120</v>
      </c>
      <c r="H681" s="102" t="s">
        <v>2122</v>
      </c>
      <c r="I681">
        <v>5451.3</v>
      </c>
      <c r="J681">
        <v>4873.18</v>
      </c>
      <c r="K681">
        <v>4873.1840000000002</v>
      </c>
      <c r="L681">
        <v>5451.3</v>
      </c>
      <c r="M681" s="102" t="s">
        <v>1099</v>
      </c>
      <c r="N681" s="102" t="s">
        <v>1481</v>
      </c>
      <c r="O681" s="93">
        <v>46185</v>
      </c>
    </row>
    <row r="682" spans="1:15" x14ac:dyDescent="0.3">
      <c r="A682" s="102" t="s">
        <v>2146</v>
      </c>
      <c r="B682" t="s">
        <v>2147</v>
      </c>
      <c r="C682" s="93">
        <v>46476</v>
      </c>
      <c r="F682" s="102" t="s">
        <v>2115</v>
      </c>
      <c r="G682" s="102" t="s">
        <v>2120</v>
      </c>
      <c r="H682" s="102" t="s">
        <v>2119</v>
      </c>
      <c r="I682">
        <v>6153.45</v>
      </c>
      <c r="J682">
        <v>5500.87</v>
      </c>
      <c r="K682">
        <v>5500.8710000000001</v>
      </c>
      <c r="L682">
        <v>0</v>
      </c>
      <c r="M682" s="102" t="s">
        <v>1099</v>
      </c>
      <c r="N682" s="102" t="s">
        <v>1481</v>
      </c>
      <c r="O682" s="93">
        <v>46185</v>
      </c>
    </row>
    <row r="683" spans="1:15" x14ac:dyDescent="0.3">
      <c r="A683" s="102" t="s">
        <v>2146</v>
      </c>
      <c r="B683" t="s">
        <v>2147</v>
      </c>
      <c r="C683" s="93">
        <v>46629</v>
      </c>
      <c r="F683" s="102" t="s">
        <v>2115</v>
      </c>
      <c r="G683" s="102" t="s">
        <v>2120</v>
      </c>
      <c r="H683" s="102" t="s">
        <v>2117</v>
      </c>
      <c r="I683">
        <v>6500.96</v>
      </c>
      <c r="J683">
        <v>5811.53</v>
      </c>
      <c r="K683">
        <v>5811.527</v>
      </c>
      <c r="L683">
        <v>0</v>
      </c>
      <c r="M683" s="102" t="s">
        <v>1099</v>
      </c>
      <c r="N683" s="102" t="s">
        <v>1481</v>
      </c>
      <c r="O683" s="93">
        <v>46185</v>
      </c>
    </row>
    <row r="684" spans="1:15" x14ac:dyDescent="0.3">
      <c r="A684" s="102" t="s">
        <v>2146</v>
      </c>
      <c r="B684" t="s">
        <v>2147</v>
      </c>
      <c r="C684" s="93">
        <v>46842</v>
      </c>
      <c r="F684" s="102" t="s">
        <v>2115</v>
      </c>
      <c r="G684" s="102" t="s">
        <v>2116</v>
      </c>
      <c r="H684" s="102" t="s">
        <v>2118</v>
      </c>
      <c r="I684">
        <v>36824.379999999997</v>
      </c>
      <c r="J684">
        <v>31811.99</v>
      </c>
      <c r="K684">
        <v>31811.991999999998</v>
      </c>
      <c r="L684">
        <v>0</v>
      </c>
      <c r="M684" s="102" t="s">
        <v>1099</v>
      </c>
      <c r="N684" s="102" t="s">
        <v>1481</v>
      </c>
      <c r="O684" s="93">
        <v>46188</v>
      </c>
    </row>
    <row r="685" spans="1:15" x14ac:dyDescent="0.3">
      <c r="A685" s="102" t="s">
        <v>2146</v>
      </c>
      <c r="B685" t="s">
        <v>2147</v>
      </c>
      <c r="C685" s="93">
        <v>46191</v>
      </c>
      <c r="D685" s="93">
        <v>46191</v>
      </c>
      <c r="E685" s="93">
        <v>46191</v>
      </c>
      <c r="F685" s="102" t="s">
        <v>1916</v>
      </c>
      <c r="G685" s="102" t="s">
        <v>1917</v>
      </c>
      <c r="H685" s="102" t="s">
        <v>1480</v>
      </c>
      <c r="I685">
        <v>650.59</v>
      </c>
      <c r="J685">
        <v>562</v>
      </c>
      <c r="K685">
        <v>562</v>
      </c>
      <c r="L685">
        <v>650.59</v>
      </c>
      <c r="M685" s="102" t="s">
        <v>1099</v>
      </c>
      <c r="N685" s="102" t="s">
        <v>1481</v>
      </c>
      <c r="O685" s="93">
        <v>46191</v>
      </c>
    </row>
    <row r="686" spans="1:15" x14ac:dyDescent="0.3">
      <c r="A686" s="102" t="s">
        <v>2146</v>
      </c>
      <c r="B686" t="s">
        <v>2147</v>
      </c>
      <c r="C686" s="93">
        <v>46629</v>
      </c>
      <c r="F686" s="102" t="s">
        <v>2115</v>
      </c>
      <c r="G686" s="102" t="s">
        <v>2116</v>
      </c>
      <c r="H686" s="102" t="s">
        <v>2117</v>
      </c>
      <c r="I686">
        <v>34295.660000000003</v>
      </c>
      <c r="J686">
        <v>29627.47</v>
      </c>
      <c r="K686">
        <v>29627.471000000001</v>
      </c>
      <c r="L686">
        <v>0</v>
      </c>
      <c r="M686" s="102" t="s">
        <v>1099</v>
      </c>
      <c r="N686" s="102" t="s">
        <v>1481</v>
      </c>
      <c r="O686" s="93">
        <v>46188</v>
      </c>
    </row>
    <row r="687" spans="1:15" x14ac:dyDescent="0.3">
      <c r="A687" s="102" t="s">
        <v>2146</v>
      </c>
      <c r="B687" t="s">
        <v>2147</v>
      </c>
      <c r="C687" s="93">
        <v>46476</v>
      </c>
      <c r="F687" s="102" t="s">
        <v>2115</v>
      </c>
      <c r="G687" s="102" t="s">
        <v>2116</v>
      </c>
      <c r="H687" s="102" t="s">
        <v>2119</v>
      </c>
      <c r="I687">
        <v>32478.13</v>
      </c>
      <c r="J687">
        <v>28057.34</v>
      </c>
      <c r="K687">
        <v>28057.335999999999</v>
      </c>
      <c r="L687">
        <v>0</v>
      </c>
      <c r="M687" s="102" t="s">
        <v>1099</v>
      </c>
      <c r="N687" s="102" t="s">
        <v>1481</v>
      </c>
      <c r="O687" s="93">
        <v>46188</v>
      </c>
    </row>
    <row r="688" spans="1:15" x14ac:dyDescent="0.3">
      <c r="A688" s="102" t="s">
        <v>2146</v>
      </c>
      <c r="B688" t="s">
        <v>2147</v>
      </c>
      <c r="C688" s="93">
        <v>46151</v>
      </c>
      <c r="D688" s="93">
        <v>46143</v>
      </c>
      <c r="E688" s="93">
        <v>46143</v>
      </c>
      <c r="F688" s="102" t="s">
        <v>2115</v>
      </c>
      <c r="G688" s="102" t="s">
        <v>2116</v>
      </c>
      <c r="H688" s="102" t="s">
        <v>2122</v>
      </c>
      <c r="I688">
        <v>28500</v>
      </c>
      <c r="J688">
        <v>24620.69</v>
      </c>
      <c r="K688">
        <v>24620.692999999999</v>
      </c>
      <c r="L688">
        <v>28500</v>
      </c>
      <c r="M688" s="102" t="s">
        <v>1099</v>
      </c>
      <c r="N688" s="102" t="s">
        <v>1481</v>
      </c>
      <c r="O688" s="93">
        <v>46188</v>
      </c>
    </row>
    <row r="689" spans="1:15" x14ac:dyDescent="0.3">
      <c r="A689" s="102" t="s">
        <v>2150</v>
      </c>
      <c r="B689" t="s">
        <v>1896</v>
      </c>
      <c r="C689" s="93">
        <v>46205</v>
      </c>
      <c r="D689" s="93">
        <v>46205</v>
      </c>
      <c r="E689" s="93">
        <v>46205</v>
      </c>
      <c r="F689" s="102" t="s">
        <v>2158</v>
      </c>
      <c r="G689" s="102" t="s">
        <v>2358</v>
      </c>
      <c r="H689" s="102" t="s">
        <v>1480</v>
      </c>
      <c r="I689">
        <v>101.18</v>
      </c>
      <c r="J689">
        <v>101.18</v>
      </c>
      <c r="K689">
        <v>101.18</v>
      </c>
      <c r="L689">
        <v>101.18</v>
      </c>
      <c r="M689" s="102" t="s">
        <v>1099</v>
      </c>
      <c r="N689" s="102" t="s">
        <v>1488</v>
      </c>
      <c r="O689" s="93">
        <v>46128</v>
      </c>
    </row>
    <row r="690" spans="1:15" x14ac:dyDescent="0.3">
      <c r="A690" s="102" t="s">
        <v>2150</v>
      </c>
      <c r="B690" t="s">
        <v>1896</v>
      </c>
      <c r="C690" s="93">
        <v>46050</v>
      </c>
      <c r="D690" s="93">
        <v>46050</v>
      </c>
      <c r="E690" s="93">
        <v>46050</v>
      </c>
      <c r="F690" s="102" t="s">
        <v>2160</v>
      </c>
      <c r="G690" s="102" t="s">
        <v>2167</v>
      </c>
      <c r="H690" s="102" t="s">
        <v>1480</v>
      </c>
      <c r="I690">
        <v>1430</v>
      </c>
      <c r="J690">
        <v>1430</v>
      </c>
      <c r="K690">
        <v>1430</v>
      </c>
      <c r="L690">
        <v>1430</v>
      </c>
      <c r="M690" s="102" t="s">
        <v>1099</v>
      </c>
      <c r="N690" s="102" t="s">
        <v>1481</v>
      </c>
      <c r="O690" s="93">
        <v>46050</v>
      </c>
    </row>
    <row r="691" spans="1:15" x14ac:dyDescent="0.3">
      <c r="A691" s="102" t="s">
        <v>2150</v>
      </c>
      <c r="B691" t="s">
        <v>1896</v>
      </c>
      <c r="C691" s="93">
        <v>46205</v>
      </c>
      <c r="D691" s="93">
        <v>46205</v>
      </c>
      <c r="E691" s="93">
        <v>46205</v>
      </c>
      <c r="F691" s="102" t="s">
        <v>2158</v>
      </c>
      <c r="G691" s="102" t="s">
        <v>2359</v>
      </c>
      <c r="H691" s="102" t="s">
        <v>1480</v>
      </c>
      <c r="I691">
        <v>291.52</v>
      </c>
      <c r="J691">
        <v>291.52</v>
      </c>
      <c r="K691">
        <v>291.52</v>
      </c>
      <c r="L691">
        <v>291.52</v>
      </c>
      <c r="M691" s="102" t="s">
        <v>1099</v>
      </c>
      <c r="N691" s="102" t="s">
        <v>1488</v>
      </c>
      <c r="O691" s="93">
        <v>46140</v>
      </c>
    </row>
    <row r="692" spans="1:15" x14ac:dyDescent="0.3">
      <c r="A692" s="102" t="s">
        <v>2150</v>
      </c>
      <c r="B692" t="s">
        <v>1896</v>
      </c>
      <c r="C692" s="93">
        <v>46205</v>
      </c>
      <c r="D692" s="93">
        <v>46205</v>
      </c>
      <c r="E692" s="93">
        <v>46205</v>
      </c>
      <c r="F692" s="102" t="s">
        <v>2158</v>
      </c>
      <c r="G692" s="102" t="s">
        <v>2360</v>
      </c>
      <c r="H692" s="102" t="s">
        <v>1480</v>
      </c>
      <c r="I692">
        <v>122.35</v>
      </c>
      <c r="J692">
        <v>122.35</v>
      </c>
      <c r="K692">
        <v>122.35</v>
      </c>
      <c r="L692">
        <v>122.35</v>
      </c>
      <c r="M692" s="102" t="s">
        <v>1099</v>
      </c>
      <c r="N692" s="102" t="s">
        <v>1488</v>
      </c>
      <c r="O692" s="93">
        <v>46136</v>
      </c>
    </row>
    <row r="693" spans="1:15" x14ac:dyDescent="0.3">
      <c r="A693" s="102" t="s">
        <v>2150</v>
      </c>
      <c r="B693" t="s">
        <v>1896</v>
      </c>
      <c r="C693" s="93">
        <v>46205</v>
      </c>
      <c r="D693" s="93">
        <v>46205</v>
      </c>
      <c r="E693" s="93">
        <v>46205</v>
      </c>
      <c r="F693" s="102" t="s">
        <v>2158</v>
      </c>
      <c r="G693" s="102" t="s">
        <v>2361</v>
      </c>
      <c r="H693" s="102" t="s">
        <v>1480</v>
      </c>
      <c r="I693">
        <v>312.69</v>
      </c>
      <c r="J693">
        <v>312.69</v>
      </c>
      <c r="K693">
        <v>312.69</v>
      </c>
      <c r="L693">
        <v>312.69</v>
      </c>
      <c r="M693" s="102" t="s">
        <v>1099</v>
      </c>
      <c r="N693" s="102" t="s">
        <v>1488</v>
      </c>
      <c r="O693" s="93">
        <v>46142</v>
      </c>
    </row>
    <row r="694" spans="1:15" x14ac:dyDescent="0.3">
      <c r="A694" s="102" t="s">
        <v>2150</v>
      </c>
      <c r="B694" t="s">
        <v>1896</v>
      </c>
      <c r="C694" s="93">
        <v>46205</v>
      </c>
      <c r="D694" s="93">
        <v>46205</v>
      </c>
      <c r="E694" s="93">
        <v>46205</v>
      </c>
      <c r="F694" s="102" t="s">
        <v>2158</v>
      </c>
      <c r="G694" s="102" t="s">
        <v>2362</v>
      </c>
      <c r="H694" s="102" t="s">
        <v>1480</v>
      </c>
      <c r="I694">
        <v>42.76</v>
      </c>
      <c r="J694">
        <v>42.76</v>
      </c>
      <c r="K694">
        <v>42.76</v>
      </c>
      <c r="L694">
        <v>42.76</v>
      </c>
      <c r="M694" s="102" t="s">
        <v>1099</v>
      </c>
      <c r="N694" s="102" t="s">
        <v>1488</v>
      </c>
      <c r="O694" s="93">
        <v>46158</v>
      </c>
    </row>
    <row r="695" spans="1:15" x14ac:dyDescent="0.3">
      <c r="A695" s="102" t="s">
        <v>2150</v>
      </c>
      <c r="B695" t="s">
        <v>1896</v>
      </c>
      <c r="C695" s="93">
        <v>46205</v>
      </c>
      <c r="D695" s="93">
        <v>46205</v>
      </c>
      <c r="E695" s="93">
        <v>46205</v>
      </c>
      <c r="F695" s="102" t="s">
        <v>2158</v>
      </c>
      <c r="G695" s="102" t="s">
        <v>2363</v>
      </c>
      <c r="H695" s="102" t="s">
        <v>1480</v>
      </c>
      <c r="I695">
        <v>57.62</v>
      </c>
      <c r="J695">
        <v>57.62</v>
      </c>
      <c r="K695">
        <v>57.62</v>
      </c>
      <c r="L695">
        <v>57.62</v>
      </c>
      <c r="M695" s="102" t="s">
        <v>1099</v>
      </c>
      <c r="N695" s="102" t="s">
        <v>1488</v>
      </c>
      <c r="O695" s="93">
        <v>46146</v>
      </c>
    </row>
    <row r="696" spans="1:15" x14ac:dyDescent="0.3">
      <c r="A696" s="102" t="s">
        <v>2150</v>
      </c>
      <c r="B696" t="s">
        <v>1896</v>
      </c>
      <c r="C696" s="93">
        <v>46205</v>
      </c>
      <c r="D696" s="93">
        <v>46205</v>
      </c>
      <c r="E696" s="93">
        <v>46205</v>
      </c>
      <c r="F696" s="102" t="s">
        <v>2158</v>
      </c>
      <c r="G696" s="102" t="s">
        <v>2364</v>
      </c>
      <c r="H696" s="102" t="s">
        <v>1480</v>
      </c>
      <c r="I696">
        <v>56.28</v>
      </c>
      <c r="J696">
        <v>56.28</v>
      </c>
      <c r="K696">
        <v>56.28</v>
      </c>
      <c r="L696">
        <v>56.28</v>
      </c>
      <c r="M696" s="102" t="s">
        <v>1099</v>
      </c>
      <c r="N696" s="102" t="s">
        <v>1488</v>
      </c>
      <c r="O696" s="93">
        <v>46188</v>
      </c>
    </row>
    <row r="697" spans="1:15" x14ac:dyDescent="0.3">
      <c r="A697" s="102" t="s">
        <v>2150</v>
      </c>
      <c r="B697" t="s">
        <v>1896</v>
      </c>
      <c r="C697" s="93">
        <v>46046</v>
      </c>
      <c r="D697" s="93">
        <v>46046</v>
      </c>
      <c r="E697" s="93">
        <v>46046</v>
      </c>
      <c r="F697" s="102" t="s">
        <v>2166</v>
      </c>
      <c r="G697" s="102" t="s">
        <v>2167</v>
      </c>
      <c r="H697" s="102" t="s">
        <v>1480</v>
      </c>
      <c r="I697">
        <v>300</v>
      </c>
      <c r="J697">
        <v>300</v>
      </c>
      <c r="K697">
        <v>300</v>
      </c>
      <c r="L697">
        <v>300</v>
      </c>
      <c r="M697" s="102" t="s">
        <v>1099</v>
      </c>
      <c r="N697" s="102" t="s">
        <v>1481</v>
      </c>
      <c r="O697" s="93">
        <v>46046</v>
      </c>
    </row>
    <row r="698" spans="1:15" x14ac:dyDescent="0.3">
      <c r="A698" s="102" t="s">
        <v>2150</v>
      </c>
      <c r="B698" t="s">
        <v>1896</v>
      </c>
      <c r="C698" s="93">
        <v>46205</v>
      </c>
      <c r="D698" s="93">
        <v>46205</v>
      </c>
      <c r="E698" s="93">
        <v>46205</v>
      </c>
      <c r="F698" s="102" t="s">
        <v>2158</v>
      </c>
      <c r="G698" s="102" t="s">
        <v>2365</v>
      </c>
      <c r="H698" s="102" t="s">
        <v>1480</v>
      </c>
      <c r="I698">
        <v>17.47</v>
      </c>
      <c r="J698">
        <v>17.47</v>
      </c>
      <c r="K698">
        <v>17.47</v>
      </c>
      <c r="L698">
        <v>17.47</v>
      </c>
      <c r="M698" s="102" t="s">
        <v>1099</v>
      </c>
      <c r="N698" s="102" t="s">
        <v>1488</v>
      </c>
      <c r="O698" s="93">
        <v>46151</v>
      </c>
    </row>
    <row r="699" spans="1:15" x14ac:dyDescent="0.3">
      <c r="A699" s="102" t="s">
        <v>2150</v>
      </c>
      <c r="B699" t="s">
        <v>1896</v>
      </c>
      <c r="C699" s="93">
        <v>46205</v>
      </c>
      <c r="D699" s="93">
        <v>46205</v>
      </c>
      <c r="E699" s="93">
        <v>46205</v>
      </c>
      <c r="F699" s="102" t="s">
        <v>2158</v>
      </c>
      <c r="G699" s="102" t="s">
        <v>2366</v>
      </c>
      <c r="H699" s="102" t="s">
        <v>1480</v>
      </c>
      <c r="I699">
        <v>107.67</v>
      </c>
      <c r="J699">
        <v>107.67</v>
      </c>
      <c r="K699">
        <v>107.67</v>
      </c>
      <c r="L699">
        <v>107.67</v>
      </c>
      <c r="M699" s="102" t="s">
        <v>1099</v>
      </c>
      <c r="N699" s="102" t="s">
        <v>1488</v>
      </c>
      <c r="O699" s="93">
        <v>46155</v>
      </c>
    </row>
    <row r="700" spans="1:15" x14ac:dyDescent="0.3">
      <c r="A700" s="102" t="s">
        <v>2150</v>
      </c>
      <c r="B700" t="s">
        <v>1896</v>
      </c>
      <c r="C700" s="93">
        <v>46205</v>
      </c>
      <c r="D700" s="93">
        <v>46205</v>
      </c>
      <c r="E700" s="93">
        <v>46205</v>
      </c>
      <c r="F700" s="102" t="s">
        <v>2158</v>
      </c>
      <c r="G700" s="102" t="s">
        <v>2367</v>
      </c>
      <c r="H700" s="102" t="s">
        <v>1480</v>
      </c>
      <c r="I700">
        <v>21.92</v>
      </c>
      <c r="J700">
        <v>21.92</v>
      </c>
      <c r="K700">
        <v>21.92</v>
      </c>
      <c r="L700">
        <v>21.92</v>
      </c>
      <c r="M700" s="102" t="s">
        <v>1099</v>
      </c>
      <c r="N700" s="102" t="s">
        <v>1488</v>
      </c>
      <c r="O700" s="93">
        <v>46168</v>
      </c>
    </row>
    <row r="701" spans="1:15" x14ac:dyDescent="0.3">
      <c r="A701" s="102" t="s">
        <v>2150</v>
      </c>
      <c r="B701" t="s">
        <v>1896</v>
      </c>
      <c r="C701" s="93">
        <v>46205</v>
      </c>
      <c r="D701" s="93">
        <v>46205</v>
      </c>
      <c r="E701" s="93">
        <v>46205</v>
      </c>
      <c r="F701" s="102" t="s">
        <v>2158</v>
      </c>
      <c r="G701" s="102" t="s">
        <v>2368</v>
      </c>
      <c r="H701" s="102" t="s">
        <v>1480</v>
      </c>
      <c r="I701">
        <v>27.98</v>
      </c>
      <c r="J701">
        <v>27.98</v>
      </c>
      <c r="K701">
        <v>27.98</v>
      </c>
      <c r="L701">
        <v>27.98</v>
      </c>
      <c r="M701" s="102" t="s">
        <v>1099</v>
      </c>
      <c r="N701" s="102" t="s">
        <v>1488</v>
      </c>
      <c r="O701" s="93">
        <v>46171</v>
      </c>
    </row>
    <row r="702" spans="1:15" x14ac:dyDescent="0.3">
      <c r="A702" s="102" t="s">
        <v>2150</v>
      </c>
      <c r="B702" t="s">
        <v>1896</v>
      </c>
      <c r="C702" s="93">
        <v>46205</v>
      </c>
      <c r="D702" s="93">
        <v>46205</v>
      </c>
      <c r="E702" s="93">
        <v>46205</v>
      </c>
      <c r="F702" s="102" t="s">
        <v>2158</v>
      </c>
      <c r="G702" s="102" t="s">
        <v>2369</v>
      </c>
      <c r="H702" s="102" t="s">
        <v>1480</v>
      </c>
      <c r="I702">
        <v>66.97</v>
      </c>
      <c r="J702">
        <v>66.97</v>
      </c>
      <c r="K702">
        <v>66.97</v>
      </c>
      <c r="L702">
        <v>66.97</v>
      </c>
      <c r="M702" s="102" t="s">
        <v>1099</v>
      </c>
      <c r="N702" s="102" t="s">
        <v>1488</v>
      </c>
      <c r="O702" s="93">
        <v>46169</v>
      </c>
    </row>
    <row r="703" spans="1:15" x14ac:dyDescent="0.3">
      <c r="A703" s="102" t="s">
        <v>2150</v>
      </c>
      <c r="B703" t="s">
        <v>1896</v>
      </c>
      <c r="C703" s="93">
        <v>46205</v>
      </c>
      <c r="D703" s="93">
        <v>46205</v>
      </c>
      <c r="E703" s="93">
        <v>46205</v>
      </c>
      <c r="F703" s="102" t="s">
        <v>2158</v>
      </c>
      <c r="G703" s="102" t="s">
        <v>2370</v>
      </c>
      <c r="H703" s="102" t="s">
        <v>1480</v>
      </c>
      <c r="I703">
        <v>209.15</v>
      </c>
      <c r="J703">
        <v>209.15</v>
      </c>
      <c r="K703">
        <v>209.15</v>
      </c>
      <c r="L703">
        <v>209.15</v>
      </c>
      <c r="M703" s="102" t="s">
        <v>1099</v>
      </c>
      <c r="N703" s="102" t="s">
        <v>1488</v>
      </c>
      <c r="O703" s="93">
        <v>46189</v>
      </c>
    </row>
    <row r="704" spans="1:15" x14ac:dyDescent="0.3">
      <c r="A704" s="102" t="s">
        <v>2150</v>
      </c>
      <c r="B704" t="s">
        <v>1896</v>
      </c>
      <c r="C704" s="93">
        <v>46205</v>
      </c>
      <c r="D704" s="93">
        <v>46205</v>
      </c>
      <c r="E704" s="93">
        <v>46205</v>
      </c>
      <c r="F704" s="102" t="s">
        <v>2158</v>
      </c>
      <c r="G704" s="102" t="s">
        <v>2371</v>
      </c>
      <c r="H704" s="102" t="s">
        <v>1480</v>
      </c>
      <c r="I704">
        <v>47.98</v>
      </c>
      <c r="J704">
        <v>47.98</v>
      </c>
      <c r="K704">
        <v>47.98</v>
      </c>
      <c r="L704">
        <v>47.98</v>
      </c>
      <c r="M704" s="102" t="s">
        <v>1099</v>
      </c>
      <c r="N704" s="102" t="s">
        <v>1488</v>
      </c>
      <c r="O704" s="93">
        <v>46197</v>
      </c>
    </row>
    <row r="705" spans="1:15" x14ac:dyDescent="0.3">
      <c r="A705" s="102" t="s">
        <v>2150</v>
      </c>
      <c r="B705" t="s">
        <v>1896</v>
      </c>
      <c r="C705" s="93">
        <v>46205</v>
      </c>
      <c r="D705" s="93">
        <v>46205</v>
      </c>
      <c r="E705" s="93">
        <v>46205</v>
      </c>
      <c r="F705" s="102" t="s">
        <v>2158</v>
      </c>
      <c r="G705" s="102" t="s">
        <v>2372</v>
      </c>
      <c r="H705" s="102" t="s">
        <v>1480</v>
      </c>
      <c r="I705">
        <v>929.9</v>
      </c>
      <c r="J705">
        <v>929.9</v>
      </c>
      <c r="K705">
        <v>929.9</v>
      </c>
      <c r="L705">
        <v>929.9</v>
      </c>
      <c r="M705" s="102" t="s">
        <v>1099</v>
      </c>
      <c r="N705" s="102" t="s">
        <v>1488</v>
      </c>
      <c r="O705" s="93">
        <v>46198</v>
      </c>
    </row>
    <row r="706" spans="1:15" x14ac:dyDescent="0.3">
      <c r="A706" s="102" t="s">
        <v>2150</v>
      </c>
      <c r="B706" t="s">
        <v>1896</v>
      </c>
      <c r="C706" s="93">
        <v>46091</v>
      </c>
      <c r="D706" s="93">
        <v>46091</v>
      </c>
      <c r="E706" s="93">
        <v>46091</v>
      </c>
      <c r="F706" s="102" t="s">
        <v>1650</v>
      </c>
      <c r="G706" s="102" t="s">
        <v>2163</v>
      </c>
      <c r="H706" s="102" t="s">
        <v>1480</v>
      </c>
      <c r="I706">
        <v>362.4</v>
      </c>
      <c r="J706">
        <v>362.4</v>
      </c>
      <c r="K706">
        <v>362.4</v>
      </c>
      <c r="L706">
        <v>362.4</v>
      </c>
      <c r="M706" s="102" t="s">
        <v>1099</v>
      </c>
      <c r="N706" s="102" t="s">
        <v>1481</v>
      </c>
      <c r="O706" s="93">
        <v>46091</v>
      </c>
    </row>
    <row r="707" spans="1:15" x14ac:dyDescent="0.3">
      <c r="A707" s="102" t="s">
        <v>2150</v>
      </c>
      <c r="B707" t="s">
        <v>1896</v>
      </c>
      <c r="C707" s="93">
        <v>46266</v>
      </c>
      <c r="F707" s="102" t="s">
        <v>2151</v>
      </c>
      <c r="G707" s="102" t="s">
        <v>2152</v>
      </c>
      <c r="H707" s="102" t="s">
        <v>2176</v>
      </c>
      <c r="I707">
        <v>67000</v>
      </c>
      <c r="J707">
        <v>67000</v>
      </c>
      <c r="K707">
        <v>67000</v>
      </c>
      <c r="L707">
        <v>0</v>
      </c>
      <c r="M707" s="102" t="s">
        <v>1099</v>
      </c>
      <c r="N707" s="102" t="s">
        <v>1488</v>
      </c>
      <c r="O707" s="93">
        <v>46106</v>
      </c>
    </row>
    <row r="708" spans="1:15" x14ac:dyDescent="0.3">
      <c r="A708" s="102" t="s">
        <v>2150</v>
      </c>
      <c r="B708" t="s">
        <v>1896</v>
      </c>
      <c r="C708" s="93">
        <v>46102</v>
      </c>
      <c r="D708" s="93">
        <v>46102</v>
      </c>
      <c r="E708" s="93">
        <v>46102</v>
      </c>
      <c r="F708" s="102" t="s">
        <v>2158</v>
      </c>
      <c r="G708" s="102" t="s">
        <v>2161</v>
      </c>
      <c r="H708" s="102" t="s">
        <v>1480</v>
      </c>
      <c r="I708">
        <v>225</v>
      </c>
      <c r="J708">
        <v>225</v>
      </c>
      <c r="K708">
        <v>225</v>
      </c>
      <c r="L708">
        <v>225</v>
      </c>
      <c r="M708" s="102" t="s">
        <v>1099</v>
      </c>
      <c r="N708" s="102" t="s">
        <v>1481</v>
      </c>
      <c r="O708" s="93">
        <v>46102</v>
      </c>
    </row>
    <row r="709" spans="1:15" x14ac:dyDescent="0.3">
      <c r="A709" s="102" t="s">
        <v>2150</v>
      </c>
      <c r="B709" t="s">
        <v>1896</v>
      </c>
      <c r="C709" s="93">
        <v>46176</v>
      </c>
      <c r="D709" s="93">
        <v>46176</v>
      </c>
      <c r="E709" s="93">
        <v>46176</v>
      </c>
      <c r="F709" s="102" t="s">
        <v>2168</v>
      </c>
      <c r="G709" s="102" t="s">
        <v>2169</v>
      </c>
      <c r="H709" s="102" t="s">
        <v>1480</v>
      </c>
      <c r="I709">
        <v>3088.37</v>
      </c>
      <c r="J709">
        <v>3088.37</v>
      </c>
      <c r="K709">
        <v>3088.37</v>
      </c>
      <c r="L709">
        <v>3088.37</v>
      </c>
      <c r="M709" s="102" t="s">
        <v>1099</v>
      </c>
      <c r="N709" s="102" t="s">
        <v>1481</v>
      </c>
      <c r="O709" s="93">
        <v>46176</v>
      </c>
    </row>
    <row r="710" spans="1:15" x14ac:dyDescent="0.3">
      <c r="A710" s="102" t="s">
        <v>2150</v>
      </c>
      <c r="B710" t="s">
        <v>1896</v>
      </c>
      <c r="C710" s="93">
        <v>46113</v>
      </c>
      <c r="D710" s="93">
        <v>46113</v>
      </c>
      <c r="E710" s="93">
        <v>46113</v>
      </c>
      <c r="F710" s="102" t="s">
        <v>2151</v>
      </c>
      <c r="G710" s="102" t="s">
        <v>2152</v>
      </c>
      <c r="H710" s="102" t="s">
        <v>2157</v>
      </c>
      <c r="I710">
        <v>40000</v>
      </c>
      <c r="J710">
        <v>40000</v>
      </c>
      <c r="K710">
        <v>40000</v>
      </c>
      <c r="L710">
        <v>40000</v>
      </c>
      <c r="M710" s="102" t="s">
        <v>1099</v>
      </c>
      <c r="N710" s="102" t="s">
        <v>1488</v>
      </c>
      <c r="O710" s="93">
        <v>46106</v>
      </c>
    </row>
    <row r="711" spans="1:15" x14ac:dyDescent="0.3">
      <c r="A711" s="102" t="s">
        <v>2150</v>
      </c>
      <c r="B711" t="s">
        <v>1896</v>
      </c>
      <c r="C711" s="93">
        <v>46143</v>
      </c>
      <c r="D711" s="93">
        <v>46142</v>
      </c>
      <c r="E711" s="93">
        <v>46142</v>
      </c>
      <c r="F711" s="102" t="s">
        <v>2151</v>
      </c>
      <c r="G711" s="102" t="s">
        <v>2152</v>
      </c>
      <c r="H711" s="102" t="s">
        <v>2155</v>
      </c>
      <c r="I711">
        <v>40000</v>
      </c>
      <c r="J711">
        <v>40000</v>
      </c>
      <c r="K711">
        <v>40000</v>
      </c>
      <c r="L711">
        <v>40000</v>
      </c>
      <c r="M711" s="102" t="s">
        <v>1099</v>
      </c>
      <c r="N711" s="102" t="s">
        <v>1488</v>
      </c>
      <c r="O711" s="93">
        <v>46106</v>
      </c>
    </row>
    <row r="712" spans="1:15" x14ac:dyDescent="0.3">
      <c r="A712" s="102" t="s">
        <v>2150</v>
      </c>
      <c r="B712" t="s">
        <v>1896</v>
      </c>
      <c r="C712" s="93">
        <v>46174</v>
      </c>
      <c r="D712" s="93">
        <v>46174</v>
      </c>
      <c r="E712" s="93">
        <v>46174</v>
      </c>
      <c r="F712" s="102" t="s">
        <v>2151</v>
      </c>
      <c r="G712" s="102" t="s">
        <v>2152</v>
      </c>
      <c r="H712" s="102" t="s">
        <v>2153</v>
      </c>
      <c r="I712">
        <v>20000</v>
      </c>
      <c r="J712">
        <v>20000</v>
      </c>
      <c r="K712">
        <v>20000</v>
      </c>
      <c r="L712">
        <v>20000</v>
      </c>
      <c r="M712" s="102" t="s">
        <v>1099</v>
      </c>
      <c r="N712" s="102" t="s">
        <v>1488</v>
      </c>
      <c r="O712" s="93">
        <v>46106</v>
      </c>
    </row>
    <row r="713" spans="1:15" x14ac:dyDescent="0.3">
      <c r="A713" s="102" t="s">
        <v>2150</v>
      </c>
      <c r="B713" t="s">
        <v>1896</v>
      </c>
      <c r="C713" s="93">
        <v>46204</v>
      </c>
      <c r="D713" s="93">
        <v>46204</v>
      </c>
      <c r="E713" s="93">
        <v>46204</v>
      </c>
      <c r="F713" s="102" t="s">
        <v>2151</v>
      </c>
      <c r="G713" s="102" t="s">
        <v>2152</v>
      </c>
      <c r="H713" s="102" t="s">
        <v>2154</v>
      </c>
      <c r="I713">
        <v>40000</v>
      </c>
      <c r="J713">
        <v>40000</v>
      </c>
      <c r="K713">
        <v>40000</v>
      </c>
      <c r="L713">
        <v>40000</v>
      </c>
      <c r="M713" s="102" t="s">
        <v>1099</v>
      </c>
      <c r="N713" s="102" t="s">
        <v>1488</v>
      </c>
      <c r="O713" s="93">
        <v>46106</v>
      </c>
    </row>
    <row r="714" spans="1:15" x14ac:dyDescent="0.3">
      <c r="A714" s="102" t="s">
        <v>2150</v>
      </c>
      <c r="B714" t="s">
        <v>1896</v>
      </c>
      <c r="C714" s="93">
        <v>46235</v>
      </c>
      <c r="F714" s="102" t="s">
        <v>2151</v>
      </c>
      <c r="G714" s="102" t="s">
        <v>2152</v>
      </c>
      <c r="H714" s="102" t="s">
        <v>2156</v>
      </c>
      <c r="I714">
        <v>40000</v>
      </c>
      <c r="J714">
        <v>40000</v>
      </c>
      <c r="K714">
        <v>40000</v>
      </c>
      <c r="L714">
        <v>0</v>
      </c>
      <c r="M714" s="102" t="s">
        <v>1099</v>
      </c>
      <c r="N714" s="102" t="s">
        <v>1488</v>
      </c>
      <c r="O714" s="93">
        <v>46106</v>
      </c>
    </row>
    <row r="715" spans="1:15" x14ac:dyDescent="0.3">
      <c r="A715" s="102" t="s">
        <v>2150</v>
      </c>
      <c r="B715" t="s">
        <v>1896</v>
      </c>
      <c r="C715" s="93">
        <v>46030</v>
      </c>
      <c r="D715" s="93">
        <v>46030</v>
      </c>
      <c r="E715" s="93">
        <v>46030</v>
      </c>
      <c r="F715" s="102" t="s">
        <v>2160</v>
      </c>
      <c r="G715" s="102" t="s">
        <v>2167</v>
      </c>
      <c r="H715" s="102" t="s">
        <v>1480</v>
      </c>
      <c r="I715">
        <v>180</v>
      </c>
      <c r="J715">
        <v>180</v>
      </c>
      <c r="K715">
        <v>180</v>
      </c>
      <c r="L715">
        <v>180</v>
      </c>
      <c r="M715" s="102" t="s">
        <v>1099</v>
      </c>
      <c r="N715" s="102" t="s">
        <v>1481</v>
      </c>
      <c r="O715" s="93">
        <v>46030</v>
      </c>
    </row>
    <row r="716" spans="1:15" x14ac:dyDescent="0.3">
      <c r="A716" s="102" t="s">
        <v>2150</v>
      </c>
      <c r="B716" t="s">
        <v>1896</v>
      </c>
      <c r="C716" s="93">
        <v>46176</v>
      </c>
      <c r="D716" s="93">
        <v>46175</v>
      </c>
      <c r="E716" s="93">
        <v>46175</v>
      </c>
      <c r="F716" s="102" t="s">
        <v>2151</v>
      </c>
      <c r="G716" s="102" t="s">
        <v>2152</v>
      </c>
      <c r="H716" s="102" t="s">
        <v>2170</v>
      </c>
      <c r="I716">
        <v>20000</v>
      </c>
      <c r="J716">
        <v>20000</v>
      </c>
      <c r="K716">
        <v>20000</v>
      </c>
      <c r="L716">
        <v>20000</v>
      </c>
      <c r="M716" s="102" t="s">
        <v>1099</v>
      </c>
      <c r="N716" s="102" t="s">
        <v>1488</v>
      </c>
      <c r="O716" s="93">
        <v>46106</v>
      </c>
    </row>
    <row r="717" spans="1:15" x14ac:dyDescent="0.3">
      <c r="A717" s="102" t="s">
        <v>2150</v>
      </c>
      <c r="B717" t="s">
        <v>1896</v>
      </c>
      <c r="C717" s="93">
        <v>46171</v>
      </c>
      <c r="D717" s="93">
        <v>46171</v>
      </c>
      <c r="E717" s="93">
        <v>46171</v>
      </c>
      <c r="F717" s="102" t="s">
        <v>2160</v>
      </c>
      <c r="G717" s="102" t="s">
        <v>2171</v>
      </c>
      <c r="H717" s="102" t="s">
        <v>1480</v>
      </c>
      <c r="I717">
        <v>8780</v>
      </c>
      <c r="J717">
        <v>8780</v>
      </c>
      <c r="K717">
        <v>8780</v>
      </c>
      <c r="L717">
        <v>8780</v>
      </c>
      <c r="M717" s="102" t="s">
        <v>1099</v>
      </c>
      <c r="N717" s="102" t="s">
        <v>1481</v>
      </c>
      <c r="O717" s="93">
        <v>46171</v>
      </c>
    </row>
    <row r="718" spans="1:15" x14ac:dyDescent="0.3">
      <c r="A718" s="102" t="s">
        <v>2150</v>
      </c>
      <c r="B718" t="s">
        <v>1896</v>
      </c>
      <c r="C718" s="93">
        <v>46167</v>
      </c>
      <c r="D718" s="93">
        <v>46171</v>
      </c>
      <c r="E718" s="93">
        <v>46171</v>
      </c>
      <c r="F718" s="102" t="s">
        <v>2160</v>
      </c>
      <c r="G718" s="102" t="s">
        <v>2172</v>
      </c>
      <c r="H718" s="102" t="s">
        <v>1480</v>
      </c>
      <c r="I718">
        <v>1160</v>
      </c>
      <c r="J718">
        <v>1160</v>
      </c>
      <c r="K718">
        <v>1160</v>
      </c>
      <c r="L718">
        <v>1160</v>
      </c>
      <c r="M718" s="102" t="s">
        <v>1099</v>
      </c>
      <c r="N718" s="102" t="s">
        <v>1481</v>
      </c>
      <c r="O718" s="93">
        <v>46167</v>
      </c>
    </row>
    <row r="719" spans="1:15" x14ac:dyDescent="0.3">
      <c r="A719" s="102" t="s">
        <v>2150</v>
      </c>
      <c r="B719" t="s">
        <v>1896</v>
      </c>
      <c r="C719" s="93">
        <v>46129</v>
      </c>
      <c r="D719" s="93">
        <v>46129</v>
      </c>
      <c r="E719" s="93">
        <v>46129</v>
      </c>
      <c r="F719" s="102" t="s">
        <v>2160</v>
      </c>
      <c r="G719" s="102" t="s">
        <v>2178</v>
      </c>
      <c r="H719" s="102" t="s">
        <v>1480</v>
      </c>
      <c r="I719">
        <v>20338</v>
      </c>
      <c r="J719">
        <v>20338</v>
      </c>
      <c r="K719">
        <v>20338</v>
      </c>
      <c r="L719">
        <v>20338</v>
      </c>
      <c r="M719" s="102" t="s">
        <v>1099</v>
      </c>
      <c r="N719" s="102" t="s">
        <v>1500</v>
      </c>
      <c r="O719" s="93">
        <v>46129</v>
      </c>
    </row>
    <row r="720" spans="1:15" x14ac:dyDescent="0.3">
      <c r="A720" s="102" t="s">
        <v>2150</v>
      </c>
      <c r="B720" t="s">
        <v>1896</v>
      </c>
      <c r="C720" s="93">
        <v>46147</v>
      </c>
      <c r="D720" s="93">
        <v>46147</v>
      </c>
      <c r="E720" s="93">
        <v>46147</v>
      </c>
      <c r="F720" s="102" t="s">
        <v>2174</v>
      </c>
      <c r="G720" s="102" t="s">
        <v>2175</v>
      </c>
      <c r="H720" s="102" t="s">
        <v>1629</v>
      </c>
      <c r="I720">
        <v>4000</v>
      </c>
      <c r="J720">
        <v>4000</v>
      </c>
      <c r="K720">
        <v>4000</v>
      </c>
      <c r="L720">
        <v>4000</v>
      </c>
      <c r="M720" s="102" t="s">
        <v>1099</v>
      </c>
      <c r="N720" s="102" t="s">
        <v>1488</v>
      </c>
      <c r="O720" s="93">
        <v>46147</v>
      </c>
    </row>
    <row r="721" spans="1:15" x14ac:dyDescent="0.3">
      <c r="A721" s="102" t="s">
        <v>2150</v>
      </c>
      <c r="B721" t="s">
        <v>1896</v>
      </c>
      <c r="C721" s="93">
        <v>46153</v>
      </c>
      <c r="D721" s="93">
        <v>46153</v>
      </c>
      <c r="E721" s="93">
        <v>46153</v>
      </c>
      <c r="F721" s="102" t="s">
        <v>2174</v>
      </c>
      <c r="G721" s="102" t="s">
        <v>2175</v>
      </c>
      <c r="H721" s="102" t="s">
        <v>1630</v>
      </c>
      <c r="I721">
        <v>1000</v>
      </c>
      <c r="J721">
        <v>1000</v>
      </c>
      <c r="K721">
        <v>1000</v>
      </c>
      <c r="L721">
        <v>1000</v>
      </c>
      <c r="M721" s="102" t="s">
        <v>1099</v>
      </c>
      <c r="N721" s="102" t="s">
        <v>1488</v>
      </c>
      <c r="O721" s="93">
        <v>46147</v>
      </c>
    </row>
    <row r="722" spans="1:15" x14ac:dyDescent="0.3">
      <c r="A722" s="102" t="s">
        <v>2150</v>
      </c>
      <c r="B722" t="s">
        <v>1896</v>
      </c>
      <c r="C722" s="93">
        <v>46157</v>
      </c>
      <c r="D722" s="93">
        <v>46157</v>
      </c>
      <c r="E722" s="93">
        <v>46157</v>
      </c>
      <c r="F722" s="102" t="s">
        <v>2160</v>
      </c>
      <c r="G722" s="102" t="s">
        <v>2173</v>
      </c>
      <c r="H722" s="102" t="s">
        <v>1480</v>
      </c>
      <c r="I722">
        <v>11620</v>
      </c>
      <c r="J722">
        <v>11620</v>
      </c>
      <c r="K722">
        <v>11620</v>
      </c>
      <c r="L722">
        <v>11620</v>
      </c>
      <c r="M722" s="102" t="s">
        <v>1099</v>
      </c>
      <c r="N722" s="102" t="s">
        <v>1488</v>
      </c>
      <c r="O722" s="93">
        <v>46157</v>
      </c>
    </row>
    <row r="723" spans="1:15" x14ac:dyDescent="0.3">
      <c r="A723" s="102" t="s">
        <v>2150</v>
      </c>
      <c r="B723" t="s">
        <v>1896</v>
      </c>
      <c r="C723" s="93">
        <v>46147</v>
      </c>
      <c r="D723" s="93">
        <v>46153</v>
      </c>
      <c r="E723" s="93">
        <v>46153</v>
      </c>
      <c r="F723" s="102" t="s">
        <v>2174</v>
      </c>
      <c r="G723" s="102" t="s">
        <v>2175</v>
      </c>
      <c r="H723" s="102" t="s">
        <v>1626</v>
      </c>
      <c r="I723">
        <v>200</v>
      </c>
      <c r="J723">
        <v>200</v>
      </c>
      <c r="K723">
        <v>200</v>
      </c>
      <c r="L723">
        <v>200</v>
      </c>
      <c r="M723" s="102" t="s">
        <v>1099</v>
      </c>
      <c r="N723" s="102" t="s">
        <v>1488</v>
      </c>
      <c r="O723" s="93">
        <v>46147</v>
      </c>
    </row>
    <row r="724" spans="1:15" x14ac:dyDescent="0.3">
      <c r="A724" s="102" t="s">
        <v>2150</v>
      </c>
      <c r="B724" t="s">
        <v>1896</v>
      </c>
      <c r="C724" s="93">
        <v>46199</v>
      </c>
      <c r="D724" s="93">
        <v>46199</v>
      </c>
      <c r="E724" s="93">
        <v>46199</v>
      </c>
      <c r="F724" s="102" t="s">
        <v>1752</v>
      </c>
      <c r="G724" s="102" t="s">
        <v>2290</v>
      </c>
      <c r="H724" s="102" t="s">
        <v>1480</v>
      </c>
      <c r="I724">
        <v>1530</v>
      </c>
      <c r="J724">
        <v>1530</v>
      </c>
      <c r="K724">
        <v>1530</v>
      </c>
      <c r="L724">
        <v>1530</v>
      </c>
      <c r="M724" s="102" t="s">
        <v>1099</v>
      </c>
      <c r="N724" s="102" t="s">
        <v>1488</v>
      </c>
      <c r="O724" s="93">
        <v>46199</v>
      </c>
    </row>
    <row r="725" spans="1:15" x14ac:dyDescent="0.3">
      <c r="A725" s="102" t="s">
        <v>2150</v>
      </c>
      <c r="B725" t="s">
        <v>1896</v>
      </c>
      <c r="C725" s="93">
        <v>46081</v>
      </c>
      <c r="D725" s="93">
        <v>46082</v>
      </c>
      <c r="E725" s="93">
        <v>46082</v>
      </c>
      <c r="F725" s="102" t="s">
        <v>2158</v>
      </c>
      <c r="G725" s="102" t="s">
        <v>2159</v>
      </c>
      <c r="H725" s="102" t="s">
        <v>1480</v>
      </c>
      <c r="I725">
        <v>221.95</v>
      </c>
      <c r="J725">
        <v>221.95</v>
      </c>
      <c r="K725">
        <v>221.95</v>
      </c>
      <c r="L725">
        <v>221.95</v>
      </c>
      <c r="M725" s="102" t="s">
        <v>1099</v>
      </c>
      <c r="N725" s="102" t="s">
        <v>1481</v>
      </c>
      <c r="O725" s="93">
        <v>46080</v>
      </c>
    </row>
    <row r="726" spans="1:15" x14ac:dyDescent="0.3">
      <c r="A726" s="102" t="s">
        <v>2150</v>
      </c>
      <c r="B726" t="s">
        <v>1896</v>
      </c>
      <c r="C726" s="93">
        <v>46218</v>
      </c>
      <c r="F726" s="102" t="s">
        <v>2151</v>
      </c>
      <c r="G726" s="102" t="s">
        <v>2289</v>
      </c>
      <c r="H726" s="102" t="s">
        <v>1693</v>
      </c>
      <c r="I726">
        <v>5000</v>
      </c>
      <c r="J726">
        <v>5000</v>
      </c>
      <c r="K726">
        <v>5000</v>
      </c>
      <c r="L726">
        <v>0</v>
      </c>
      <c r="M726" s="102" t="s">
        <v>1099</v>
      </c>
      <c r="N726" s="102" t="s">
        <v>1488</v>
      </c>
      <c r="O726" s="93">
        <v>46196</v>
      </c>
    </row>
    <row r="727" spans="1:15" x14ac:dyDescent="0.3">
      <c r="A727" s="102" t="s">
        <v>2150</v>
      </c>
      <c r="B727" t="s">
        <v>1896</v>
      </c>
      <c r="C727" s="93">
        <v>46204</v>
      </c>
      <c r="D727" s="93">
        <v>46200</v>
      </c>
      <c r="E727" s="93">
        <v>46200</v>
      </c>
      <c r="F727" s="102" t="s">
        <v>2151</v>
      </c>
      <c r="G727" s="102" t="s">
        <v>2289</v>
      </c>
      <c r="H727" s="102" t="s">
        <v>1688</v>
      </c>
      <c r="I727">
        <v>20000</v>
      </c>
      <c r="J727">
        <v>20000</v>
      </c>
      <c r="K727">
        <v>20000</v>
      </c>
      <c r="L727">
        <v>20000</v>
      </c>
      <c r="M727" s="102" t="s">
        <v>1099</v>
      </c>
      <c r="N727" s="102" t="s">
        <v>1488</v>
      </c>
      <c r="O727" s="93">
        <v>46196</v>
      </c>
    </row>
    <row r="728" spans="1:15" x14ac:dyDescent="0.3">
      <c r="A728" s="102" t="s">
        <v>2150</v>
      </c>
      <c r="B728" t="s">
        <v>1896</v>
      </c>
      <c r="C728" s="93">
        <v>46046</v>
      </c>
      <c r="D728" s="93">
        <v>46046</v>
      </c>
      <c r="E728" s="93">
        <v>46046</v>
      </c>
      <c r="F728" s="102" t="s">
        <v>2166</v>
      </c>
      <c r="G728" s="102" t="s">
        <v>2167</v>
      </c>
      <c r="H728" s="102" t="s">
        <v>1480</v>
      </c>
      <c r="I728">
        <v>100</v>
      </c>
      <c r="J728">
        <v>100</v>
      </c>
      <c r="K728">
        <v>100</v>
      </c>
      <c r="L728">
        <v>100</v>
      </c>
      <c r="M728" s="102" t="s">
        <v>1099</v>
      </c>
      <c r="N728" s="102" t="s">
        <v>1481</v>
      </c>
      <c r="O728" s="93">
        <v>46046</v>
      </c>
    </row>
    <row r="729" spans="1:15" x14ac:dyDescent="0.3">
      <c r="A729" s="102" t="s">
        <v>2150</v>
      </c>
      <c r="B729" t="s">
        <v>1896</v>
      </c>
      <c r="C729" s="93">
        <v>46069</v>
      </c>
      <c r="D729" s="93">
        <v>46069</v>
      </c>
      <c r="E729" s="93">
        <v>46069</v>
      </c>
      <c r="F729" s="102" t="s">
        <v>2158</v>
      </c>
      <c r="G729" s="102" t="s">
        <v>2159</v>
      </c>
      <c r="H729" s="102" t="s">
        <v>1480</v>
      </c>
      <c r="I729">
        <v>94</v>
      </c>
      <c r="J729">
        <v>94</v>
      </c>
      <c r="K729">
        <v>94</v>
      </c>
      <c r="L729">
        <v>94</v>
      </c>
      <c r="M729" s="102" t="s">
        <v>1099</v>
      </c>
      <c r="N729" s="102" t="s">
        <v>1481</v>
      </c>
      <c r="O729" s="93">
        <v>46069</v>
      </c>
    </row>
    <row r="730" spans="1:15" x14ac:dyDescent="0.3">
      <c r="A730" s="102" t="s">
        <v>2150</v>
      </c>
      <c r="B730" t="s">
        <v>1896</v>
      </c>
      <c r="C730" s="93">
        <v>46078</v>
      </c>
      <c r="D730" s="93">
        <v>46078</v>
      </c>
      <c r="E730" s="93">
        <v>46078</v>
      </c>
      <c r="F730" s="102" t="s">
        <v>2160</v>
      </c>
      <c r="G730" s="102" t="s">
        <v>2159</v>
      </c>
      <c r="H730" s="102" t="s">
        <v>1480</v>
      </c>
      <c r="I730">
        <v>1680</v>
      </c>
      <c r="J730">
        <v>1680</v>
      </c>
      <c r="K730">
        <v>1680</v>
      </c>
      <c r="L730">
        <v>1680</v>
      </c>
      <c r="M730" s="102" t="s">
        <v>1099</v>
      </c>
      <c r="N730" s="102" t="s">
        <v>1481</v>
      </c>
      <c r="O730" s="93">
        <v>46078</v>
      </c>
    </row>
    <row r="731" spans="1:15" x14ac:dyDescent="0.3">
      <c r="A731" s="102" t="s">
        <v>2150</v>
      </c>
      <c r="B731" t="s">
        <v>1896</v>
      </c>
      <c r="C731" s="93">
        <v>46078</v>
      </c>
      <c r="D731" s="93">
        <v>46078</v>
      </c>
      <c r="E731" s="93">
        <v>46078</v>
      </c>
      <c r="F731" s="102" t="s">
        <v>1763</v>
      </c>
      <c r="G731" s="102" t="s">
        <v>2159</v>
      </c>
      <c r="H731" s="102" t="s">
        <v>1480</v>
      </c>
      <c r="I731">
        <v>500</v>
      </c>
      <c r="J731">
        <v>500</v>
      </c>
      <c r="K731">
        <v>500</v>
      </c>
      <c r="L731">
        <v>500</v>
      </c>
      <c r="M731" s="102" t="s">
        <v>1099</v>
      </c>
      <c r="N731" s="102" t="s">
        <v>1481</v>
      </c>
      <c r="O731" s="93">
        <v>46078</v>
      </c>
    </row>
    <row r="732" spans="1:15" x14ac:dyDescent="0.3">
      <c r="A732" s="102" t="s">
        <v>2150</v>
      </c>
      <c r="B732" t="s">
        <v>1896</v>
      </c>
      <c r="C732" s="93">
        <v>46210</v>
      </c>
      <c r="D732" s="93">
        <v>46180</v>
      </c>
      <c r="E732" s="93">
        <v>46180</v>
      </c>
      <c r="F732" s="102" t="s">
        <v>1880</v>
      </c>
      <c r="G732" s="102" t="s">
        <v>2177</v>
      </c>
      <c r="H732" s="102" t="s">
        <v>1480</v>
      </c>
      <c r="I732">
        <v>1063.3</v>
      </c>
      <c r="J732">
        <v>1063.3</v>
      </c>
      <c r="K732">
        <v>1063.3</v>
      </c>
      <c r="L732">
        <v>1063.3</v>
      </c>
      <c r="M732" s="102" t="s">
        <v>1099</v>
      </c>
      <c r="N732" s="102" t="s">
        <v>1488</v>
      </c>
      <c r="O732" s="93">
        <v>46180</v>
      </c>
    </row>
    <row r="733" spans="1:15" x14ac:dyDescent="0.3">
      <c r="A733" s="102" t="s">
        <v>2150</v>
      </c>
      <c r="B733" t="s">
        <v>1896</v>
      </c>
      <c r="C733" s="93">
        <v>46082</v>
      </c>
      <c r="D733" s="93">
        <v>46082</v>
      </c>
      <c r="E733" s="93">
        <v>46082</v>
      </c>
      <c r="F733" s="102" t="s">
        <v>2158</v>
      </c>
      <c r="G733" s="102" t="s">
        <v>2162</v>
      </c>
      <c r="H733" s="102" t="s">
        <v>1480</v>
      </c>
      <c r="I733">
        <v>221.95</v>
      </c>
      <c r="J733">
        <v>221.95</v>
      </c>
      <c r="K733">
        <v>221.95</v>
      </c>
      <c r="L733">
        <v>221.95</v>
      </c>
      <c r="M733" s="102" t="s">
        <v>1099</v>
      </c>
      <c r="N733" s="102" t="s">
        <v>1481</v>
      </c>
      <c r="O733" s="93">
        <v>46082</v>
      </c>
    </row>
    <row r="734" spans="1:15" x14ac:dyDescent="0.3">
      <c r="A734" s="102" t="s">
        <v>2150</v>
      </c>
      <c r="B734" t="s">
        <v>1896</v>
      </c>
      <c r="C734" s="93">
        <v>46088</v>
      </c>
      <c r="D734" s="93">
        <v>46088</v>
      </c>
      <c r="E734" s="93">
        <v>46088</v>
      </c>
      <c r="F734" s="102" t="s">
        <v>1650</v>
      </c>
      <c r="G734" s="102" t="s">
        <v>2165</v>
      </c>
      <c r="H734" s="102" t="s">
        <v>1480</v>
      </c>
      <c r="I734">
        <v>200.25</v>
      </c>
      <c r="J734">
        <v>200.25</v>
      </c>
      <c r="K734">
        <v>200.25</v>
      </c>
      <c r="L734">
        <v>200.25</v>
      </c>
      <c r="M734" s="102" t="s">
        <v>1099</v>
      </c>
      <c r="N734" s="102" t="s">
        <v>1481</v>
      </c>
      <c r="O734" s="93">
        <v>46088</v>
      </c>
    </row>
    <row r="735" spans="1:15" x14ac:dyDescent="0.3">
      <c r="A735" s="102" t="s">
        <v>2150</v>
      </c>
      <c r="B735" t="s">
        <v>1896</v>
      </c>
      <c r="C735" s="93">
        <v>46043</v>
      </c>
      <c r="D735" s="93">
        <v>46043</v>
      </c>
      <c r="E735" s="93">
        <v>46043</v>
      </c>
      <c r="F735" s="102" t="s">
        <v>2160</v>
      </c>
      <c r="G735" s="102" t="s">
        <v>2167</v>
      </c>
      <c r="H735" s="102" t="s">
        <v>1480</v>
      </c>
      <c r="I735">
        <v>1094.0999999999999</v>
      </c>
      <c r="J735">
        <v>1094.0999999999999</v>
      </c>
      <c r="K735">
        <v>1094.0999999999999</v>
      </c>
      <c r="L735">
        <v>1094.0999999999999</v>
      </c>
      <c r="M735" s="102" t="s">
        <v>1099</v>
      </c>
      <c r="N735" s="102" t="s">
        <v>1481</v>
      </c>
      <c r="O735" s="93">
        <v>46042</v>
      </c>
    </row>
    <row r="736" spans="1:15" x14ac:dyDescent="0.3">
      <c r="A736" s="102" t="s">
        <v>2150</v>
      </c>
      <c r="B736" t="s">
        <v>1896</v>
      </c>
      <c r="C736" s="93">
        <v>46088</v>
      </c>
      <c r="D736" s="93">
        <v>46088</v>
      </c>
      <c r="E736" s="93">
        <v>46088</v>
      </c>
      <c r="F736" s="102" t="s">
        <v>1650</v>
      </c>
      <c r="G736" s="102" t="s">
        <v>2164</v>
      </c>
      <c r="H736" s="102" t="s">
        <v>1480</v>
      </c>
      <c r="I736">
        <v>202.93</v>
      </c>
      <c r="J736">
        <v>202.93</v>
      </c>
      <c r="K736">
        <v>202.93</v>
      </c>
      <c r="L736">
        <v>202.93</v>
      </c>
      <c r="M736" s="102" t="s">
        <v>1099</v>
      </c>
      <c r="N736" s="102" t="s">
        <v>1481</v>
      </c>
      <c r="O736" s="93">
        <v>46088</v>
      </c>
    </row>
    <row r="737" spans="1:15" x14ac:dyDescent="0.3">
      <c r="A737" s="102" t="s">
        <v>2150</v>
      </c>
      <c r="B737" t="s">
        <v>1896</v>
      </c>
      <c r="C737" s="93">
        <v>46191</v>
      </c>
      <c r="D737" s="93">
        <v>46191</v>
      </c>
      <c r="E737" s="93">
        <v>46191</v>
      </c>
      <c r="F737" s="102" t="s">
        <v>2160</v>
      </c>
      <c r="G737" s="102" t="s">
        <v>2179</v>
      </c>
      <c r="H737" s="102" t="s">
        <v>1480</v>
      </c>
      <c r="I737">
        <v>7950</v>
      </c>
      <c r="J737">
        <v>7950</v>
      </c>
      <c r="K737">
        <v>7950</v>
      </c>
      <c r="L737">
        <v>7950</v>
      </c>
      <c r="M737" s="102" t="s">
        <v>1099</v>
      </c>
      <c r="N737" s="102" t="s">
        <v>1488</v>
      </c>
      <c r="O737" s="93">
        <v>46191</v>
      </c>
    </row>
    <row r="738" spans="1:15" x14ac:dyDescent="0.3">
      <c r="A738" s="102" t="s">
        <v>1501</v>
      </c>
      <c r="B738" t="s">
        <v>2180</v>
      </c>
      <c r="C738" s="93">
        <v>46264</v>
      </c>
      <c r="F738" s="102" t="s">
        <v>2187</v>
      </c>
      <c r="G738" s="102" t="s">
        <v>1836</v>
      </c>
      <c r="H738" s="102" t="s">
        <v>1480</v>
      </c>
      <c r="I738">
        <v>300000</v>
      </c>
      <c r="J738">
        <v>300000</v>
      </c>
      <c r="K738">
        <v>300000</v>
      </c>
      <c r="L738">
        <v>0</v>
      </c>
      <c r="M738" s="102" t="s">
        <v>1099</v>
      </c>
      <c r="N738" s="102" t="s">
        <v>1481</v>
      </c>
      <c r="O738" s="93">
        <v>46194</v>
      </c>
    </row>
    <row r="739" spans="1:15" x14ac:dyDescent="0.3">
      <c r="A739" s="102" t="s">
        <v>1501</v>
      </c>
      <c r="B739" t="s">
        <v>2180</v>
      </c>
      <c r="C739" s="93">
        <v>46195</v>
      </c>
      <c r="D739" s="93">
        <v>46195</v>
      </c>
      <c r="E739" s="93">
        <v>46195</v>
      </c>
      <c r="F739" s="102" t="s">
        <v>2183</v>
      </c>
      <c r="G739" s="102" t="s">
        <v>2184</v>
      </c>
      <c r="H739" s="102" t="s">
        <v>1693</v>
      </c>
      <c r="I739">
        <v>195000</v>
      </c>
      <c r="J739">
        <v>195000</v>
      </c>
      <c r="K739">
        <v>195000</v>
      </c>
      <c r="L739">
        <v>195000</v>
      </c>
      <c r="M739" s="102" t="s">
        <v>1099</v>
      </c>
      <c r="N739" s="102" t="s">
        <v>1488</v>
      </c>
      <c r="O739" s="93">
        <v>46195</v>
      </c>
    </row>
    <row r="740" spans="1:15" x14ac:dyDescent="0.3">
      <c r="A740" s="102" t="s">
        <v>1501</v>
      </c>
      <c r="B740" t="s">
        <v>2180</v>
      </c>
      <c r="C740" s="93">
        <v>46139</v>
      </c>
      <c r="D740" s="93">
        <v>46139</v>
      </c>
      <c r="E740" s="93">
        <v>46139</v>
      </c>
      <c r="F740" s="102" t="s">
        <v>2181</v>
      </c>
      <c r="G740" s="102" t="s">
        <v>2182</v>
      </c>
      <c r="H740" s="102" t="s">
        <v>1693</v>
      </c>
      <c r="I740">
        <v>193000</v>
      </c>
      <c r="J740">
        <v>193000</v>
      </c>
      <c r="K740">
        <v>193000</v>
      </c>
      <c r="L740">
        <v>193000</v>
      </c>
      <c r="M740" s="102" t="s">
        <v>1099</v>
      </c>
      <c r="N740" s="102" t="s">
        <v>1488</v>
      </c>
      <c r="O740" s="93">
        <v>46139</v>
      </c>
    </row>
    <row r="741" spans="1:15" x14ac:dyDescent="0.3">
      <c r="A741" s="102" t="s">
        <v>1501</v>
      </c>
      <c r="B741" t="s">
        <v>2180</v>
      </c>
      <c r="C741" s="93">
        <v>46020</v>
      </c>
      <c r="D741" s="93">
        <v>46020</v>
      </c>
      <c r="E741" s="93">
        <v>46020</v>
      </c>
      <c r="F741" s="102" t="s">
        <v>2185</v>
      </c>
      <c r="G741" s="102" t="s">
        <v>2186</v>
      </c>
      <c r="H741" s="102" t="s">
        <v>1480</v>
      </c>
      <c r="I741">
        <v>128000</v>
      </c>
      <c r="J741">
        <v>128000</v>
      </c>
      <c r="K741">
        <v>128000</v>
      </c>
      <c r="L741">
        <v>128000</v>
      </c>
      <c r="M741" s="102" t="s">
        <v>1099</v>
      </c>
      <c r="N741" s="102" t="s">
        <v>1481</v>
      </c>
      <c r="O741" s="93">
        <v>46020</v>
      </c>
    </row>
    <row r="742" spans="1:15" x14ac:dyDescent="0.3">
      <c r="A742" s="102" t="s">
        <v>1501</v>
      </c>
      <c r="B742" t="s">
        <v>2180</v>
      </c>
      <c r="C742" s="93">
        <v>46192</v>
      </c>
      <c r="D742" s="93">
        <v>46192</v>
      </c>
      <c r="E742" s="93">
        <v>46192</v>
      </c>
      <c r="F742" s="102" t="s">
        <v>2183</v>
      </c>
      <c r="G742" s="102" t="s">
        <v>2184</v>
      </c>
      <c r="H742" s="102" t="s">
        <v>1688</v>
      </c>
      <c r="I742">
        <v>5000</v>
      </c>
      <c r="J742">
        <v>5000</v>
      </c>
      <c r="K742">
        <v>5000</v>
      </c>
      <c r="L742">
        <v>5000</v>
      </c>
      <c r="M742" s="102" t="s">
        <v>1099</v>
      </c>
      <c r="N742" s="102" t="s">
        <v>1488</v>
      </c>
      <c r="O742" s="93">
        <v>46195</v>
      </c>
    </row>
    <row r="743" spans="1:15" x14ac:dyDescent="0.3">
      <c r="A743" s="102" t="s">
        <v>1501</v>
      </c>
      <c r="B743" t="s">
        <v>2180</v>
      </c>
      <c r="C743" s="93">
        <v>46134</v>
      </c>
      <c r="D743" s="93">
        <v>46134</v>
      </c>
      <c r="E743" s="93">
        <v>46134</v>
      </c>
      <c r="F743" s="102" t="s">
        <v>2181</v>
      </c>
      <c r="G743" s="102" t="s">
        <v>2182</v>
      </c>
      <c r="H743" s="102" t="s">
        <v>1688</v>
      </c>
      <c r="I743">
        <v>5000</v>
      </c>
      <c r="J743">
        <v>5000</v>
      </c>
      <c r="K743">
        <v>5000</v>
      </c>
      <c r="L743">
        <v>5000</v>
      </c>
      <c r="M743" s="102" t="s">
        <v>1099</v>
      </c>
      <c r="N743" s="102" t="s">
        <v>1488</v>
      </c>
      <c r="O743" s="93">
        <v>46139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04E3-797D-4F72-9A6E-60EF5F2EE945}">
  <sheetPr codeName="Planilha21"/>
  <dimension ref="A1:E2"/>
  <sheetViews>
    <sheetView workbookViewId="0">
      <selection activeCell="A2" sqref="A2:D2"/>
    </sheetView>
  </sheetViews>
  <sheetFormatPr defaultRowHeight="14.4" x14ac:dyDescent="0.3"/>
  <cols>
    <col min="1" max="1" width="10.5546875" bestFit="1" customWidth="1"/>
  </cols>
  <sheetData>
    <row r="1" spans="1:5" s="100" customFormat="1" x14ac:dyDescent="0.3">
      <c r="A1" s="100" t="s">
        <v>2188</v>
      </c>
      <c r="B1" s="100" t="s">
        <v>75</v>
      </c>
      <c r="C1" s="100" t="s">
        <v>2189</v>
      </c>
      <c r="D1" s="100" t="s">
        <v>2190</v>
      </c>
      <c r="E1" s="100" t="s">
        <v>2191</v>
      </c>
    </row>
    <row r="2" spans="1:5" x14ac:dyDescent="0.3">
      <c r="A2" s="9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CAPA</vt:lpstr>
      <vt:lpstr>1·PRODUÇÃO</vt:lpstr>
      <vt:lpstr>2·DIETA</vt:lpstr>
      <vt:lpstr>3·REPRODUÇÃO</vt:lpstr>
      <vt:lpstr>3.1·REP-RESUMO</vt:lpstr>
      <vt:lpstr>4·REBANHO</vt:lpstr>
      <vt:lpstr>5·ESTOQUE</vt:lpstr>
      <vt:lpstr>6·FINANCEIRO</vt:lpstr>
      <vt:lpstr>6.1·LIVRO CAIXA</vt:lpstr>
      <vt:lpstr>7·RESULTADOS</vt:lpstr>
      <vt:lpstr>8·AGENDA</vt:lpstr>
      <vt:lpstr>REPRODUTIVO</vt:lpstr>
      <vt:lpstr>LEITE</vt:lpstr>
      <vt:lpstr>GERAL</vt:lpstr>
      <vt:lpstr>DIETA</vt:lpstr>
      <vt:lpstr>ESTOQUE</vt:lpstr>
      <vt:lpstr>CURVA_ABC</vt:lpstr>
      <vt:lpstr>FLUXO</vt:lpstr>
      <vt:lpstr>DRE</vt:lpstr>
      <vt:lpstr>CONTA_GER</vt:lpstr>
      <vt:lpstr>AGENDA_MANUAL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Jairo Rodarte</cp:lastModifiedBy>
  <cp:revision>12</cp:revision>
  <dcterms:created xsi:type="dcterms:W3CDTF">2026-06-22T08:24:11Z</dcterms:created>
  <dcterms:modified xsi:type="dcterms:W3CDTF">2026-07-04T00:30:17Z</dcterms:modified>
  <dc:language>en-US</dc:language>
</cp:coreProperties>
</file>